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Gericke und Partner/"/>
    </mc:Choice>
  </mc:AlternateContent>
  <xr:revisionPtr revIDLastSave="88" documentId="8_{207F9823-9F7A-439A-86BD-E629EE244269}" xr6:coauthVersionLast="47" xr6:coauthVersionMax="47" xr10:uidLastSave="{9CA3FC8F-9119-49DF-8CB6-5F2007D634E7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<sst xmlns="http://schemas.openxmlformats.org/spreadsheetml/2006/main" count="509" uniqueCount="296">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</sst>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6" sqref="G6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/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4">
      <c r="B6" s="48" t="s">
        <v>4</v>
      </c>
      <c r="C6" s="49"/>
      <c r="E6" s="152" t="s">
        <v>290</v>
      </c>
      <c r="F6" s="37">
        <f>C12*0.65</f>
        <v>78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100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10950.000000000002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120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7,8%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3" zoomScaleNormal="10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 x14ac:dyDescent="0.4">
      <c r="B25" s="97" t="str">
        <f>"Das enspricht "&amp;TEXT('Preise Output'!E26/('Preise Output'!C10),"0,0%") &amp; " des Leerstands p.a."</f>
        <v>Das enspricht 7,8%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 x14ac:dyDescent="0.4">
      <c r="B32" s="108" t="s">
        <v>293</v>
      </c>
      <c r="C32" s="229">
        <f>C26+C27</f>
        <v>2614.4499000000001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14964.533933613446</v>
      </c>
    </row>
    <row r="36" spans="2:3" x14ac:dyDescent="0.4">
      <c r="B36" s="102" t="s">
        <v>65</v>
      </c>
      <c r="C36" s="239">
        <f>C12-C34</f>
        <v>10245.5501</v>
      </c>
    </row>
    <row r="37" spans="2:3" x14ac:dyDescent="0.4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82D4043-50BE-4441-9F0B-9436F3F531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2025-06-02T15:22:27Z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