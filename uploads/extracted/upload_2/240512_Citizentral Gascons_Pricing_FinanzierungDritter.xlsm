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panien/Citizentral Gascons/Vertragsornder/"/>
    </mc:Choice>
  </mc:AlternateContent>
  <xr:revisionPtr revIDLastSave="85" documentId="8_{207F9823-9F7A-439A-86BD-E629EE244269}" xr6:coauthVersionLast="47" xr6:coauthVersionMax="47" xr10:uidLastSave="{B07FE4B4-4EC5-440F-B6C0-CF7959049CD1}"/>
  <bookViews>
    <workbookView minimized="1" xWindow="6684" yWindow="3672" windowWidth="17280" windowHeight="888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<sst xmlns="http://schemas.openxmlformats.org/spreadsheetml/2006/main" count="511" uniqueCount="298">
  <si>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</si>
  <si>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</si>
  <si>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</si>
  <si>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</si>
  <si>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</si>
  <si>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</si>
  <si>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</si>
  <si>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</si>
  <si>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</si>
  <si>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</si>
  <si>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</si>
  <si>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</si>
  <si>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</si>
  <si>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</si>
  <si>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</si>
  <si>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</si>
  <si>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</si>
  <si>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</si>
  <si>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</si>
  <si>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</si>
  <si>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</si>
  <si>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</si>
  <si>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</si>
  <si>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</si>
  <si>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</si>
  <si>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</si>
  <si>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</si>
  <si>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</si>
  <si>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</si>
  <si>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</si>
  <si>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</si>
  <si>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</si>
  <si>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</si>
  <si>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</si>
  <si>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</si>
  <si>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</si>
  <si>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</si>
  <si>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</si>
  <si>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</si>
  <si>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</si>
  <si>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</si>
  <si>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</si>
  <si>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</si>
  <si>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</si>
  <si>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</si>
  <si>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</si>
  <si>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</si>
  <si>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</si>
  <si>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</si>
  <si>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</si>
  <si>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</si>
  <si>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</si>
  <si>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</si>
  <si>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</si>
  <si>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</si>
  <si>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</si>
  <si>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</si>
  <si>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</si>
  <si>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</si>
  <si>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</si>
  <si>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</si>
  <si>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</si>
  <si>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</si>
  <si>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</si>
  <si>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</si>
  <si>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</si>
  <si>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</si>
  <si>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</si>
  <si>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</si>
  <si>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</si>
  <si>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</si>
  <si>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</si>
  <si>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</si>
  <si>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</si>
  <si>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</si>
  <si>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</si>
  <si>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</si>
  <si>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</si>
  <si>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</si>
  <si>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</si>
  <si>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</si>
  <si>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</si>
  <si>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</si>
  <si>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</si>
  <si>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</si>
  <si>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</si>
  <si>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</si>
  <si>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</si>
  <si>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</si>
  <si>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</si>
  <si>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</si>
  <si>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</si>
  <si>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</si>
  <si>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</si>
  <si>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</si>
  <si>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</si>
  <si>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</si>
  <si>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</si>
  <si>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</si>
  <si>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</si>
  <si>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</si>
  <si>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</si>
  <si>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</si>
  <si>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</si>
  <si>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</si>
  <si>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</si>
  <si>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</si>
  <si>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</si>
  <si>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</si>
  <si>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</si>
  <si>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</si>
  <si>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</si>
  <si>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</si>
  <si>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</si>
  <si>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</si>
  <si>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</si>
  <si>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</si>
  <si>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</si>
  <si>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</si>
  <si>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</si>
  <si>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</si>
  <si>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</si>
  <si>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</si>
  <si>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</si>
  <si>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</si>
  <si>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</si>
  <si>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</si>
  <si>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</si>
  <si>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</si>
  <si>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</si>
  <si>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</si>
  <si>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</si>
  <si>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</si>
  <si>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</si>
  <si>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</si>
  <si>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</si>
  <si>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</si>
  <si>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</si>
  <si>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</si>
  <si>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</si>
  <si>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</si>
  <si>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</si>
  <si>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</si>
  <si>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</si>
  <si>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</si>
  <si>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</si>
  <si>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</si>
  <si>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</si>
  <si>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</si>
  <si>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</si>
  <si>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</si>
  <si>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</si>
  <si>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</si>
  <si>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</si>
  <si>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</si>
  <si>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</si>
  <si>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</si>
  <si>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</si>
  <si>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</si>
  <si>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</si>
  <si>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</si>
  <si>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</si>
  <si>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</si>
  <si>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</si>
  <si>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</si>
  <si>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</si>
  <si>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</si>
  <si>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</si>
  <si>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</si>
  <si>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</si>
  <si>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</si>
  <si>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</si>
  <si>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</si>
  <si>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</si>
  <si>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</si>
  <si>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</si>
  <si>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</si>
  <si>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</si>
  <si>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</si>
  <si>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</si>
  <si>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</si>
  <si>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</si>
  <si>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</si>
  <si>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</si>
  <si>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</si>
  <si>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</si>
  <si>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</si>
  <si>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</si>
  <si>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</si>
  <si>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</si>
  <si>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</si>
  <si>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</si>
  <si>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</si>
  <si>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</si>
  <si>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</si>
  <si>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</si>
  <si>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</si>
  <si>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</si>
  <si>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</si>
  <si>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</si>
  <si>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</si>
  <si>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</si>
  <si>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</si>
  <si>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</si>
  <si>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</si>
  <si>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</si>
  <si>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</si>
  <si>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</si>
  <si>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</si>
  <si>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</si>
  <si>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</si>
  <si>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</si>
  <si>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</si>
  <si>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</si>
  <si>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</si>
  <si>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</si>
  <si>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</si>
  <si>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</si>
  <si>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</si>
  <si>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</si>
  <si>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</si>
  <si>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</si>
  <si>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</si>
  <si>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</si>
  <si>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</si>
  <si>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</si>
  <si>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</si>
  <si>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</si>
  <si>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</si>
  <si>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</si>
  <si>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</si>
  <si>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</si>
  <si>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</si>
  <si>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</si>
  <si>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</si>
  <si>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</si>
  <si>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</si>
  <si>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</si>
  <si>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</si>
  <si>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</si>
  <si>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</si>
  <si>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</si>
  <si>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</si>
  <si>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</si>
  <si>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</si>
  <si>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</si>
  <si>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</si>
  <si>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</si>
  <si>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</si>
  <si>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</si>
  <si>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</si>
  <si>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</si>
  <si>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</si>
  <si>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</si>
  <si>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</si>
  <si>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</si>
  <si>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</si>
  <si>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</si>
  <si>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</si>
  <si>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</si>
  <si>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</si>
  <si>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</si>
  <si>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</si>
  <si>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</si>
  <si>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</si>
  <si>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</si>
  <si>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</si>
  <si>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</si>
  <si>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</si>
  <si>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</si>
  <si>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</si>
  <si>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</si>
  <si>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</si>
  <si>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</si>
  <si>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</si>
  <si>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</si>
  <si>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</si>
  <si>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</si>
  <si>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</si>
  <si>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</si>
  <si>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</si>
  <si>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</si>
  <si>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</si>
  <si>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</si>
  <si>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</si>
  <si>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</si>
  <si>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</si>
  <si>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</si>
  <si>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</si>
  <si>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</si>
  <si>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</si>
  <si>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</si>
  <si>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</si>
  <si>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</si>
  <si>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</si>
  <si>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</si>
  <si>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Citizentral Gascons </t>
  </si>
  <si>
    <t>€ 69,00 via Tim,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</si>
</sst>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45631</v>
      </c>
      <c r="E5" s="151" t="s">
        <v>5</v>
      </c>
      <c r="F5" s="153">
        <v>69</v>
      </c>
      <c r="G5" s="44" t="s">
        <v>297</v>
      </c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72.150000000000006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v>40.44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0.65</v>
      </c>
      <c r="E9" s="156" t="s">
        <v>246</v>
      </c>
      <c r="F9" s="157">
        <f>IFERROR(J26,"Bitte Produkt auswählen")</f>
        <v>0.28974498293612333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2299.5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344.92500000000001</v>
      </c>
      <c r="E11" s="167" t="s">
        <v>14</v>
      </c>
      <c r="F11" s="242">
        <f>+I26</f>
        <v>21119.175000000003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111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371</v>
      </c>
      <c r="F24" s="76">
        <v>3</v>
      </c>
      <c r="G24" s="77">
        <f>F12*D24</f>
        <v>15000</v>
      </c>
      <c r="H24" s="77">
        <f>$E24*$F$10*1.1-$G24</f>
        <v>6119.1750000000029</v>
      </c>
      <c r="I24" s="77">
        <f>G24+H24</f>
        <v>21119.175000000003</v>
      </c>
      <c r="J24" s="78">
        <f t="shared" si="16"/>
        <v>0.28974498293612333</v>
      </c>
      <c r="K24" s="77">
        <v>0</v>
      </c>
      <c r="L24" s="77">
        <v>0</v>
      </c>
      <c r="M24" s="77">
        <f>G24*1.19-G24</f>
        <v>2850</v>
      </c>
      <c r="N24" s="77">
        <f t="shared" si="5"/>
        <v>911.9643749999999</v>
      </c>
      <c r="O24" s="77">
        <f>L24-M24-N24</f>
        <v>-3761.964375</v>
      </c>
      <c r="P24" s="79">
        <f>IFERROR($H24-L24,"")</f>
        <v>6119.1750000000029</v>
      </c>
      <c r="Q24" s="78">
        <f>IFERROR(($H24-L24)/$I24,"")</f>
        <v>0.28974498293612333</v>
      </c>
      <c r="R24" s="80">
        <f>IFERROR((1-Q24)*F24,"")</f>
        <v>2.1307650511916298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371</v>
      </c>
      <c r="F26" s="89"/>
      <c r="G26" s="89">
        <f>SUBTOTAL(9,G19:G24)</f>
        <v>15000</v>
      </c>
      <c r="H26" s="89">
        <f>SUBTOTAL(9,H19:H24)</f>
        <v>6119.1750000000029</v>
      </c>
      <c r="I26" s="89">
        <f>SUBTOTAL(9,I19:I24)</f>
        <v>21119.175000000003</v>
      </c>
      <c r="J26" s="90">
        <f>H26/I26</f>
        <v>0.28974498293612333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911.9643749999999</v>
      </c>
      <c r="O26" s="89">
        <f t="shared" si="25"/>
        <v>-3761.964375</v>
      </c>
      <c r="P26" s="89">
        <f t="shared" si="25"/>
        <v>6119.1750000000029</v>
      </c>
      <c r="Q26" s="90">
        <f>($H26-L26)/$I26</f>
        <v>0.28974498293612333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16,1%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132" workbookViewId="0">
      <selection activeCell="C26" sqref="C26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48</v>
      </c>
    </row>
    <row r="4" spans="2:11" x14ac:dyDescent="0.25">
      <c r="B4" s="103" t="s">
        <v>53</v>
      </c>
      <c r="C4" s="226">
        <f>+C3-C2</f>
        <v>23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371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13636.363636363636</v>
      </c>
    </row>
    <row r="12" spans="2:11" x14ac:dyDescent="0.25">
      <c r="B12" s="212" t="s">
        <v>285</v>
      </c>
      <c r="C12" s="230">
        <f>F13+F14</f>
        <v>13636.363636363636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0%</v>
      </c>
      <c r="C13" s="231">
        <f>E13*F13</f>
        <v>0</v>
      </c>
      <c r="E13" s="223"/>
      <c r="F13" s="104">
        <v>0</v>
      </c>
    </row>
    <row r="14" spans="2:11" ht="14.25" thickBot="1" x14ac:dyDescent="0.3">
      <c r="B14" s="99" t="str">
        <f>"Mehrwertsteuer " &amp; TEXT(E14,"0%")</f>
        <v>Mehrwertsteuer 10%</v>
      </c>
      <c r="C14" s="232">
        <f>F14*E14</f>
        <v>1363.6363636363637</v>
      </c>
      <c r="E14" s="223">
        <v>0.1</v>
      </c>
      <c r="F14" s="162">
        <f>(F18-F13*(1+E13))/(1+E14)</f>
        <v>13636.363636363636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371 Gutscheine x 40,44€ je Gutschein</v>
      </c>
      <c r="C24" s="237">
        <f>IFERROR(C7*'Preise Output'!$F$7,"--")</f>
        <v>15003.24</v>
      </c>
    </row>
    <row r="25" spans="2:8" x14ac:dyDescent="0.25">
      <c r="B25" s="97" t="str">
        <f>"Das enspricht "&amp;TEXT('Preise Output'!E26/('Preise Output'!C10),"0,0%") &amp; " des Leerstands p.a."</f>
        <v>Das enspricht 16,1%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10%</v>
      </c>
      <c r="C26" s="234">
        <f>IFERROR(F26*E26,"--")</f>
        <v>1314.8240000000001</v>
      </c>
      <c r="E26" s="223">
        <v>0.1</v>
      </c>
      <c r="F26" s="162">
        <f>C24-F27</f>
        <v>13148.24</v>
      </c>
    </row>
    <row r="27" spans="2:8" ht="14.25" thickBot="1" x14ac:dyDescent="0.3">
      <c r="B27" s="99" t="str">
        <f>"Mehrwertsteuer " &amp; TEXT(E27,"0%")</f>
        <v>Mehrwertsteuer 4%</v>
      </c>
      <c r="C27" s="234">
        <f>IFERROR(F27*E27,"--")</f>
        <v>74.2</v>
      </c>
      <c r="E27" s="223">
        <v>0.04</v>
      </c>
      <c r="F27" s="162">
        <f>G27*C7</f>
        <v>1855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23€ je Gutschein x 371 Roomnights</v>
      </c>
      <c r="C31" s="237">
        <f>C7*C4</f>
        <v>8533</v>
      </c>
    </row>
    <row r="32" spans="2:8" x14ac:dyDescent="0.25">
      <c r="B32" s="108" t="s">
        <v>293</v>
      </c>
      <c r="C32" s="229">
        <f>C26+C27</f>
        <v>1389.0240000000001</v>
      </c>
    </row>
    <row r="33" spans="2:3" ht="14.25" thickBot="1" x14ac:dyDescent="0.3">
      <c r="B33" s="115" t="s">
        <v>288</v>
      </c>
      <c r="C33" s="238">
        <f>-(C13+C14)</f>
        <v>-1363.6363636363637</v>
      </c>
    </row>
    <row r="34" spans="2:3" x14ac:dyDescent="0.25">
      <c r="B34" s="96" t="s">
        <v>271</v>
      </c>
      <c r="C34" s="236">
        <f>SUM(C31:C33)</f>
        <v>8558.3876363636355</v>
      </c>
    </row>
    <row r="36" spans="2:3" x14ac:dyDescent="0.25">
      <c r="B36" s="102" t="s">
        <v>65</v>
      </c>
      <c r="C36" s="239">
        <f>C12-C34</f>
        <v>5077.9760000000006</v>
      </c>
    </row>
    <row r="37" spans="2:3" x14ac:dyDescent="0.25">
      <c r="B37" s="97" t="s">
        <v>289</v>
      </c>
      <c r="C37" s="240">
        <f>C36/C12</f>
        <v>0.37238490666666674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11130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11130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11130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11130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F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G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H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I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J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K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L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M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N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R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S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T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U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V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W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X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Y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Z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D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E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F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G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H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I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J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K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L7" s="129">
        <f>IF($B$6=100%,(('Preise Output'!$F$10-INDEX(Annahmen!$B$18:$C$22,MATCH('Preise Output'!$C$7,Annahmen!$B$18:$B$22,0),2))*'Preise Output'!$E$26)/10,('Preise Output'!$E$26*'Preise Output'!$F$10-$D$6)/10)</f>
        <v>806.92499999999995</v>
      </c>
      <c r="AM7" s="130"/>
      <c r="AN7" s="130">
        <f t="shared" ref="AN7:AN43" si="0">SUM(D7:AM7)</f>
        <v>24207.749999999989</v>
      </c>
      <c r="AQ7" s="130">
        <f t="shared" ref="AQ7:AQ45" si="1">SUM(D7:F7)</f>
        <v>1613.85</v>
      </c>
      <c r="AR7" s="130">
        <f t="shared" ref="AR7:AR45" si="2">SUM(G7:I7)</f>
        <v>2420.7749999999996</v>
      </c>
      <c r="AS7" s="130">
        <f t="shared" ref="AS7:AS45" si="3">SUM(J7:L7)</f>
        <v>2420.7749999999996</v>
      </c>
      <c r="AT7" s="130">
        <f t="shared" ref="AT7:AT45" si="4">SUM(M7:O7)</f>
        <v>1613.85</v>
      </c>
      <c r="AU7" s="130">
        <f t="shared" ref="AU7:AU45" si="5">SUM(P7:R7)</f>
        <v>1613.85</v>
      </c>
      <c r="AV7" s="130">
        <f t="shared" ref="AV7:AV45" si="6">SUM(S7:U7)</f>
        <v>2420.7749999999996</v>
      </c>
      <c r="AW7" s="130">
        <f t="shared" ref="AW7:AW45" si="7">SUM(V7:X7)</f>
        <v>2420.7749999999996</v>
      </c>
      <c r="AX7" s="130">
        <f t="shared" ref="AX7:AX45" si="8">SUM(Y7:AA7)</f>
        <v>1613.85</v>
      </c>
      <c r="AY7" s="130">
        <f t="shared" ref="AY7:AY45" si="9">SUM(AB7:AD7)</f>
        <v>1613.85</v>
      </c>
      <c r="AZ7" s="130">
        <f t="shared" ref="AZ7:AZ45" si="10">SUM(AE7:AG7)</f>
        <v>2420.7749999999996</v>
      </c>
      <c r="BA7" s="130">
        <f t="shared" ref="BA7:BA45" si="11">SUM(AH7:AJ7)</f>
        <v>2420.7749999999996</v>
      </c>
      <c r="BB7" s="130">
        <f t="shared" ref="BB7:BB45" si="12">SUM(AK7:AM7)</f>
        <v>1613.85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21119.175000000003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B63EBA7E-5B61-484A-AFDB-0E7BBE6944AF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2025-01-28T13:52:41Z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