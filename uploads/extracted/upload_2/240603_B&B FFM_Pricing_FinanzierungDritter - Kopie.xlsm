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&amp;B Frankfurt/"/>
    </mc:Choice>
  </mc:AlternateContent>
  <xr:revisionPtr revIDLastSave="83" documentId="8_{207F9823-9F7A-439A-86BD-E629EE244269}" xr6:coauthVersionLast="47" xr6:coauthVersionMax="47" xr10:uidLastSave="{C39A4EDD-6073-480E-B0BE-D981D3EDAD6A}"/>
  <bookViews>
    <workbookView xWindow="-28905" yWindow="-4785" windowWidth="29145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8" l="1"/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1" i="8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<sst xmlns="http://schemas.openxmlformats.org/spreadsheetml/2006/main" count="510" uniqueCount="297">
  <si>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</si>
  <si>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</si>
  <si>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</si>
  <si>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</si>
  <si>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</si>
  <si>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</si>
  <si>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</si>
  <si>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</si>
  <si>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</si>
  <si>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</si>
  <si>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</si>
  <si>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</si>
  <si>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</si>
  <si>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</si>
  <si>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</si>
  <si>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</si>
  <si>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</si>
  <si>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</si>
  <si>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</si>
  <si>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</si>
  <si>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</si>
  <si>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</si>
  <si>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</si>
  <si>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</si>
  <si>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</si>
  <si>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</si>
  <si>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</si>
  <si>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</si>
  <si>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</si>
  <si>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</si>
  <si>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</si>
  <si>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</si>
  <si>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</si>
  <si>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</si>
  <si>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</si>
  <si>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</si>
  <si>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</si>
  <si>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</si>
  <si>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</si>
  <si>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</si>
  <si>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</si>
  <si>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</si>
  <si>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</si>
  <si>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</si>
  <si>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</si>
  <si>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</si>
  <si>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</si>
  <si>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</si>
  <si>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</si>
  <si>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</si>
  <si>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</si>
  <si>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</si>
  <si>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</si>
  <si>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</si>
  <si>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</si>
  <si>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</si>
  <si>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</si>
  <si>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</si>
  <si>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</si>
  <si>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</si>
  <si>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</si>
  <si>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</si>
  <si>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</si>
  <si>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</si>
  <si>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</si>
  <si>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</si>
  <si>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</si>
  <si>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</si>
  <si>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</si>
  <si>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</si>
  <si>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</si>
  <si>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</si>
  <si>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</si>
  <si>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</si>
  <si>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</si>
  <si>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</si>
  <si>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</si>
  <si>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</si>
  <si>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</si>
  <si>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</si>
  <si>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</si>
  <si>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</si>
  <si>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</si>
  <si>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</si>
  <si>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</si>
  <si>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</si>
  <si>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</si>
  <si>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</si>
  <si>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</si>
  <si>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</si>
  <si>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</si>
  <si>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</si>
  <si>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</si>
  <si>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</si>
  <si>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</si>
  <si>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</si>
  <si>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</si>
  <si>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</si>
  <si>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</si>
  <si>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</si>
  <si>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</si>
  <si>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</si>
  <si>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</si>
  <si>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</si>
  <si>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</si>
  <si>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</si>
  <si>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</si>
  <si>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</si>
  <si>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</si>
  <si>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</si>
  <si>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</si>
  <si>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</si>
  <si>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</si>
  <si>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</si>
  <si>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</si>
  <si>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</si>
  <si>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</si>
  <si>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</si>
  <si>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</si>
  <si>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</si>
  <si>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</si>
  <si>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</si>
  <si>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</si>
  <si>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</si>
  <si>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</si>
  <si>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</si>
  <si>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</si>
  <si>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</si>
  <si>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</si>
  <si>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</si>
  <si>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</si>
  <si>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</si>
  <si>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</si>
  <si>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</si>
  <si>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</si>
  <si>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</si>
  <si>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</si>
  <si>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</si>
  <si>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</si>
  <si>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</si>
  <si>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</si>
  <si>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</si>
  <si>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</si>
  <si>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</si>
  <si>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</si>
  <si>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</si>
  <si>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</si>
  <si>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</si>
  <si>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</si>
  <si>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</si>
  <si>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</si>
  <si>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</si>
  <si>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</si>
  <si>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</si>
  <si>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</si>
  <si>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</si>
  <si>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</si>
  <si>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</si>
  <si>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</si>
  <si>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</si>
  <si>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</si>
  <si>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</si>
  <si>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</si>
  <si>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</si>
  <si>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</si>
  <si>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</si>
  <si>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</si>
  <si>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</si>
  <si>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</si>
  <si>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</si>
  <si>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</si>
  <si>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</si>
  <si>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</si>
  <si>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</si>
  <si>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</si>
  <si>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</si>
  <si>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</si>
  <si>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</si>
  <si>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</si>
  <si>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</si>
  <si>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</si>
  <si>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</si>
  <si>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</si>
  <si>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</si>
  <si>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</si>
  <si>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</si>
  <si>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</si>
  <si>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</si>
  <si>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</si>
  <si>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</si>
  <si>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</si>
  <si>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</si>
  <si>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</si>
  <si>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</si>
  <si>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</si>
  <si>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</si>
  <si>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</si>
  <si>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</si>
  <si>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</si>
  <si>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</si>
  <si>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</si>
  <si>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</si>
  <si>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</si>
  <si>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</si>
  <si>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</si>
  <si>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</si>
  <si>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</si>
  <si>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</si>
  <si>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</si>
  <si>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</si>
  <si>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</si>
  <si>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</si>
  <si>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</si>
  <si>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</si>
  <si>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</si>
  <si>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</si>
  <si>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</si>
  <si>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</si>
  <si>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</si>
  <si>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</si>
  <si>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</si>
  <si>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</si>
  <si>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</si>
  <si>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</si>
  <si>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</si>
  <si>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</si>
  <si>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</si>
  <si>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</si>
  <si>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</si>
  <si>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</si>
  <si>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</si>
  <si>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</si>
  <si>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</si>
  <si>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</si>
  <si>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</si>
  <si>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</si>
  <si>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</si>
  <si>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</si>
  <si>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</si>
  <si>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</si>
  <si>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</si>
  <si>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</si>
  <si>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</si>
  <si>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</si>
  <si>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</si>
  <si>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</si>
  <si>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</si>
  <si>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</si>
  <si>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</si>
  <si>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</si>
  <si>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</si>
  <si>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</si>
  <si>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</si>
  <si>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</si>
  <si>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</si>
  <si>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</si>
  <si>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</si>
  <si>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</si>
  <si>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</si>
  <si>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</si>
  <si>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</si>
  <si>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</si>
  <si>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</si>
  <si>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</si>
  <si>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</si>
  <si>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</si>
  <si>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</si>
  <si>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</si>
  <si>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</si>
  <si>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</si>
  <si>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</si>
  <si>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</si>
  <si>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</si>
  <si>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</si>
  <si>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</si>
  <si>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</si>
  <si>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</si>
  <si>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</si>
  <si>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</si>
  <si>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</si>
  <si>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</si>
  <si>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</si>
  <si>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</si>
  <si>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</si>
  <si>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</si>
  <si>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</si>
  <si>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</si>
  <si>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</si>
  <si>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</si>
  <si>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</si>
  <si>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</si>
  <si>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</si>
  <si>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</si>
  <si>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</si>
  <si>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</si>
  <si>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</si>
  <si>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B&amp;B Hotels Frankfurt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</si>
</sst>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28" sqref="F28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30.44140625" style="37" customWidth="1"/>
    <col min="4" max="4" width="17.33203125" style="38" customWidth="1"/>
    <col min="5" max="5" width="50.2187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45354</v>
      </c>
      <c r="E5" s="151" t="s">
        <v>5</v>
      </c>
      <c r="F5" s="153">
        <v>50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64.350000000000009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157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17191.500000000004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99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3,9%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33" sqref="C33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77734375" style="97" bestFit="1" customWidth="1"/>
    <col min="7" max="16384" width="8.664062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v>16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35">
      <c r="B25" s="97" t="str">
        <f>"Das enspricht "&amp;TEXT('Preise Output'!E26/('Preise Output'!C10),"0,0%") &amp; " des Leerstands p.a."</f>
        <v>Das enspricht 3,9%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16€ je Gutschein x 667 Roomnights</v>
      </c>
      <c r="C31" s="237">
        <f>C7*C4</f>
        <v>10672</v>
      </c>
    </row>
    <row r="32" spans="2:8" x14ac:dyDescent="0.35">
      <c r="B32" s="108" t="s">
        <v>293</v>
      </c>
      <c r="C32" s="229">
        <f>C26+C27</f>
        <v>1800.9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9279.6226890756298</v>
      </c>
    </row>
    <row r="36" spans="2:3" x14ac:dyDescent="0.35">
      <c r="B36" s="102" t="s">
        <v>65</v>
      </c>
      <c r="C36" s="239">
        <f>C12-C34</f>
        <v>7527.1000000000022</v>
      </c>
    </row>
    <row r="37" spans="2:3" x14ac:dyDescent="0.35">
      <c r="B37" s="97" t="s">
        <v>289</v>
      </c>
      <c r="C37" s="240">
        <f>C36/C12</f>
        <v>0.44786245000000008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2187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06B14E-0856-443D-94E5-5D8080DFAEBF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2024-06-03T15:56:55Z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