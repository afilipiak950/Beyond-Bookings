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Am Straßberger Tor/Vertragsgdokumente/"/>
    </mc:Choice>
  </mc:AlternateContent>
  <xr:revisionPtr revIDLastSave="2652" documentId="8_{D50F03F6-6C51-4C91-8437-F501A1E56D3F}" xr6:coauthVersionLast="47" xr6:coauthVersionMax="47" xr10:uidLastSave="{E3401CD4-2422-49A0-A1EB-866A7836DB4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H11" i="1" s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<sst xmlns="http://schemas.openxmlformats.org/spreadsheetml/2006/main" count="508" uniqueCount="295">
  <si>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</si>
  <si>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</si>
  <si>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</si>
  <si>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</si>
  <si>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</si>
  <si>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</si>
  <si>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</si>
  <si>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</si>
  <si>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</si>
  <si>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</si>
  <si>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</si>
  <si>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</si>
  <si>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</si>
  <si>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</si>
  <si>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</si>
  <si>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</si>
  <si>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</si>
  <si>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</si>
  <si>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</si>
  <si>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</si>
  <si>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</si>
  <si>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</si>
  <si>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</si>
  <si>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</si>
  <si>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</si>
  <si>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</si>
  <si>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</si>
  <si>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</si>
  <si>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</si>
  <si>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</si>
  <si>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</si>
  <si>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</si>
  <si>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</si>
  <si>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</si>
  <si>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</si>
  <si>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</si>
  <si>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</si>
  <si>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</si>
  <si>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</si>
  <si>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</si>
  <si>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</si>
  <si>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</si>
  <si>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</si>
  <si>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</si>
  <si>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</si>
  <si>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</si>
  <si>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</si>
  <si>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</si>
  <si>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</si>
  <si>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</si>
  <si>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</si>
  <si>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</si>
  <si>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</si>
  <si>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</si>
  <si>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</si>
  <si>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</si>
  <si>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</si>
  <si>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</si>
  <si>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</si>
  <si>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</si>
  <si>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</si>
  <si>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</si>
  <si>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</si>
  <si>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</si>
  <si>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</si>
  <si>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</si>
  <si>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</si>
  <si>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</si>
  <si>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</si>
  <si>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</si>
  <si>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</si>
  <si>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</si>
  <si>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</si>
  <si>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</si>
  <si>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</si>
  <si>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</si>
  <si>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</si>
  <si>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</si>
  <si>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</si>
  <si>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</si>
  <si>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</si>
  <si>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</si>
  <si>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</si>
  <si>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</si>
  <si>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</si>
  <si>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</si>
  <si>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</si>
  <si>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</si>
  <si>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</si>
  <si>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</si>
  <si>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</si>
  <si>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</si>
  <si>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</si>
  <si>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</si>
  <si>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</si>
  <si>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</si>
  <si>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</si>
  <si>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</si>
  <si>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</si>
  <si>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</si>
  <si>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</si>
  <si>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</si>
  <si>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</si>
  <si>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</si>
  <si>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</si>
  <si>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</si>
  <si>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</si>
  <si>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</si>
  <si>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</si>
  <si>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</si>
  <si>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</si>
  <si>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</si>
  <si>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</si>
  <si>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</si>
  <si>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</si>
  <si>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</si>
  <si>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</si>
  <si>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</si>
  <si>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</si>
  <si>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</si>
  <si>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</si>
  <si>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</si>
  <si>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</si>
  <si>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</si>
  <si>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</si>
  <si>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</si>
  <si>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</si>
  <si>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</si>
  <si>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</si>
  <si>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</si>
  <si>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</si>
  <si>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</si>
  <si>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</si>
  <si>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</si>
  <si>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</si>
  <si>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</si>
  <si>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</si>
  <si>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</si>
  <si>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</si>
  <si>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</si>
  <si>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</si>
  <si>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</si>
  <si>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</si>
  <si>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</si>
  <si>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</si>
  <si>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</si>
  <si>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</si>
  <si>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</si>
  <si>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</si>
  <si>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</si>
  <si>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</si>
  <si>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</si>
  <si>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</si>
  <si>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</si>
  <si>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</si>
  <si>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</si>
  <si>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</si>
  <si>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</si>
  <si>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</si>
  <si>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</si>
  <si>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</si>
  <si>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</si>
  <si>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</si>
  <si>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</si>
  <si>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</si>
  <si>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</si>
  <si>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</si>
  <si>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</si>
  <si>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</si>
  <si>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</si>
  <si>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</si>
  <si>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</si>
  <si>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</si>
  <si>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</si>
  <si>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</si>
  <si>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</si>
  <si>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</si>
  <si>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</si>
  <si>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</si>
  <si>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</si>
  <si>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</si>
  <si>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</si>
  <si>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</si>
  <si>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</si>
  <si>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</si>
  <si>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</si>
  <si>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</si>
  <si>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</si>
  <si>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</si>
  <si>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</si>
  <si>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</si>
  <si>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</si>
  <si>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</si>
  <si>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</si>
  <si>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</si>
  <si>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</si>
  <si>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</si>
  <si>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</si>
  <si>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</si>
  <si>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</si>
  <si>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</si>
  <si>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</si>
  <si>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</si>
  <si>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</si>
  <si>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</si>
  <si>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</si>
  <si>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</si>
  <si>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</si>
  <si>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</si>
  <si>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</si>
  <si>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</si>
  <si>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</si>
  <si>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</si>
  <si>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</si>
  <si>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</si>
  <si>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</si>
  <si>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</si>
  <si>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</si>
  <si>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</si>
  <si>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</si>
  <si>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</si>
  <si>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</si>
  <si>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</si>
  <si>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</si>
  <si>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</si>
  <si>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</si>
  <si>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</si>
  <si>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</si>
  <si>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</si>
  <si>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</si>
  <si>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</si>
  <si>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</si>
  <si>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</si>
  <si>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</si>
  <si>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</si>
  <si>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</si>
  <si>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</si>
  <si>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</si>
  <si>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</si>
  <si>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</si>
  <si>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</si>
  <si>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</si>
  <si>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</si>
  <si>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</si>
  <si>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</si>
  <si>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</si>
  <si>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</si>
  <si>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</si>
  <si>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</si>
  <si>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</si>
  <si>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</si>
  <si>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</si>
  <si>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</si>
  <si>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</si>
  <si>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</si>
  <si>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</si>
  <si>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</si>
  <si>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</si>
  <si>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</si>
  <si>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</si>
  <si>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</si>
  <si>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</si>
  <si>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</si>
  <si>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</si>
  <si>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</si>
  <si>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</si>
  <si>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</si>
  <si>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</si>
  <si>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</si>
  <si>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</si>
  <si>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</si>
  <si>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</si>
  <si>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</si>
  <si>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</si>
  <si>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</si>
  <si>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</si>
  <si>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</si>
  <si>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</si>
  <si>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</si>
  <si>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</si>
  <si>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</si>
  <si>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</si>
  <si>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</si>
  <si>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</si>
  <si>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</si>
  <si>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</si>
  <si>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</si>
  <si>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</si>
  <si>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</si>
  <si>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</si>
  <si>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</si>
  <si>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</si>
  <si>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</si>
  <si>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</si>
  <si>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Best Western Hotel Am Straßberger 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</si>
</sst>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38" activePane="bottomRight" state="frozen"/>
      <selection pane="topRight" activeCell="D1" sqref="D1"/>
      <selection pane="bottomLeft" activeCell="A15" sqref="A15"/>
      <selection pane="bottomRight" activeCell="C6" sqref="C6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45343</v>
      </c>
      <c r="E5" s="151" t="s">
        <v>5</v>
      </c>
      <c r="F5" s="153">
        <f>INDEX(Annahmen!$B$17:$D$22,MATCH('Preise Output'!$C$7,Annahmen!$B$17:$B$22,0),3)</f>
        <v>60</v>
      </c>
      <c r="G5" s="220"/>
      <c r="H5" s="220"/>
    </row>
    <row r="6" spans="1:32" ht="30" x14ac:dyDescent="0.4">
      <c r="B6" s="48" t="s">
        <v>4</v>
      </c>
      <c r="C6" s="49" t="s">
        <v>294</v>
      </c>
      <c r="E6" s="152" t="s">
        <v>290</v>
      </c>
      <c r="F6" s="37">
        <f>C12*0.65</f>
        <v>75.400000000000006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7</v>
      </c>
      <c r="E7" s="154" t="s">
        <v>8</v>
      </c>
      <c r="F7" s="212">
        <v>36.43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60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7" t="s">
        <v>246</v>
      </c>
      <c r="F9" s="158">
        <f>IFERROR(J26,"Bitte Produkt auswählen")</f>
        <v>0.26401966790769293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7664.9999999999991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9" t="s">
        <v>14</v>
      </c>
      <c r="F11" s="155">
        <f>+I26</f>
        <v>31828.500000000004</v>
      </c>
      <c r="G11" s="55"/>
      <c r="H11" s="50">
        <f>E26*F7</f>
        <v>23424.49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116</v>
      </c>
      <c r="D12" s="61"/>
      <c r="E12" s="156" t="s">
        <v>243</v>
      </c>
      <c r="F12" s="162">
        <f>19685*1.19</f>
        <v>23425.149999999998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643</v>
      </c>
      <c r="F24" s="76">
        <v>3</v>
      </c>
      <c r="G24" s="77">
        <f>F12*D24</f>
        <v>23425.149999999998</v>
      </c>
      <c r="H24" s="77">
        <f>$E24*$F$10*1.1-$G24</f>
        <v>8403.3500000000058</v>
      </c>
      <c r="I24" s="77">
        <f>G24+H24</f>
        <v>31828.500000000004</v>
      </c>
      <c r="J24" s="78">
        <f t="shared" si="16"/>
        <v>0.26401966790769293</v>
      </c>
      <c r="K24" s="77">
        <v>0</v>
      </c>
      <c r="L24" s="77">
        <v>0</v>
      </c>
      <c r="M24" s="77">
        <f>G24*1.19-G24</f>
        <v>4450.7784999999967</v>
      </c>
      <c r="N24" s="77">
        <f t="shared" si="5"/>
        <v>1374.4125000000001</v>
      </c>
      <c r="O24" s="77">
        <f>L24-M24-N24</f>
        <v>-5825.1909999999971</v>
      </c>
      <c r="P24" s="79">
        <f>IFERROR($H24-L24,"")</f>
        <v>8403.3500000000058</v>
      </c>
      <c r="Q24" s="78">
        <f>IFERROR(($H24-L24)/$I24,"")</f>
        <v>0.26401966790769293</v>
      </c>
      <c r="R24" s="80">
        <f>IFERROR((1-Q24)*F24,"")</f>
        <v>2.2079409962769212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643</v>
      </c>
      <c r="F26" s="89"/>
      <c r="G26" s="89">
        <f>SUBTOTAL(9,G19:G24)</f>
        <v>23425.149999999998</v>
      </c>
      <c r="H26" s="89">
        <f>SUBTOTAL(9,H19:H24)</f>
        <v>8403.3500000000058</v>
      </c>
      <c r="I26" s="89">
        <f>SUBTOTAL(9,I19:I24)</f>
        <v>31828.500000000004</v>
      </c>
      <c r="J26" s="90">
        <f>H26/I26</f>
        <v>0.26401966790769293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4450.7784999999967</v>
      </c>
      <c r="N26" s="89">
        <f t="shared" si="25"/>
        <v>1374.4125000000001</v>
      </c>
      <c r="O26" s="89">
        <f t="shared" si="25"/>
        <v>-5825.1909999999971</v>
      </c>
      <c r="P26" s="89">
        <f t="shared" si="25"/>
        <v>8403.3500000000058</v>
      </c>
      <c r="Q26" s="90">
        <f>($H26-L26)/$I26</f>
        <v>0.26401966790769293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8,4%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B24" sqref="B24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6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7">
        <v>25</v>
      </c>
    </row>
    <row r="3" spans="2:11" x14ac:dyDescent="0.4">
      <c r="B3" s="103" t="s">
        <v>52</v>
      </c>
      <c r="C3" s="227">
        <v>45</v>
      </c>
    </row>
    <row r="4" spans="2:11" x14ac:dyDescent="0.4">
      <c r="B4" s="103" t="s">
        <v>53</v>
      </c>
      <c r="C4" s="228">
        <f>+C3-C2</f>
        <v>20</v>
      </c>
    </row>
    <row r="5" spans="2:11" ht="6" customHeight="1" x14ac:dyDescent="0.4">
      <c r="C5" s="229"/>
    </row>
    <row r="6" spans="2:11" x14ac:dyDescent="0.4">
      <c r="B6" s="103" t="s">
        <v>54</v>
      </c>
      <c r="C6" s="227" t="s">
        <v>264</v>
      </c>
    </row>
    <row r="7" spans="2:11" x14ac:dyDescent="0.4">
      <c r="B7" s="103" t="s">
        <v>55</v>
      </c>
      <c r="C7" s="228">
        <f>IFERROR(INDEX('Preise Output'!$B$19:$E$24,MATCH(Preisvergleich!$C$6,'Preise Output'!$B$19:$B$24,0),4)/INDEX('Preise Output'!$B$19:$E$24,MATCH(Preisvergleich!$C$6,'Preise Output'!$B$19:$B$24,0),3),"--")</f>
        <v>643</v>
      </c>
    </row>
    <row r="9" spans="2:11" x14ac:dyDescent="0.4">
      <c r="B9" s="109" t="s">
        <v>56</v>
      </c>
      <c r="C9" s="230"/>
    </row>
    <row r="11" spans="2:11" ht="14.5" thickBot="1" x14ac:dyDescent="0.45">
      <c r="B11" s="106" t="s">
        <v>255</v>
      </c>
      <c r="C11" s="231">
        <f>INDEX(Produktpreise!$B$33:$S$54,MATCH(Preisvergleich!$C$6,Produktpreise!$C$33:$C$54,0),MATCH(Preisvergleich!B11,Produktpreise!$B$32:$S$32,0))</f>
        <v>19685</v>
      </c>
    </row>
    <row r="12" spans="2:11" x14ac:dyDescent="0.4">
      <c r="B12" s="214" t="s">
        <v>285</v>
      </c>
      <c r="C12" s="232">
        <f>INDEX(Produktpreise!$B$33:$S$54,MATCH(Preisvergleich!$C$6,Produktpreise!$C$33:$C$54,0),MATCH(Preisvergleich!B11,Produktpreise!$B$32:$S$32,0))</f>
        <v>19685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3">
        <f>E13*F13</f>
        <v>0</v>
      </c>
      <c r="E13" s="225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4">
        <f>F14*E14</f>
        <v>3740.15</v>
      </c>
      <c r="E14" s="225">
        <v>0.19</v>
      </c>
      <c r="F14" s="164">
        <f>C12-F13</f>
        <v>19685</v>
      </c>
    </row>
    <row r="15" spans="2:11" hidden="1" x14ac:dyDescent="0.4">
      <c r="B15" s="105" t="s">
        <v>61</v>
      </c>
      <c r="C15" s="235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7"/>
      <c r="D17" s="97" t="s">
        <v>184</v>
      </c>
    </row>
    <row r="18" spans="2:8" x14ac:dyDescent="0.4">
      <c r="B18" s="100" t="s">
        <v>180</v>
      </c>
      <c r="C18" s="238">
        <f>SUM(C12:C14)</f>
        <v>23425.15</v>
      </c>
    </row>
    <row r="21" spans="2:8" x14ac:dyDescent="0.4">
      <c r="B21" s="109" t="s">
        <v>63</v>
      </c>
      <c r="C21" s="230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643 Gutscheine x 36,43€ je Gutschein</v>
      </c>
      <c r="C24" s="239">
        <f>IFERROR(C7*'Preise Output'!$F$7,"--")</f>
        <v>23424.49</v>
      </c>
    </row>
    <row r="25" spans="2:8" x14ac:dyDescent="0.4">
      <c r="B25" s="97" t="str">
        <f>"Das enspricht "&amp;TEXT('Preise Output'!E26/('Preise Output'!C10),"0,0%") &amp; " des Leerstands p.a."</f>
        <v>Das enspricht 8,4% des Leerstands p.a.</v>
      </c>
      <c r="C25" s="233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6">
        <f>IFERROR(F26*E26,"--")</f>
        <v>1414.6643000000001</v>
      </c>
      <c r="E26" s="225">
        <v>7.0000000000000007E-2</v>
      </c>
      <c r="F26" s="164">
        <f>C24-F27</f>
        <v>20209.490000000002</v>
      </c>
    </row>
    <row r="27" spans="2:8" ht="14.5" thickBot="1" x14ac:dyDescent="0.45">
      <c r="B27" s="99" t="str">
        <f>"Mehrwertsteuer " &amp; TEXT(E27,"0%")</f>
        <v>Mehrwertsteuer 19%</v>
      </c>
      <c r="C27" s="236">
        <f>IFERROR(F27*E27,"--")</f>
        <v>610.85</v>
      </c>
      <c r="E27" s="225">
        <v>0.19</v>
      </c>
      <c r="F27" s="164">
        <f>G27*C7</f>
        <v>3215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643 Roomnights</v>
      </c>
      <c r="C31" s="239">
        <f>C7*C4</f>
        <v>12860</v>
      </c>
    </row>
    <row r="32" spans="2:8" x14ac:dyDescent="0.4">
      <c r="B32" s="108" t="s">
        <v>293</v>
      </c>
      <c r="C32" s="231">
        <f>C26+C27</f>
        <v>2025.5143000000003</v>
      </c>
    </row>
    <row r="33" spans="2:3" ht="14.5" thickBot="1" x14ac:dyDescent="0.45">
      <c r="B33" s="115" t="s">
        <v>288</v>
      </c>
      <c r="C33" s="240">
        <f>-(C13+C14)</f>
        <v>-3740.15</v>
      </c>
    </row>
    <row r="34" spans="2:3" x14ac:dyDescent="0.4">
      <c r="B34" s="96" t="s">
        <v>271</v>
      </c>
      <c r="C34" s="238">
        <f>SUM(C31:C33)</f>
        <v>11145.364300000001</v>
      </c>
    </row>
    <row r="36" spans="2:3" x14ac:dyDescent="0.4">
      <c r="B36" s="102" t="s">
        <v>65</v>
      </c>
      <c r="C36" s="241">
        <f>C12-C34</f>
        <v>8539.6356999999989</v>
      </c>
    </row>
    <row r="37" spans="2:3" x14ac:dyDescent="0.4">
      <c r="B37" s="97" t="s">
        <v>289</v>
      </c>
      <c r="C37" s="242">
        <f>C36/C12</f>
        <v>0.4338143611887223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19685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19685</v>
      </c>
      <c r="R16" s="35">
        <f t="shared" si="4"/>
        <v>6561.666666666667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19685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21125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22505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22505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22505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22505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643</v>
      </c>
      <c r="F7" s="129">
        <f>IF($B$6=100%,(('Preise Output'!$F$10-INDEX(Annahmen!$B$18:$C$22,MATCH('Preise Output'!$C$7,Annahmen!$B$18:$B$22,0),2))*'Preise Output'!$E$26)/10,('Preise Output'!$E$26*'Preise Output'!$F$10-$D$6)/10)</f>
        <v>643</v>
      </c>
      <c r="G7" s="129">
        <f>IF($B$6=100%,(('Preise Output'!$F$10-INDEX(Annahmen!$B$18:$C$22,MATCH('Preise Output'!$C$7,Annahmen!$B$18:$B$22,0),2))*'Preise Output'!$E$26)/10,('Preise Output'!$E$26*'Preise Output'!$F$10-$D$6)/10)</f>
        <v>643</v>
      </c>
      <c r="H7" s="129">
        <f>IF($B$6=100%,(('Preise Output'!$F$10-INDEX(Annahmen!$B$18:$C$22,MATCH('Preise Output'!$C$7,Annahmen!$B$18:$B$22,0),2))*'Preise Output'!$E$26)/10,('Preise Output'!$E$26*'Preise Output'!$F$10-$D$6)/10)</f>
        <v>643</v>
      </c>
      <c r="I7" s="129">
        <f>IF($B$6=100%,(('Preise Output'!$F$10-INDEX(Annahmen!$B$18:$C$22,MATCH('Preise Output'!$C$7,Annahmen!$B$18:$B$22,0),2))*'Preise Output'!$E$26)/10,('Preise Output'!$E$26*'Preise Output'!$F$10-$D$6)/10)</f>
        <v>643</v>
      </c>
      <c r="J7" s="129">
        <f>IF($B$6=100%,(('Preise Output'!$F$10-INDEX(Annahmen!$B$18:$C$22,MATCH('Preise Output'!$C$7,Annahmen!$B$18:$B$22,0),2))*'Preise Output'!$E$26)/10,('Preise Output'!$E$26*'Preise Output'!$F$10-$D$6)/10)</f>
        <v>643</v>
      </c>
      <c r="K7" s="129">
        <f>IF($B$6=100%,(('Preise Output'!$F$10-INDEX(Annahmen!$B$18:$C$22,MATCH('Preise Output'!$C$7,Annahmen!$B$18:$B$22,0),2))*'Preise Output'!$E$26)/10,('Preise Output'!$E$26*'Preise Output'!$F$10-$D$6)/10)</f>
        <v>643</v>
      </c>
      <c r="L7" s="129">
        <f>IF($B$6=100%,(('Preise Output'!$F$10-INDEX(Annahmen!$B$18:$C$22,MATCH('Preise Output'!$C$7,Annahmen!$B$18:$B$22,0),2))*'Preise Output'!$E$26)/10,('Preise Output'!$E$26*'Preise Output'!$F$10-$D$6)/10)</f>
        <v>643</v>
      </c>
      <c r="M7" s="129">
        <f>IF($B$6=100%,(('Preise Output'!$F$10-INDEX(Annahmen!$B$18:$C$22,MATCH('Preise Output'!$C$7,Annahmen!$B$18:$B$22,0),2))*'Preise Output'!$E$26)/10,('Preise Output'!$E$26*'Preise Output'!$F$10-$D$6)/10)</f>
        <v>643</v>
      </c>
      <c r="N7" s="129">
        <f>IF($B$6=100%,(('Preise Output'!$F$10-INDEX(Annahmen!$B$18:$C$22,MATCH('Preise Output'!$C$7,Annahmen!$B$18:$B$22,0),2))*'Preise Output'!$E$26)/10,('Preise Output'!$E$26*'Preise Output'!$F$10-$D$6)/10)</f>
        <v>643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643</v>
      </c>
      <c r="R7" s="129">
        <f>IF($B$6=100%,(('Preise Output'!$F$10-INDEX(Annahmen!$B$18:$C$22,MATCH('Preise Output'!$C$7,Annahmen!$B$18:$B$22,0),2))*'Preise Output'!$E$26)/10,('Preise Output'!$E$26*'Preise Output'!$F$10-$D$6)/10)</f>
        <v>643</v>
      </c>
      <c r="S7" s="129">
        <f>IF($B$6=100%,(('Preise Output'!$F$10-INDEX(Annahmen!$B$18:$C$22,MATCH('Preise Output'!$C$7,Annahmen!$B$18:$B$22,0),2))*'Preise Output'!$E$26)/10,('Preise Output'!$E$26*'Preise Output'!$F$10-$D$6)/10)</f>
        <v>643</v>
      </c>
      <c r="T7" s="129">
        <f>IF($B$6=100%,(('Preise Output'!$F$10-INDEX(Annahmen!$B$18:$C$22,MATCH('Preise Output'!$C$7,Annahmen!$B$18:$B$22,0),2))*'Preise Output'!$E$26)/10,('Preise Output'!$E$26*'Preise Output'!$F$10-$D$6)/10)</f>
        <v>643</v>
      </c>
      <c r="U7" s="129">
        <f>IF($B$6=100%,(('Preise Output'!$F$10-INDEX(Annahmen!$B$18:$C$22,MATCH('Preise Output'!$C$7,Annahmen!$B$18:$B$22,0),2))*'Preise Output'!$E$26)/10,('Preise Output'!$E$26*'Preise Output'!$F$10-$D$6)/10)</f>
        <v>643</v>
      </c>
      <c r="V7" s="129">
        <f>IF($B$6=100%,(('Preise Output'!$F$10-INDEX(Annahmen!$B$18:$C$22,MATCH('Preise Output'!$C$7,Annahmen!$B$18:$B$22,0),2))*'Preise Output'!$E$26)/10,('Preise Output'!$E$26*'Preise Output'!$F$10-$D$6)/10)</f>
        <v>643</v>
      </c>
      <c r="W7" s="129">
        <f>IF($B$6=100%,(('Preise Output'!$F$10-INDEX(Annahmen!$B$18:$C$22,MATCH('Preise Output'!$C$7,Annahmen!$B$18:$B$22,0),2))*'Preise Output'!$E$26)/10,('Preise Output'!$E$26*'Preise Output'!$F$10-$D$6)/10)</f>
        <v>643</v>
      </c>
      <c r="X7" s="129">
        <f>IF($B$6=100%,(('Preise Output'!$F$10-INDEX(Annahmen!$B$18:$C$22,MATCH('Preise Output'!$C$7,Annahmen!$B$18:$B$22,0),2))*'Preise Output'!$E$26)/10,('Preise Output'!$E$26*'Preise Output'!$F$10-$D$6)/10)</f>
        <v>643</v>
      </c>
      <c r="Y7" s="129">
        <f>IF($B$6=100%,(('Preise Output'!$F$10-INDEX(Annahmen!$B$18:$C$22,MATCH('Preise Output'!$C$7,Annahmen!$B$18:$B$22,0),2))*'Preise Output'!$E$26)/10,('Preise Output'!$E$26*'Preise Output'!$F$10-$D$6)/10)</f>
        <v>643</v>
      </c>
      <c r="Z7" s="129">
        <f>IF($B$6=100%,(('Preise Output'!$F$10-INDEX(Annahmen!$B$18:$C$22,MATCH('Preise Output'!$C$7,Annahmen!$B$18:$B$22,0),2))*'Preise Output'!$E$26)/10,('Preise Output'!$E$26*'Preise Output'!$F$10-$D$6)/10)</f>
        <v>643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643</v>
      </c>
      <c r="AD7" s="129">
        <f>IF($B$6=100%,(('Preise Output'!$F$10-INDEX(Annahmen!$B$18:$C$22,MATCH('Preise Output'!$C$7,Annahmen!$B$18:$B$22,0),2))*'Preise Output'!$E$26)/10,('Preise Output'!$E$26*'Preise Output'!$F$10-$D$6)/10)</f>
        <v>643</v>
      </c>
      <c r="AE7" s="129">
        <f>IF($B$6=100%,(('Preise Output'!$F$10-INDEX(Annahmen!$B$18:$C$22,MATCH('Preise Output'!$C$7,Annahmen!$B$18:$B$22,0),2))*'Preise Output'!$E$26)/10,('Preise Output'!$E$26*'Preise Output'!$F$10-$D$6)/10)</f>
        <v>643</v>
      </c>
      <c r="AF7" s="129">
        <f>IF($B$6=100%,(('Preise Output'!$F$10-INDEX(Annahmen!$B$18:$C$22,MATCH('Preise Output'!$C$7,Annahmen!$B$18:$B$22,0),2))*'Preise Output'!$E$26)/10,('Preise Output'!$E$26*'Preise Output'!$F$10-$D$6)/10)</f>
        <v>643</v>
      </c>
      <c r="AG7" s="129">
        <f>IF($B$6=100%,(('Preise Output'!$F$10-INDEX(Annahmen!$B$18:$C$22,MATCH('Preise Output'!$C$7,Annahmen!$B$18:$B$22,0),2))*'Preise Output'!$E$26)/10,('Preise Output'!$E$26*'Preise Output'!$F$10-$D$6)/10)</f>
        <v>643</v>
      </c>
      <c r="AH7" s="129">
        <f>IF($B$6=100%,(('Preise Output'!$F$10-INDEX(Annahmen!$B$18:$C$22,MATCH('Preise Output'!$C$7,Annahmen!$B$18:$B$22,0),2))*'Preise Output'!$E$26)/10,('Preise Output'!$E$26*'Preise Output'!$F$10-$D$6)/10)</f>
        <v>643</v>
      </c>
      <c r="AI7" s="129">
        <f>IF($B$6=100%,(('Preise Output'!$F$10-INDEX(Annahmen!$B$18:$C$22,MATCH('Preise Output'!$C$7,Annahmen!$B$18:$B$22,0),2))*'Preise Output'!$E$26)/10,('Preise Output'!$E$26*'Preise Output'!$F$10-$D$6)/10)</f>
        <v>643</v>
      </c>
      <c r="AJ7" s="129">
        <f>IF($B$6=100%,(('Preise Output'!$F$10-INDEX(Annahmen!$B$18:$C$22,MATCH('Preise Output'!$C$7,Annahmen!$B$18:$B$22,0),2))*'Preise Output'!$E$26)/10,('Preise Output'!$E$26*'Preise Output'!$F$10-$D$6)/10)</f>
        <v>643</v>
      </c>
      <c r="AK7" s="129">
        <f>IF($B$6=100%,(('Preise Output'!$F$10-INDEX(Annahmen!$B$18:$C$22,MATCH('Preise Output'!$C$7,Annahmen!$B$18:$B$22,0),2))*'Preise Output'!$E$26)/10,('Preise Output'!$E$26*'Preise Output'!$F$10-$D$6)/10)</f>
        <v>643</v>
      </c>
      <c r="AL7" s="129">
        <f>IF($B$6=100%,(('Preise Output'!$F$10-INDEX(Annahmen!$B$18:$C$22,MATCH('Preise Output'!$C$7,Annahmen!$B$18:$B$22,0),2))*'Preise Output'!$E$26)/10,('Preise Output'!$E$26*'Preise Output'!$F$10-$D$6)/10)</f>
        <v>643</v>
      </c>
      <c r="AM7" s="130"/>
      <c r="AN7" s="130">
        <f t="shared" ref="AN7:AN43" si="0">SUM(D7:AM7)</f>
        <v>19290</v>
      </c>
      <c r="AQ7" s="130">
        <f t="shared" ref="AQ7:AQ45" si="1">SUM(D7:F7)</f>
        <v>1286</v>
      </c>
      <c r="AR7" s="130">
        <f t="shared" ref="AR7:AR45" si="2">SUM(G7:I7)</f>
        <v>1929</v>
      </c>
      <c r="AS7" s="130">
        <f t="shared" ref="AS7:AS45" si="3">SUM(J7:L7)</f>
        <v>1929</v>
      </c>
      <c r="AT7" s="130">
        <f t="shared" ref="AT7:AT45" si="4">SUM(M7:O7)</f>
        <v>1286</v>
      </c>
      <c r="AU7" s="130">
        <f t="shared" ref="AU7:AU45" si="5">SUM(P7:R7)</f>
        <v>1286</v>
      </c>
      <c r="AV7" s="130">
        <f t="shared" ref="AV7:AV45" si="6">SUM(S7:U7)</f>
        <v>1929</v>
      </c>
      <c r="AW7" s="130">
        <f t="shared" ref="AW7:AW45" si="7">SUM(V7:X7)</f>
        <v>1929</v>
      </c>
      <c r="AX7" s="130">
        <f t="shared" ref="AX7:AX45" si="8">SUM(Y7:AA7)</f>
        <v>1286</v>
      </c>
      <c r="AY7" s="130">
        <f t="shared" ref="AY7:AY45" si="9">SUM(AB7:AD7)</f>
        <v>1286</v>
      </c>
      <c r="AZ7" s="130">
        <f t="shared" ref="AZ7:AZ45" si="10">SUM(AE7:AG7)</f>
        <v>1929</v>
      </c>
      <c r="BA7" s="130">
        <f t="shared" ref="BA7:BA45" si="11">SUM(AH7:AJ7)</f>
        <v>1929</v>
      </c>
      <c r="BB7" s="130">
        <f t="shared" ref="BB7:BB45" si="12">SUM(AK7:AM7)</f>
        <v>1286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-23425.149999999998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-23425.149999999998</v>
      </c>
      <c r="AQ42" s="134">
        <f t="shared" si="1"/>
        <v>-23425.149999999998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31828.500000000004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C44CF7-0239-497F-B19E-14ED81958B77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2024-07-15T13:55:43Z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