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indtner Hotel Hamburg/2404_Telefonanlage 35K/"/>
    </mc:Choice>
  </mc:AlternateContent>
  <xr:revisionPtr revIDLastSave="18" documentId="8_{207F9823-9F7A-439A-86BD-E629EE244269}" xr6:coauthVersionLast="47" xr6:coauthVersionMax="47" xr10:uidLastSave="{7AD5A6E7-2B92-489B-BB75-F62FF316B674}"/>
  <bookViews>
    <workbookView xWindow="0" yWindow="76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<sst xmlns="http://schemas.openxmlformats.org/spreadsheetml/2006/main" count="510" uniqueCount="297">
  <si>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</si>
  <si>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</si>
  <si>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</si>
  <si>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</si>
  <si>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</si>
  <si>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</si>
  <si>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</si>
  <si>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</si>
  <si>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</si>
  <si>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</si>
  <si>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</si>
  <si>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</si>
  <si>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</si>
  <si>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</si>
  <si>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</si>
  <si>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</si>
  <si>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</si>
  <si>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</si>
  <si>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</si>
  <si>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</si>
  <si>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</si>
  <si>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</si>
  <si>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</si>
  <si>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</si>
  <si>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</si>
  <si>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</si>
  <si>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</si>
  <si>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</si>
  <si>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</si>
  <si>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</si>
  <si>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</si>
  <si>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</si>
  <si>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</si>
  <si>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</si>
  <si>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</si>
  <si>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</si>
  <si>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</si>
  <si>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</si>
  <si>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</si>
  <si>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</si>
  <si>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</si>
  <si>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</si>
  <si>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</si>
  <si>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</si>
  <si>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</si>
  <si>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</si>
  <si>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</si>
  <si>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</si>
  <si>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</si>
  <si>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</si>
  <si>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</si>
  <si>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</si>
  <si>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</si>
  <si>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</si>
  <si>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</si>
  <si>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</si>
  <si>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</si>
  <si>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</si>
  <si>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</si>
  <si>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</si>
  <si>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</si>
  <si>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</si>
  <si>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</si>
  <si>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</si>
  <si>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</si>
  <si>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</si>
  <si>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</si>
  <si>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</si>
  <si>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</si>
  <si>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</si>
  <si>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</si>
  <si>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</si>
  <si>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</si>
  <si>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</si>
  <si>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</si>
  <si>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</si>
  <si>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</si>
  <si>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</si>
  <si>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</si>
  <si>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</si>
  <si>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</si>
  <si>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</si>
  <si>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</si>
  <si>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</si>
  <si>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</si>
  <si>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</si>
  <si>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</si>
  <si>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</si>
  <si>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</si>
  <si>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</si>
  <si>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</si>
  <si>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</si>
  <si>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</si>
  <si>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</si>
  <si>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</si>
  <si>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</si>
  <si>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</si>
  <si>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</si>
  <si>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</si>
  <si>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</si>
  <si>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</si>
  <si>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</si>
  <si>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</si>
  <si>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</si>
  <si>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</si>
  <si>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</si>
  <si>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</si>
  <si>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</si>
  <si>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</si>
  <si>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</si>
  <si>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</si>
  <si>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</si>
  <si>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</si>
  <si>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</si>
  <si>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</si>
  <si>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</si>
  <si>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</si>
  <si>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</si>
  <si>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</si>
  <si>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</si>
  <si>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</si>
  <si>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</si>
  <si>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</si>
  <si>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</si>
  <si>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</si>
  <si>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</si>
  <si>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</si>
  <si>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</si>
  <si>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</si>
  <si>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</si>
  <si>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</si>
  <si>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</si>
  <si>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</si>
  <si>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</si>
  <si>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</si>
  <si>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</si>
  <si>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</si>
  <si>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</si>
  <si>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</si>
  <si>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</si>
  <si>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</si>
  <si>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</si>
  <si>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</si>
  <si>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</si>
  <si>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</si>
  <si>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</si>
  <si>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</si>
  <si>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</si>
  <si>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</si>
  <si>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</si>
  <si>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</si>
  <si>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</si>
  <si>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</si>
  <si>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</si>
  <si>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</si>
  <si>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</si>
  <si>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</si>
  <si>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</si>
  <si>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</si>
  <si>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</si>
  <si>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</si>
  <si>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</si>
  <si>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</si>
  <si>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</si>
  <si>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</si>
  <si>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</si>
  <si>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</si>
  <si>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</si>
  <si>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</si>
  <si>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</si>
  <si>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</si>
  <si>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</si>
  <si>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</si>
  <si>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</si>
  <si>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</si>
  <si>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</si>
  <si>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</si>
  <si>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</si>
  <si>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</si>
  <si>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</si>
  <si>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</si>
  <si>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</si>
  <si>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</si>
  <si>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</si>
  <si>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</si>
  <si>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</si>
  <si>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</si>
  <si>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</si>
  <si>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</si>
  <si>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</si>
  <si>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</si>
  <si>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</si>
  <si>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</si>
  <si>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</si>
  <si>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</si>
  <si>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</si>
  <si>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</si>
  <si>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</si>
  <si>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</si>
  <si>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</si>
  <si>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</si>
  <si>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</si>
  <si>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</si>
  <si>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</si>
  <si>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</si>
  <si>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</si>
  <si>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</si>
  <si>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</si>
  <si>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</si>
  <si>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</si>
  <si>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</si>
  <si>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</si>
  <si>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</si>
  <si>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</si>
  <si>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</si>
  <si>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</si>
  <si>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</si>
  <si>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</si>
  <si>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</si>
  <si>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</si>
  <si>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</si>
  <si>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</si>
  <si>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</si>
  <si>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</si>
  <si>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</si>
  <si>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</si>
  <si>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</si>
  <si>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</si>
  <si>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</si>
  <si>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</si>
  <si>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</si>
  <si>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</si>
  <si>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</si>
  <si>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</si>
  <si>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</si>
  <si>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</si>
  <si>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</si>
  <si>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</si>
  <si>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</si>
  <si>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</si>
  <si>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</si>
  <si>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</si>
  <si>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</si>
  <si>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</si>
  <si>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</si>
  <si>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</si>
  <si>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</si>
  <si>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</si>
  <si>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</si>
  <si>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</si>
  <si>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</si>
  <si>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</si>
  <si>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</si>
  <si>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</si>
  <si>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</si>
  <si>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</si>
  <si>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</si>
  <si>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</si>
  <si>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</si>
  <si>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</si>
  <si>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</si>
  <si>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</si>
  <si>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</si>
  <si>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</si>
  <si>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</si>
  <si>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</si>
  <si>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</si>
  <si>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</si>
  <si>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</si>
  <si>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</si>
  <si>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</si>
  <si>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</si>
  <si>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</si>
  <si>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</si>
  <si>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</si>
  <si>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</si>
  <si>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</si>
  <si>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</si>
  <si>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</si>
  <si>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</si>
  <si>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</si>
  <si>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</si>
  <si>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</si>
  <si>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</si>
  <si>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</si>
  <si>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</si>
  <si>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</si>
  <si>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</si>
  <si>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</si>
  <si>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</si>
  <si>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</si>
  <si>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</si>
  <si>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</si>
  <si>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</si>
  <si>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</si>
  <si>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</si>
  <si>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Lindtner Hotel Hamburg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</si>
</sst>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6640625" defaultRowHeight="16" outlineLevelCol="2"/>
  <cols>
    <col min="1" max="1" width="4.6640625" style="37" customWidth="1"/>
    <col min="2" max="2" width="61.6640625" style="37" bestFit="1" customWidth="1"/>
    <col min="3" max="3" width="29.6640625" style="37" bestFit="1" customWidth="1"/>
    <col min="4" max="4" width="17.33203125" style="38" customWidth="1"/>
    <col min="5" max="5" width="50.1640625" style="37" bestFit="1" customWidth="1"/>
    <col min="6" max="6" width="28.6640625" style="37" bestFit="1" customWidth="1"/>
    <col min="7" max="7" width="24.33203125" style="37" customWidth="1" outlineLevel="1"/>
    <col min="8" max="8" width="24.33203125" style="40" customWidth="1" outlineLevel="1"/>
    <col min="9" max="9" width="31.5" style="40" customWidth="1" outlineLevel="1"/>
    <col min="10" max="12" width="24.5" style="40" customWidth="1" outlineLevel="1"/>
    <col min="13" max="13" width="18.3320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5" style="40" customWidth="1" outlineLevel="1"/>
    <col min="18" max="18" width="25" style="40" customWidth="1" outlineLevel="1"/>
    <col min="19" max="19" width="24.33203125" style="37" customWidth="1"/>
    <col min="20" max="20" width="17.5" style="37" customWidth="1"/>
    <col min="21" max="21" width="10.6640625" style="37"/>
    <col min="22" max="22" width="17" style="37" customWidth="1"/>
    <col min="23" max="23" width="16.5" style="37" customWidth="1"/>
    <col min="24" max="24" width="19" style="37" customWidth="1"/>
    <col min="25" max="25" width="15" style="37" customWidth="1"/>
    <col min="26" max="26" width="18.33203125" style="37" customWidth="1"/>
    <col min="27" max="27" width="17.6640625" style="37" customWidth="1"/>
    <col min="28" max="29" width="15.33203125" style="37" customWidth="1"/>
    <col min="30" max="32" width="10.6640625" style="37"/>
    <col min="33" max="33" width="16.5" style="37" customWidth="1"/>
    <col min="34" max="16384" width="10.66406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ht="17">
      <c r="B5" s="48" t="s">
        <v>3</v>
      </c>
      <c r="C5" s="143">
        <v>45365</v>
      </c>
      <c r="E5" s="151" t="s">
        <v>5</v>
      </c>
      <c r="F5" s="153">
        <v>79</v>
      </c>
      <c r="G5" s="218"/>
      <c r="H5" s="218"/>
    </row>
    <row r="6" spans="1:32" ht="17">
      <c r="B6" s="48" t="s">
        <v>4</v>
      </c>
      <c r="C6" s="49" t="s">
        <v>296</v>
      </c>
      <c r="E6" s="152" t="s">
        <v>290</v>
      </c>
      <c r="F6" s="37">
        <f>C12*0.65</f>
        <v>116.35000000000001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ht="17">
      <c r="B7" s="48" t="s">
        <v>6</v>
      </c>
      <c r="C7" s="49" t="s">
        <v>170</v>
      </c>
      <c r="E7" s="154" t="s">
        <v>8</v>
      </c>
      <c r="F7" s="210">
        <v>45.02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ht="17">
      <c r="B8" s="48" t="s">
        <v>9</v>
      </c>
      <c r="C8" s="158">
        <v>128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ht="17">
      <c r="B9" s="48" t="s">
        <v>10</v>
      </c>
      <c r="C9" s="54">
        <v>0.7</v>
      </c>
      <c r="E9" s="156" t="s">
        <v>246</v>
      </c>
      <c r="F9" s="157">
        <f>IFERROR(J26,"Bitte Produkt auswählen")</f>
        <v>0.30926098180715322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ht="17">
      <c r="B10" s="48" t="s">
        <v>11</v>
      </c>
      <c r="C10" s="58">
        <f>C8*365*(1-C9)</f>
        <v>14016.000000000002</v>
      </c>
      <c r="E10" s="152" t="s">
        <v>13</v>
      </c>
      <c r="F10" s="168">
        <f>F5*0.75</f>
        <v>59.25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8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51683.775000000001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8" thickBot="1">
      <c r="B12" s="48" t="s">
        <v>281</v>
      </c>
      <c r="C12" s="158">
        <v>179</v>
      </c>
      <c r="D12" s="61"/>
      <c r="E12" s="155" t="s">
        <v>243</v>
      </c>
      <c r="F12" s="241">
        <f>30000*1.19</f>
        <v>35700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4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793</v>
      </c>
      <c r="F24" s="76">
        <v>3</v>
      </c>
      <c r="G24" s="77">
        <f>F12*D24</f>
        <v>35700</v>
      </c>
      <c r="H24" s="77">
        <f>$E24*$F$10*1.1-$G24</f>
        <v>15983.775000000001</v>
      </c>
      <c r="I24" s="77">
        <f>G24+H24</f>
        <v>51683.775000000001</v>
      </c>
      <c r="J24" s="78">
        <f t="shared" si="16"/>
        <v>0.30926098180715322</v>
      </c>
      <c r="K24" s="77">
        <v>0</v>
      </c>
      <c r="L24" s="77">
        <v>0</v>
      </c>
      <c r="M24" s="77">
        <f>G24*1.19-G24</f>
        <v>6783</v>
      </c>
      <c r="N24" s="77">
        <f t="shared" si="5"/>
        <v>2231.7993750000001</v>
      </c>
      <c r="O24" s="77">
        <f>L24-M24-N24</f>
        <v>-9014.7993750000005</v>
      </c>
      <c r="P24" s="79">
        <f>IFERROR($H24-L24,"")</f>
        <v>15983.775000000001</v>
      </c>
      <c r="Q24" s="78">
        <f>IFERROR(($H24-L24)/$I24,"")</f>
        <v>0.30926098180715322</v>
      </c>
      <c r="R24" s="80">
        <f>IFERROR((1-Q24)*F24,"")</f>
        <v>2.0722170545785401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20">
      <c r="B26" s="87" t="s">
        <v>50</v>
      </c>
      <c r="C26" s="87"/>
      <c r="D26" s="88">
        <f>SUBTOTAL(9,D19:D24)</f>
        <v>1</v>
      </c>
      <c r="E26" s="89">
        <f>SUBTOTAL(9,E19:E24)</f>
        <v>793</v>
      </c>
      <c r="F26" s="89"/>
      <c r="G26" s="89">
        <f>SUBTOTAL(9,G19:G24)</f>
        <v>35700</v>
      </c>
      <c r="H26" s="89">
        <f>SUBTOTAL(9,H19:H24)</f>
        <v>15983.775000000001</v>
      </c>
      <c r="I26" s="89">
        <f>SUBTOTAL(9,I19:I24)</f>
        <v>51683.775000000001</v>
      </c>
      <c r="J26" s="90">
        <f>H26/I26</f>
        <v>0.30926098180715322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6783</v>
      </c>
      <c r="N26" s="89">
        <f t="shared" si="25"/>
        <v>2231.7993750000001</v>
      </c>
      <c r="O26" s="89">
        <f t="shared" si="25"/>
        <v>-9014.7993750000005</v>
      </c>
      <c r="P26" s="89">
        <f t="shared" si="25"/>
        <v>15983.775000000001</v>
      </c>
      <c r="Q26" s="90">
        <f>($H26-L26)/$I26</f>
        <v>0.30926098180715322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5,7%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/>
  <cols>
    <col min="1" max="1" width="43.1640625" bestFit="1" customWidth="1"/>
    <col min="2" max="2" width="10.83203125" hidden="1" customWidth="1"/>
    <col min="3" max="3" width="11.83203125" bestFit="1" customWidth="1"/>
    <col min="5" max="5" width="0" hidden="1" customWidth="1"/>
    <col min="8" max="8" width="0" hidden="1" customWidth="1"/>
    <col min="10" max="10" width="13.5" customWidth="1"/>
    <col min="11" max="11" width="0" hidden="1" customWidth="1"/>
    <col min="13" max="13" width="13.5" customWidth="1"/>
    <col min="14" max="14" width="0" hidden="1" customWidth="1"/>
    <col min="16" max="16" width="11.83203125" bestFit="1" customWidth="1"/>
  </cols>
  <sheetData>
    <row r="1" spans="1:16" ht="51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7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51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7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6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6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6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6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6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6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6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6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6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6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7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7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6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6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6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6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6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B1" workbookViewId="0">
      <selection activeCell="F30" sqref="F30"/>
    </sheetView>
  </sheetViews>
  <sheetFormatPr baseColWidth="10" defaultColWidth="8.6640625" defaultRowHeight="15"/>
  <cols>
    <col min="1" max="1" width="3" style="97" customWidth="1"/>
    <col min="2" max="2" width="41" style="97" bestFit="1" customWidth="1"/>
    <col min="3" max="3" width="37.33203125" style="234" bestFit="1" customWidth="1"/>
    <col min="4" max="5" width="8.6640625" style="97"/>
    <col min="6" max="6" width="11.83203125" style="97" bestFit="1" customWidth="1"/>
    <col min="7" max="16384" width="8.66406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793</v>
      </c>
    </row>
    <row r="9" spans="2:11">
      <c r="B9" s="109" t="s">
        <v>56</v>
      </c>
      <c r="C9" s="228"/>
    </row>
    <row r="11" spans="2:11" ht="16" thickBot="1">
      <c r="B11" s="106" t="s">
        <v>255</v>
      </c>
      <c r="C11" s="229">
        <f>C12</f>
        <v>30000</v>
      </c>
    </row>
    <row r="12" spans="2:11">
      <c r="B12" s="212" t="s">
        <v>285</v>
      </c>
      <c r="C12" s="230">
        <f>F13+F14</f>
        <v>30000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6" thickBot="1">
      <c r="B14" s="99" t="str">
        <f>"Mehrwertsteuer " &amp; TEXT(E14,"0%")</f>
        <v>Mehrwertsteuer 19%</v>
      </c>
      <c r="C14" s="232">
        <f>F14*E14</f>
        <v>5700</v>
      </c>
      <c r="E14" s="223">
        <v>0.19</v>
      </c>
      <c r="F14" s="162">
        <f>(F18-F13*(1+E13))/(1+E14)</f>
        <v>30000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6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35700</v>
      </c>
      <c r="F18" s="97">
        <f>'Preise Output'!G26</f>
        <v>35700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793 Gutscheine x 45,02€ je Gutschein</v>
      </c>
      <c r="C24" s="237">
        <f>IFERROR(C7*'Preise Output'!$F$7,"--")</f>
        <v>35700.86</v>
      </c>
    </row>
    <row r="25" spans="2:8">
      <c r="B25" s="97" t="str">
        <f>"Das enspricht "&amp;TEXT('Preise Output'!E26/('Preise Output'!C10),"0,0%") &amp; " des Leerstands p.a."</f>
        <v>Das enspricht 5,7%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2499.0602000000003</v>
      </c>
      <c r="E26" s="223">
        <v>7.0000000000000007E-2</v>
      </c>
      <c r="F26" s="162">
        <f>C24-F27</f>
        <v>35700.86</v>
      </c>
    </row>
    <row r="27" spans="2:8" ht="16" thickBot="1">
      <c r="B27" s="99" t="str">
        <f>"Mehrwertsteuer " &amp; TEXT(E27,"0%")</f>
        <v>Mehrwertsteuer 19%</v>
      </c>
      <c r="C27" s="234">
        <f>IFERROR(F27*E27,"--")</f>
        <v>0</v>
      </c>
      <c r="E27" s="223">
        <v>0.19</v>
      </c>
      <c r="F27" s="162">
        <f>G27*C7</f>
        <v>0</v>
      </c>
      <c r="G27" s="104">
        <v>0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793 Roomnights</v>
      </c>
      <c r="C31" s="237">
        <f>C7*C4</f>
        <v>15860</v>
      </c>
    </row>
    <row r="32" spans="2:8">
      <c r="B32" s="108" t="s">
        <v>293</v>
      </c>
      <c r="C32" s="229">
        <f>C26+C27</f>
        <v>2499.0602000000003</v>
      </c>
    </row>
    <row r="33" spans="2:3" ht="16" thickBot="1">
      <c r="B33" s="115" t="s">
        <v>288</v>
      </c>
      <c r="C33" s="238">
        <f>-(C13+C14)</f>
        <v>-5700</v>
      </c>
    </row>
    <row r="34" spans="2:3">
      <c r="B34" s="96" t="s">
        <v>271</v>
      </c>
      <c r="C34" s="236">
        <f>SUM(C31:C33)</f>
        <v>12659.0602</v>
      </c>
    </row>
    <row r="36" spans="2:3">
      <c r="B36" s="102" t="s">
        <v>65</v>
      </c>
      <c r="C36" s="239">
        <f>C12-C34</f>
        <v>17340.9398</v>
      </c>
    </row>
    <row r="37" spans="2:3">
      <c r="B37" s="97" t="s">
        <v>289</v>
      </c>
      <c r="C37" s="240">
        <f>C36/C12</f>
        <v>0.57803132666666668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640625" defaultRowHeight="15"/>
  <cols>
    <col min="1" max="1" width="7.33203125" customWidth="1"/>
    <col min="2" max="2" width="21.33203125" customWidth="1"/>
    <col min="3" max="3" width="42" customWidth="1"/>
    <col min="4" max="5" width="24.6640625" customWidth="1"/>
    <col min="6" max="6" width="24.33203125" customWidth="1"/>
    <col min="7" max="7" width="20" customWidth="1"/>
    <col min="8" max="8" width="17.33203125" customWidth="1"/>
    <col min="9" max="10" width="20.5" customWidth="1"/>
    <col min="11" max="12" width="20.33203125" customWidth="1"/>
    <col min="13" max="13" width="18.5" customWidth="1"/>
    <col min="14" max="14" width="13.5" bestFit="1" customWidth="1"/>
    <col min="15" max="15" width="13.5" customWidth="1"/>
    <col min="16" max="16" width="19.5" customWidth="1"/>
    <col min="17" max="17" width="20" style="7" customWidth="1"/>
    <col min="18" max="18" width="14.5" customWidth="1"/>
    <col min="19" max="19" width="15.3320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8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ht="16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ht="16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ht="16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ht="16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ht="16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ht="16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7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7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7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7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7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ht="16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30000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30000</v>
      </c>
      <c r="R16" s="35">
        <f t="shared" si="4"/>
        <v>10000</v>
      </c>
      <c r="S16" s="32"/>
    </row>
    <row r="17" spans="2:19" s="5" customFormat="1" ht="16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ht="16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ht="16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ht="16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ht="16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ht="16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16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ht="16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ht="16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ht="16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2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ht="16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ht="16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ht="16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ht="16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ht="16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ht="16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7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7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7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7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7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ht="16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30000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31440</v>
      </c>
      <c r="R44" s="26"/>
      <c r="S44" s="27"/>
    </row>
    <row r="45" spans="2:19" ht="16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ht="16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ht="16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ht="16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ht="16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16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ht="16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ht="16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ht="16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ht="16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/>
  <cols>
    <col min="1" max="1" width="24.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3203125" defaultRowHeight="15" outlineLevelRow="1"/>
  <cols>
    <col min="3" max="3" width="26.6640625" customWidth="1"/>
    <col min="4" max="4" width="12.1640625" style="127" customWidth="1"/>
    <col min="5" max="5" width="11.33203125" style="126" bestFit="1" customWidth="1"/>
    <col min="6" max="6" width="11.6640625" style="126" bestFit="1" customWidth="1"/>
    <col min="7" max="7" width="11.33203125" style="126" bestFit="1" customWidth="1"/>
    <col min="8" max="8" width="14.5" style="126" customWidth="1"/>
    <col min="9" max="15" width="11.33203125" style="126" bestFit="1" customWidth="1"/>
    <col min="16" max="16" width="10.5" bestFit="1" customWidth="1"/>
    <col min="17" max="27" width="11.33203125" bestFit="1" customWidth="1"/>
    <col min="28" max="28" width="10.5" bestFit="1" customWidth="1"/>
    <col min="29" max="39" width="11.33203125" bestFit="1" customWidth="1"/>
    <col min="40" max="40" width="12.33203125" bestFit="1" customWidth="1"/>
    <col min="41" max="41" width="10.5" bestFit="1" customWidth="1"/>
    <col min="43" max="43" width="12.6640625" bestFit="1" customWidth="1"/>
    <col min="44" max="44" width="11.33203125" bestFit="1" customWidth="1"/>
    <col min="45" max="50" width="10.33203125" bestFit="1" customWidth="1"/>
    <col min="51" max="54" width="10.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39650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39650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39650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39650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F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G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H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I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J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K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L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M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N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R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S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T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U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V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W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X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Y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Z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AD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AE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AF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AG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AH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AI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AJ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AK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AL7" s="129">
        <f>IF($B$6=100%,(('Preise Output'!$F$10-INDEX(Annahmen!$B$18:$C$22,MATCH('Preise Output'!$C$7,Annahmen!$B$18:$B$22,0),2))*'Preise Output'!$E$26)/10,('Preise Output'!$E$26*'Preise Output'!$F$10-$D$6)/10)</f>
        <v>733.52499999999998</v>
      </c>
      <c r="AM7" s="130"/>
      <c r="AN7" s="130">
        <f t="shared" ref="AN7:AN43" si="0">SUM(D7:AM7)</f>
        <v>22005.750000000004</v>
      </c>
      <c r="AQ7" s="130">
        <f t="shared" ref="AQ7:AQ45" si="1">SUM(D7:F7)</f>
        <v>1467.05</v>
      </c>
      <c r="AR7" s="130">
        <f t="shared" ref="AR7:AR45" si="2">SUM(G7:I7)</f>
        <v>2200.5749999999998</v>
      </c>
      <c r="AS7" s="130">
        <f t="shared" ref="AS7:AS45" si="3">SUM(J7:L7)</f>
        <v>2200.5749999999998</v>
      </c>
      <c r="AT7" s="130">
        <f t="shared" ref="AT7:AT45" si="4">SUM(M7:O7)</f>
        <v>1467.05</v>
      </c>
      <c r="AU7" s="130">
        <f t="shared" ref="AU7:AU45" si="5">SUM(P7:R7)</f>
        <v>1467.05</v>
      </c>
      <c r="AV7" s="130">
        <f t="shared" ref="AV7:AV45" si="6">SUM(S7:U7)</f>
        <v>2200.5749999999998</v>
      </c>
      <c r="AW7" s="130">
        <f t="shared" ref="AW7:AW45" si="7">SUM(V7:X7)</f>
        <v>2200.5749999999998</v>
      </c>
      <c r="AX7" s="130">
        <f t="shared" ref="AX7:AX45" si="8">SUM(Y7:AA7)</f>
        <v>1467.05</v>
      </c>
      <c r="AY7" s="130">
        <f t="shared" ref="AY7:AY45" si="9">SUM(AB7:AD7)</f>
        <v>1467.05</v>
      </c>
      <c r="AZ7" s="130">
        <f t="shared" ref="AZ7:AZ45" si="10">SUM(AE7:AG7)</f>
        <v>2200.5749999999998</v>
      </c>
      <c r="BA7" s="130">
        <f t="shared" ref="BA7:BA45" si="11">SUM(AH7:AJ7)</f>
        <v>2200.5749999999998</v>
      </c>
      <c r="BB7" s="130">
        <f t="shared" ref="BB7:BB45" si="12">SUM(AK7:AM7)</f>
        <v>1467.05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-35700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-35700</v>
      </c>
      <c r="AQ42" s="134">
        <f t="shared" si="1"/>
        <v>-35700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640625" defaultRowHeight="15"/>
  <cols>
    <col min="1" max="1" width="7.33203125" customWidth="1"/>
    <col min="2" max="2" width="21.33203125" customWidth="1"/>
    <col min="3" max="4" width="35" customWidth="1"/>
    <col min="5" max="5" width="24.33203125" customWidth="1"/>
    <col min="6" max="6" width="21.33203125" bestFit="1" customWidth="1"/>
    <col min="7" max="7" width="20.33203125" customWidth="1"/>
    <col min="8" max="8" width="17.33203125" customWidth="1"/>
    <col min="9" max="11" width="20.5" customWidth="1"/>
    <col min="12" max="12" width="18.5" customWidth="1"/>
    <col min="13" max="13" width="13.5" bestFit="1" customWidth="1"/>
    <col min="14" max="14" width="13.5" customWidth="1"/>
    <col min="16" max="16" width="13.5" style="137" customWidth="1"/>
    <col min="17" max="17" width="15.5" style="137" customWidth="1"/>
    <col min="18" max="18" width="12.33203125" style="137" bestFit="1" customWidth="1"/>
    <col min="19" max="19" width="12.6640625" style="137" bestFit="1" customWidth="1"/>
    <col min="20" max="20" width="12.6640625" style="137" customWidth="1"/>
    <col min="21" max="21" width="13.3320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8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ht="16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ht="16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ht="16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ht="16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ht="16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ht="16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16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2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2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ht="16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ht="16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ht="16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51683.775000000001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ht="16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ht="16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ht="16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ht="16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ht="16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ht="16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ht="16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ht="16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ht="16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ht="16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640625" defaultRowHeight="15"/>
  <cols>
    <col min="1" max="1" width="6.33203125" customWidth="1"/>
    <col min="2" max="2" width="23.6640625" bestFit="1" customWidth="1"/>
    <col min="3" max="3" width="18.5" customWidth="1"/>
    <col min="4" max="5" width="17.5" customWidth="1"/>
    <col min="7" max="7" width="26.6640625" customWidth="1"/>
    <col min="8" max="8" width="12.6640625" customWidth="1"/>
    <col min="9" max="9" width="11.5" bestFit="1" customWidth="1"/>
    <col min="10" max="10" width="23.6640625" bestFit="1" customWidth="1"/>
    <col min="11" max="11" width="11.5" bestFit="1" customWidth="1"/>
    <col min="12" max="12" width="12.5" bestFit="1" customWidth="1"/>
    <col min="14" max="14" width="28.66406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0ff8542a-a91c-4213-8a41-8808dc7548c9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openxmlformats.org/package/2006/metadata/core-properties"/>
    <ds:schemaRef ds:uri="afe551f1-9bb4-42df-b25d-b04c42b3903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38D66AE-44C4-48B6-804C-274A7056DF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Constantin Wunderlin</cp:lastModifiedBy>
  <cp:revision/>
  <dcterms:created xsi:type="dcterms:W3CDTF">2019-06-03T13:08:51Z</dcterms:created>
  <dcterms:modified xsi:type="dcterms:W3CDTF">2024-04-08T12:05:52Z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