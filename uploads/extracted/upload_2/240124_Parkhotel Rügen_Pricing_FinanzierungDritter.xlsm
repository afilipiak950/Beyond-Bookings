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hotel Rügen/"/>
    </mc:Choice>
  </mc:AlternateContent>
  <xr:revisionPtr revIDLastSave="2616" documentId="8_{D50F03F6-6C51-4C91-8437-F501A1E56D3F}" xr6:coauthVersionLast="47" xr6:coauthVersionMax="47" xr10:uidLastSave="{3B9DDB21-3F8D-418E-8419-CD146D35782E}"/>
  <bookViews>
    <workbookView xWindow="9510" yWindow="0" windowWidth="978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C33" i="8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<sst xmlns="http://schemas.openxmlformats.org/spreadsheetml/2006/main" count="508" uniqueCount="295">
  <si>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</si>
  <si>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</si>
  <si>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</si>
  <si>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</si>
  <si>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</si>
  <si>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</si>
  <si>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</si>
  <si>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</si>
  <si>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</si>
  <si>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</si>
  <si>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</si>
  <si>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</si>
  <si>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</si>
  <si>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</si>
  <si>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</si>
  <si>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</si>
  <si>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</si>
  <si>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</si>
  <si>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</si>
  <si>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</si>
  <si>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</si>
  <si>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</si>
  <si>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</si>
  <si>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</si>
  <si>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</si>
  <si>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</si>
  <si>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</si>
  <si>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</si>
  <si>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</si>
  <si>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</si>
  <si>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</si>
  <si>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</si>
  <si>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</si>
  <si>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</si>
  <si>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</si>
  <si>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</si>
  <si>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</si>
  <si>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</si>
  <si>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</si>
  <si>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</si>
  <si>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</si>
  <si>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</si>
  <si>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</si>
  <si>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</si>
  <si>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</si>
  <si>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</si>
  <si>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</si>
  <si>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</si>
  <si>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</si>
  <si>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</si>
  <si>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</si>
  <si>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</si>
  <si>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</si>
  <si>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</si>
  <si>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</si>
  <si>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</si>
  <si>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</si>
  <si>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</si>
  <si>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</si>
  <si>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</si>
  <si>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</si>
  <si>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</si>
  <si>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</si>
  <si>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</si>
  <si>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</si>
  <si>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</si>
  <si>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</si>
  <si>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</si>
  <si>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</si>
  <si>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</si>
  <si>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</si>
  <si>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</si>
  <si>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</si>
  <si>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</si>
  <si>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</si>
  <si>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</si>
  <si>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</si>
  <si>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</si>
  <si>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</si>
  <si>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</si>
  <si>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</si>
  <si>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</si>
  <si>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</si>
  <si>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</si>
  <si>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</si>
  <si>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</si>
  <si>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</si>
  <si>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</si>
  <si>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</si>
  <si>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</si>
  <si>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</si>
  <si>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</si>
  <si>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</si>
  <si>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</si>
  <si>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</si>
  <si>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</si>
  <si>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</si>
  <si>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</si>
  <si>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</si>
  <si>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</si>
  <si>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</si>
  <si>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</si>
  <si>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</si>
  <si>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</si>
  <si>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</si>
  <si>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</si>
  <si>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</si>
  <si>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</si>
  <si>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</si>
  <si>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</si>
  <si>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</si>
  <si>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</si>
  <si>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</si>
  <si>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</si>
  <si>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</si>
  <si>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</si>
  <si>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</si>
  <si>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</si>
  <si>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</si>
  <si>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</si>
  <si>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</si>
  <si>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</si>
  <si>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</si>
  <si>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</si>
  <si>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</si>
  <si>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</si>
  <si>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</si>
  <si>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</si>
  <si>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</si>
  <si>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</si>
  <si>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</si>
  <si>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</si>
  <si>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</si>
  <si>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</si>
  <si>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</si>
  <si>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</si>
  <si>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</si>
  <si>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</si>
  <si>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</si>
  <si>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</si>
  <si>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</si>
  <si>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</si>
  <si>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</si>
  <si>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</si>
  <si>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</si>
  <si>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</si>
  <si>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</si>
  <si>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</si>
  <si>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</si>
  <si>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</si>
  <si>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</si>
  <si>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</si>
  <si>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</si>
  <si>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</si>
  <si>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</si>
  <si>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</si>
  <si>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</si>
  <si>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</si>
  <si>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</si>
  <si>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</si>
  <si>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</si>
  <si>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</si>
  <si>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</si>
  <si>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</si>
  <si>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</si>
  <si>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</si>
  <si>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</si>
  <si>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</si>
  <si>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</si>
  <si>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</si>
  <si>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</si>
  <si>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</si>
  <si>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</si>
  <si>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</si>
  <si>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</si>
  <si>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</si>
  <si>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</si>
  <si>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</si>
  <si>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</si>
  <si>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</si>
  <si>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</si>
  <si>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</si>
  <si>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</si>
  <si>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</si>
  <si>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</si>
  <si>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</si>
  <si>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</si>
  <si>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</si>
  <si>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</si>
  <si>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</si>
  <si>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</si>
  <si>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</si>
  <si>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</si>
  <si>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</si>
  <si>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</si>
  <si>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</si>
  <si>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</si>
  <si>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</si>
  <si>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</si>
  <si>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</si>
  <si>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</si>
  <si>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</si>
  <si>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</si>
  <si>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</si>
  <si>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</si>
  <si>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</si>
  <si>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</si>
  <si>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</si>
  <si>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</si>
  <si>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</si>
  <si>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</si>
  <si>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</si>
  <si>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</si>
  <si>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</si>
  <si>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</si>
  <si>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</si>
  <si>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</si>
  <si>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</si>
  <si>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</si>
  <si>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</si>
  <si>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</si>
  <si>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</si>
  <si>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</si>
  <si>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</si>
  <si>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</si>
  <si>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</si>
  <si>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</si>
  <si>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</si>
  <si>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</si>
  <si>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</si>
  <si>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</si>
  <si>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</si>
  <si>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</si>
  <si>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</si>
  <si>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</si>
  <si>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</si>
  <si>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</si>
  <si>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</si>
  <si>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</si>
  <si>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</si>
  <si>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</si>
  <si>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</si>
  <si>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</si>
  <si>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</si>
  <si>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</si>
  <si>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</si>
  <si>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</si>
  <si>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</si>
  <si>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</si>
  <si>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</si>
  <si>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</si>
  <si>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</si>
  <si>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</si>
  <si>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</si>
  <si>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</si>
  <si>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</si>
  <si>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</si>
  <si>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</si>
  <si>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</si>
  <si>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</si>
  <si>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</si>
  <si>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</si>
  <si>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</si>
  <si>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</si>
  <si>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</si>
  <si>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</si>
  <si>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</si>
  <si>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</si>
  <si>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</si>
  <si>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</si>
  <si>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</si>
  <si>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</si>
  <si>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</si>
  <si>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</si>
  <si>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</si>
  <si>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</si>
  <si>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</si>
  <si>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</si>
  <si>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</si>
  <si>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</si>
  <si>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</si>
  <si>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</si>
  <si>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</si>
  <si>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</si>
  <si>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</si>
  <si>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</si>
  <si>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</si>
  <si>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</si>
  <si>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</si>
  <si>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</si>
  <si>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</si>
  <si>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</si>
  <si>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</si>
  <si>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</si>
  <si>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Parkhotel Rügen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</si>
</sst>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44" fontId="26" fillId="3" borderId="1" xfId="1" applyFont="1" applyFill="1" applyBorder="1"/>
    <xf numFmtId="44" fontId="25" fillId="0" borderId="1" xfId="1" applyFont="1" applyBorder="1"/>
    <xf numFmtId="44" fontId="26" fillId="0" borderId="0" xfId="1" applyFont="1"/>
    <xf numFmtId="44" fontId="30" fillId="13" borderId="0" xfId="1" applyFont="1" applyFill="1"/>
    <xf numFmtId="44" fontId="26" fillId="0" borderId="12" xfId="1" applyFont="1" applyBorder="1"/>
    <xf numFmtId="44" fontId="26" fillId="0" borderId="27" xfId="1" applyFont="1" applyBorder="1"/>
    <xf numFmtId="44" fontId="26" fillId="0" borderId="0" xfId="1" applyFont="1" applyBorder="1"/>
    <xf numFmtId="44" fontId="15" fillId="0" borderId="9" xfId="1" applyFont="1" applyBorder="1"/>
    <xf numFmtId="44" fontId="26" fillId="0" borderId="10" xfId="1" applyFont="1" applyBorder="1"/>
    <xf numFmtId="44" fontId="26" fillId="0" borderId="9" xfId="1" applyFont="1" applyBorder="1"/>
    <xf numFmtId="44" fontId="25" fillId="0" borderId="0" xfId="1" applyFont="1"/>
    <xf numFmtId="44" fontId="26" fillId="0" borderId="11" xfId="1" applyFont="1" applyBorder="1"/>
    <xf numFmtId="44" fontId="26" fillId="0" borderId="13" xfId="1" applyFont="1" applyBorder="1"/>
    <xf numFmtId="44" fontId="29" fillId="12" borderId="0" xfId="1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3" sqref="C13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7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45314</v>
      </c>
      <c r="E5" s="151" t="s">
        <v>5</v>
      </c>
      <c r="F5" s="153">
        <f>INDEX(Annahmen!$B$17:$D$22,MATCH('Preise Output'!$C$7,Annahmen!$B$17:$B$22,0),3)</f>
        <v>60</v>
      </c>
      <c r="G5" s="220"/>
      <c r="H5" s="220"/>
    </row>
    <row r="6" spans="1:32" x14ac:dyDescent="0.4">
      <c r="B6" s="48" t="s">
        <v>4</v>
      </c>
      <c r="C6" s="49" t="s">
        <v>294</v>
      </c>
      <c r="E6" s="152" t="s">
        <v>290</v>
      </c>
      <c r="F6" s="37">
        <f>C12*0.65</f>
        <v>87.75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7</v>
      </c>
      <c r="E7" s="154" t="s">
        <v>8</v>
      </c>
      <c r="F7" s="212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150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7" t="s">
        <v>246</v>
      </c>
      <c r="F9" s="158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16425.000000000004</v>
      </c>
      <c r="E10" s="152" t="s">
        <v>13</v>
      </c>
      <c r="F10" s="17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9" t="s">
        <v>14</v>
      </c>
      <c r="F11" s="155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>
        <v>135</v>
      </c>
      <c r="D12" s="61"/>
      <c r="E12" s="156" t="s">
        <v>243</v>
      </c>
      <c r="F12" s="162">
        <v>30000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5"/>
      <c r="F13" s="225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5,2%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C7759FB5-0FD8-4546-BAD9-A84F9FFB3A1C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 x14ac:dyDescent="0.3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 x14ac:dyDescent="0.3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 x14ac:dyDescent="0.3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 x14ac:dyDescent="0.3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 x14ac:dyDescent="0.3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 x14ac:dyDescent="0.3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 x14ac:dyDescent="0.3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 x14ac:dyDescent="0.4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1" workbookViewId="0">
      <selection activeCell="B41" sqref="B41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0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8">
        <v>25</v>
      </c>
    </row>
    <row r="3" spans="2:11" x14ac:dyDescent="0.4">
      <c r="B3" s="103" t="s">
        <v>52</v>
      </c>
      <c r="C3" s="228">
        <v>45</v>
      </c>
    </row>
    <row r="4" spans="2:11" x14ac:dyDescent="0.4">
      <c r="B4" s="103" t="s">
        <v>53</v>
      </c>
      <c r="C4" s="229">
        <f>+C3-C2</f>
        <v>20</v>
      </c>
    </row>
    <row r="5" spans="2:11" ht="6" customHeight="1" x14ac:dyDescent="0.4"/>
    <row r="6" spans="2:11" x14ac:dyDescent="0.4">
      <c r="B6" s="103" t="s">
        <v>54</v>
      </c>
      <c r="C6" s="228" t="s">
        <v>264</v>
      </c>
    </row>
    <row r="7" spans="2:11" x14ac:dyDescent="0.4">
      <c r="B7" s="103" t="s">
        <v>55</v>
      </c>
      <c r="C7" s="229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31"/>
    </row>
    <row r="11" spans="2:11" ht="14.5" thickBot="1" x14ac:dyDescent="0.45">
      <c r="B11" s="106" t="s">
        <v>255</v>
      </c>
      <c r="C11" s="232">
        <f>INDEX(Produktpreise!$B$33:$S$54,MATCH(Preisvergleich!$C$6,Produktpreise!$C$33:$C$54,0),MATCH(Preisvergleich!B11,Produktpreise!$B$32:$S$32,0))</f>
        <v>25210.084033613446</v>
      </c>
    </row>
    <row r="12" spans="2:11" x14ac:dyDescent="0.4">
      <c r="B12" s="214" t="s">
        <v>285</v>
      </c>
      <c r="C12" s="233">
        <f>INDEX(Produktpreise!$B$33:$S$54,MATCH(Preisvergleich!$C$6,Produktpreise!$C$33:$C$54,0),MATCH(Preisvergleich!B11,Produktpreise!$B$32:$S$32,0))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4">
        <f>E13*F13</f>
        <v>0</v>
      </c>
      <c r="E13" s="226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5">
        <f>F14*E14</f>
        <v>4789.9159663865548</v>
      </c>
      <c r="E14" s="226">
        <v>0.19</v>
      </c>
      <c r="F14" s="164">
        <f>C12-F13</f>
        <v>25210.084033613446</v>
      </c>
    </row>
    <row r="15" spans="2:11" hidden="1" x14ac:dyDescent="0.4">
      <c r="B15" s="105" t="s">
        <v>61</v>
      </c>
      <c r="C15" s="236"/>
      <c r="K15" s="164"/>
    </row>
    <row r="16" spans="2:11" hidden="1" x14ac:dyDescent="0.4">
      <c r="B16" s="98" t="s">
        <v>179</v>
      </c>
      <c r="D16" s="164"/>
    </row>
    <row r="17" spans="2:8" ht="14.5" hidden="1" thickBot="1" x14ac:dyDescent="0.45">
      <c r="B17" s="99" t="s">
        <v>62</v>
      </c>
      <c r="C17" s="237"/>
      <c r="D17" s="97" t="s">
        <v>184</v>
      </c>
    </row>
    <row r="18" spans="2:8" x14ac:dyDescent="0.4">
      <c r="B18" s="100" t="s">
        <v>180</v>
      </c>
      <c r="C18" s="238">
        <f>SUM(C12:C14)</f>
        <v>30000</v>
      </c>
    </row>
    <row r="21" spans="2:8" x14ac:dyDescent="0.4">
      <c r="B21" s="109" t="s">
        <v>63</v>
      </c>
      <c r="C21" s="231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857 Gutscheine x 35€ je Gutschein</v>
      </c>
      <c r="C24" s="239">
        <f>IFERROR(C7*'Preise Output'!$F$7,"--")</f>
        <v>29995</v>
      </c>
    </row>
    <row r="25" spans="2:8" x14ac:dyDescent="0.4">
      <c r="B25" s="97" t="str">
        <f>"Das enspricht "&amp;TEXT('Preise Output'!E26/('Preise Output'!C10),"0,0%") &amp; " des Leerstands p.a."</f>
        <v>Das enspricht 5,2% des Leerstands p.a.</v>
      </c>
      <c r="C25" s="234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1799.7000000000003</v>
      </c>
      <c r="E26" s="226">
        <v>7.0000000000000007E-2</v>
      </c>
      <c r="F26" s="164">
        <f>C24-F27</f>
        <v>25710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814.15</v>
      </c>
      <c r="E27" s="226">
        <v>0.19</v>
      </c>
      <c r="F27" s="164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9">
        <f>C7*C4</f>
        <v>17140</v>
      </c>
    </row>
    <row r="32" spans="2:8" x14ac:dyDescent="0.4">
      <c r="B32" s="108" t="s">
        <v>293</v>
      </c>
      <c r="C32" s="232">
        <f>C26+C27</f>
        <v>2613.8500000000004</v>
      </c>
    </row>
    <row r="33" spans="2:3" ht="14.5" thickBot="1" x14ac:dyDescent="0.45">
      <c r="B33" s="115" t="s">
        <v>288</v>
      </c>
      <c r="C33" s="240">
        <f>-(C13+C14)</f>
        <v>-4789.9159663865548</v>
      </c>
    </row>
    <row r="34" spans="2:3" x14ac:dyDescent="0.4">
      <c r="B34" s="96" t="s">
        <v>271</v>
      </c>
      <c r="C34" s="238">
        <f>SUM(C31:C33)</f>
        <v>14963.934033613445</v>
      </c>
    </row>
    <row r="36" spans="2:3" x14ac:dyDescent="0.4">
      <c r="B36" s="102" t="s">
        <v>65</v>
      </c>
      <c r="C36" s="241">
        <f>C12-C34</f>
        <v>10246.150000000001</v>
      </c>
    </row>
    <row r="37" spans="2:3" x14ac:dyDescent="0.4">
      <c r="B37" s="97" t="s">
        <v>289</v>
      </c>
      <c r="C37" s="224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5475359-9741-4D04-B8D8-3DEA06FA414C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2024-01-30T11:47:47Z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