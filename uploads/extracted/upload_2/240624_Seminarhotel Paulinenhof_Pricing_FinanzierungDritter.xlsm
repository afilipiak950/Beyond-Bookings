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eminarhotel Paulinenhof/"/>
    </mc:Choice>
  </mc:AlternateContent>
  <xr:revisionPtr revIDLastSave="32" documentId="8_{207F9823-9F7A-439A-86BD-E629EE244269}" xr6:coauthVersionLast="47" xr6:coauthVersionMax="47" xr10:uidLastSave="{F37FB8E3-F5D7-4F1E-8D3A-EBE6B5F93925}"/>
  <bookViews>
    <workbookView minimized="1" xWindow="240" yWindow="2520" windowWidth="17280" windowHeight="12435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<sst xmlns="http://schemas.openxmlformats.org/spreadsheetml/2006/main" count="510" uniqueCount="297">
  <si>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</si>
  <si>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</si>
  <si>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</si>
  <si>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</si>
  <si>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</si>
  <si>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</si>
  <si>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</si>
  <si>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</si>
  <si>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</si>
  <si>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</si>
  <si>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</si>
  <si>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</si>
  <si>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</si>
  <si>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</si>
  <si>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</si>
  <si>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</si>
  <si>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</si>
  <si>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</si>
  <si>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</si>
  <si>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</si>
  <si>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</si>
  <si>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</si>
  <si>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</si>
  <si>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</si>
  <si>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</si>
  <si>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</si>
  <si>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</si>
  <si>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</si>
  <si>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</si>
  <si>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</si>
  <si>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</si>
  <si>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</si>
  <si>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</si>
  <si>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</si>
  <si>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</si>
  <si>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</si>
  <si>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</si>
  <si>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</si>
  <si>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</si>
  <si>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</si>
  <si>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</si>
  <si>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</si>
  <si>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</si>
  <si>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</si>
  <si>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</si>
  <si>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</si>
  <si>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</si>
  <si>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</si>
  <si>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</si>
  <si>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</si>
  <si>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</si>
  <si>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</si>
  <si>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</si>
  <si>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</si>
  <si>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</si>
  <si>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</si>
  <si>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</si>
  <si>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</si>
  <si>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</si>
  <si>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</si>
  <si>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</si>
  <si>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</si>
  <si>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</si>
  <si>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</si>
  <si>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</si>
  <si>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</si>
  <si>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</si>
  <si>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</si>
  <si>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</si>
  <si>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</si>
  <si>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</si>
  <si>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</si>
  <si>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</si>
  <si>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</si>
  <si>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</si>
  <si>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</si>
  <si>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</si>
  <si>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</si>
  <si>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</si>
  <si>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</si>
  <si>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</si>
  <si>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</si>
  <si>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</si>
  <si>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</si>
  <si>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</si>
  <si>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</si>
  <si>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</si>
  <si>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</si>
  <si>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</si>
  <si>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</si>
  <si>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</si>
  <si>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</si>
  <si>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</si>
  <si>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</si>
  <si>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</si>
  <si>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</si>
  <si>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</si>
  <si>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</si>
  <si>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</si>
  <si>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</si>
  <si>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</si>
  <si>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</si>
  <si>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</si>
  <si>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</si>
  <si>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</si>
  <si>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</si>
  <si>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</si>
  <si>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</si>
  <si>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</si>
  <si>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</si>
  <si>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</si>
  <si>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</si>
  <si>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</si>
  <si>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</si>
  <si>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</si>
  <si>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</si>
  <si>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</si>
  <si>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</si>
  <si>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</si>
  <si>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</si>
  <si>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</si>
  <si>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</si>
  <si>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</si>
  <si>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</si>
  <si>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</si>
  <si>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</si>
  <si>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</si>
  <si>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</si>
  <si>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</si>
  <si>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</si>
  <si>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</si>
  <si>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</si>
  <si>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</si>
  <si>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</si>
  <si>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</si>
  <si>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</si>
  <si>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</si>
  <si>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</si>
  <si>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</si>
  <si>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</si>
  <si>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</si>
  <si>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</si>
  <si>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</si>
  <si>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</si>
  <si>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</si>
  <si>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</si>
  <si>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</si>
  <si>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</si>
  <si>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</si>
  <si>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</si>
  <si>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</si>
  <si>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</si>
  <si>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</si>
  <si>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</si>
  <si>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</si>
  <si>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</si>
  <si>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</si>
  <si>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</si>
  <si>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</si>
  <si>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</si>
  <si>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</si>
  <si>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</si>
  <si>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</si>
  <si>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</si>
  <si>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</si>
  <si>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</si>
  <si>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</si>
  <si>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</si>
  <si>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</si>
  <si>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</si>
  <si>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</si>
  <si>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</si>
  <si>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</si>
  <si>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</si>
  <si>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</si>
  <si>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</si>
  <si>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</si>
  <si>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</si>
  <si>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</si>
  <si>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</si>
  <si>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</si>
  <si>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</si>
  <si>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</si>
  <si>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</si>
  <si>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</si>
  <si>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</si>
  <si>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</si>
  <si>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</si>
  <si>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</si>
  <si>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</si>
  <si>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</si>
  <si>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</si>
  <si>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</si>
  <si>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</si>
  <si>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</si>
  <si>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</si>
  <si>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</si>
  <si>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</si>
  <si>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</si>
  <si>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</si>
  <si>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</si>
  <si>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</si>
  <si>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</si>
  <si>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</si>
  <si>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</si>
  <si>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</si>
  <si>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</si>
  <si>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</si>
  <si>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</si>
  <si>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</si>
  <si>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</si>
  <si>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</si>
  <si>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</si>
  <si>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</si>
  <si>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</si>
  <si>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</si>
  <si>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</si>
  <si>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</si>
  <si>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</si>
  <si>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</si>
  <si>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</si>
  <si>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</si>
  <si>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</si>
  <si>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</si>
  <si>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</si>
  <si>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</si>
  <si>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</si>
  <si>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</si>
  <si>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</si>
  <si>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</si>
  <si>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</si>
  <si>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</si>
  <si>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</si>
  <si>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</si>
  <si>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</si>
  <si>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</si>
  <si>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</si>
  <si>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</si>
  <si>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</si>
  <si>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</si>
  <si>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</si>
  <si>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</si>
  <si>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</si>
  <si>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</si>
  <si>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</si>
  <si>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</si>
  <si>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</si>
  <si>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</si>
  <si>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</si>
  <si>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</si>
  <si>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</si>
  <si>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</si>
  <si>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</si>
  <si>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</si>
  <si>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</si>
  <si>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</si>
  <si>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</si>
  <si>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</si>
  <si>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</si>
  <si>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</si>
  <si>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</si>
  <si>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</si>
  <si>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</si>
  <si>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</si>
  <si>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</si>
  <si>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</si>
  <si>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</si>
  <si>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</si>
  <si>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</si>
  <si>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</si>
  <si>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</si>
  <si>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</si>
  <si>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</si>
  <si>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</si>
  <si>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</si>
  <si>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</si>
  <si>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</si>
  <si>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</si>
  <si>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</si>
  <si>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</si>
  <si>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</si>
  <si>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</si>
  <si>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</si>
  <si>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</si>
  <si>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</si>
  <si>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</si>
  <si>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</si>
  <si>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</si>
  <si>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</si>
  <si>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</si>
  <si>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</si>
  <si>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</si>
  <si>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</si>
  <si>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</si>
  <si>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</si>
  <si>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</si>
  <si>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Seminarhotel  Paulinenhof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</si>
</sst>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7109375" defaultRowHeight="15.75" outlineLevelCol="2" x14ac:dyDescent="0.3"/>
  <cols>
    <col min="1" max="1" width="4.7109375" style="37" customWidth="1"/>
    <col min="2" max="2" width="61.7109375" style="37" bestFit="1" customWidth="1"/>
    <col min="3" max="3" width="29.7109375" style="37" bestFit="1" customWidth="1"/>
    <col min="4" max="4" width="17.28515625" style="38" customWidth="1"/>
    <col min="5" max="5" width="50.28515625" style="37" bestFit="1" customWidth="1"/>
    <col min="6" max="6" width="28.7109375" style="37" bestFit="1" customWidth="1"/>
    <col min="7" max="7" width="24.28515625" style="37" customWidth="1" outlineLevel="1"/>
    <col min="8" max="8" width="24.28515625" style="40" customWidth="1" outlineLevel="1"/>
    <col min="9" max="9" width="31.42578125" style="40" customWidth="1" outlineLevel="1"/>
    <col min="10" max="12" width="24.42578125" style="40" customWidth="1" outlineLevel="1"/>
    <col min="13" max="13" width="18.28515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28515625" style="37" customWidth="1"/>
    <col min="20" max="20" width="17.42578125" style="37" customWidth="1"/>
    <col min="21" max="21" width="10.710937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28515625" style="37" customWidth="1"/>
    <col min="27" max="27" width="17.7109375" style="37" customWidth="1"/>
    <col min="28" max="29" width="15.28515625" style="37" customWidth="1"/>
    <col min="30" max="32" width="10.7109375" style="37"/>
    <col min="33" max="33" width="16.42578125" style="37" customWidth="1"/>
    <col min="34" max="16384" width="10.710937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45467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3">
      <c r="B6" s="48" t="s">
        <v>4</v>
      </c>
      <c r="C6" s="49" t="s">
        <v>296</v>
      </c>
      <c r="E6" s="152" t="s">
        <v>290</v>
      </c>
      <c r="F6" s="37">
        <f>C12*0.65</f>
        <v>112.45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7</v>
      </c>
      <c r="E7" s="154" t="s">
        <v>8</v>
      </c>
      <c r="F7" s="210">
        <v>35.03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40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0.65</v>
      </c>
      <c r="E9" s="156" t="s">
        <v>246</v>
      </c>
      <c r="F9" s="157">
        <f>IFERROR(J26,"Bitte Produkt auswählen")</f>
        <v>0.29239859187319794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5110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766.5</v>
      </c>
      <c r="E11" s="167" t="s">
        <v>14</v>
      </c>
      <c r="F11" s="242">
        <f>+I26</f>
        <v>28264.500000000004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173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149999999999999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149999999999999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571</v>
      </c>
      <c r="F24" s="76">
        <v>3</v>
      </c>
      <c r="G24" s="77">
        <f>F12*D24</f>
        <v>20000</v>
      </c>
      <c r="H24" s="77">
        <f>$E24*$F$10*1.1-$G24</f>
        <v>8264.5000000000036</v>
      </c>
      <c r="I24" s="77">
        <f>G24+H24</f>
        <v>28264.500000000004</v>
      </c>
      <c r="J24" s="78">
        <f t="shared" si="16"/>
        <v>0.29239859187319794</v>
      </c>
      <c r="K24" s="77">
        <v>0</v>
      </c>
      <c r="L24" s="77">
        <v>0</v>
      </c>
      <c r="M24" s="77">
        <f>G24*1.19-G24</f>
        <v>3800</v>
      </c>
      <c r="N24" s="77">
        <f t="shared" si="5"/>
        <v>1220.5125</v>
      </c>
      <c r="O24" s="77">
        <f>L24-M24-N24</f>
        <v>-5020.5124999999998</v>
      </c>
      <c r="P24" s="79">
        <f>IFERROR($H24-L24,"")</f>
        <v>8264.5000000000036</v>
      </c>
      <c r="Q24" s="78">
        <f>IFERROR(($H24-L24)/$I24,"")</f>
        <v>0.29239859187319794</v>
      </c>
      <c r="R24" s="80">
        <f>IFERROR((1-Q24)*F24,"")</f>
        <v>2.1228042243804062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571</v>
      </c>
      <c r="F26" s="89"/>
      <c r="G26" s="89">
        <f>SUBTOTAL(9,G19:G24)</f>
        <v>20000</v>
      </c>
      <c r="H26" s="89">
        <f>SUBTOTAL(9,H19:H24)</f>
        <v>8264.5000000000036</v>
      </c>
      <c r="I26" s="89">
        <f>SUBTOTAL(9,I19:I24)</f>
        <v>28264.500000000004</v>
      </c>
      <c r="J26" s="90">
        <f>H26/I26</f>
        <v>0.29239859187319794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1220.5125</v>
      </c>
      <c r="O26" s="89">
        <f t="shared" si="25"/>
        <v>-5020.5124999999998</v>
      </c>
      <c r="P26" s="89">
        <f t="shared" si="25"/>
        <v>8264.5000000000036</v>
      </c>
      <c r="Q26" s="90">
        <f>($H26-L26)/$I26</f>
        <v>0.29239859187319794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11,2%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28515625" bestFit="1" customWidth="1"/>
    <col min="2" max="2" width="10.7109375" hidden="1" customWidth="1"/>
    <col min="3" max="3" width="11.71093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71093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zoomScale="90" zoomScaleNormal="90" workbookViewId="0">
      <selection activeCell="K6" sqref="K6"/>
    </sheetView>
  </sheetViews>
  <sheetFormatPr baseColWidth="10" defaultColWidth="8.7109375" defaultRowHeight="13.5" x14ac:dyDescent="0.25"/>
  <cols>
    <col min="1" max="1" width="3" style="97" customWidth="1"/>
    <col min="2" max="2" width="41" style="97" bestFit="1" customWidth="1"/>
    <col min="3" max="3" width="37.28515625" style="234" bestFit="1" customWidth="1"/>
    <col min="4" max="5" width="8.7109375" style="97"/>
    <col min="6" max="6" width="11.7109375" style="97" bestFit="1" customWidth="1"/>
    <col min="7" max="16384" width="8.710937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45</v>
      </c>
    </row>
    <row r="4" spans="2:11" x14ac:dyDescent="0.25">
      <c r="B4" s="103" t="s">
        <v>53</v>
      </c>
      <c r="C4" s="226">
        <f>+C3-C2</f>
        <v>20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571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16806.722689075632</v>
      </c>
    </row>
    <row r="12" spans="2:11" x14ac:dyDescent="0.25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571 Gutscheine x 35,03€ je Gutschein</v>
      </c>
      <c r="C24" s="237">
        <f>IFERROR(C7*'Preise Output'!$F$7,"--")</f>
        <v>20002.13</v>
      </c>
    </row>
    <row r="25" spans="2:8" x14ac:dyDescent="0.25">
      <c r="B25" s="97" t="str">
        <f>"Das enspricht "&amp;TEXT('Preise Output'!E26/('Preise Output'!C10),"0,0%") &amp; " des Leerstands p.a."</f>
        <v>Das enspricht 11,2%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1200.2991000000002</v>
      </c>
      <c r="E26" s="223">
        <v>7.0000000000000007E-2</v>
      </c>
      <c r="F26" s="162">
        <f>C24-F27</f>
        <v>17147.13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542.45000000000005</v>
      </c>
      <c r="E27" s="223">
        <v>0.19</v>
      </c>
      <c r="F27" s="162">
        <f>G27*C7</f>
        <v>2855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20€ je Gutschein x 571 Roomnights</v>
      </c>
      <c r="C31" s="237">
        <f>C7*C4</f>
        <v>11420</v>
      </c>
    </row>
    <row r="32" spans="2:8" x14ac:dyDescent="0.25">
      <c r="B32" s="108" t="s">
        <v>293</v>
      </c>
      <c r="C32" s="229">
        <f>C26+C27</f>
        <v>1742.7491000000002</v>
      </c>
    </row>
    <row r="33" spans="2:3" ht="14.25" thickBot="1" x14ac:dyDescent="0.3">
      <c r="B33" s="115" t="s">
        <v>288</v>
      </c>
      <c r="C33" s="238">
        <f>-(C13+C14)</f>
        <v>-3193.2773109243699</v>
      </c>
    </row>
    <row r="34" spans="2:3" x14ac:dyDescent="0.25">
      <c r="B34" s="96" t="s">
        <v>271</v>
      </c>
      <c r="C34" s="236">
        <f>SUM(C31:C33)</f>
        <v>9969.471789075631</v>
      </c>
    </row>
    <row r="36" spans="2:3" x14ac:dyDescent="0.25">
      <c r="B36" s="102" t="s">
        <v>65</v>
      </c>
      <c r="C36" s="239">
        <f>C12-C34</f>
        <v>6837.2509000000009</v>
      </c>
    </row>
    <row r="37" spans="2:3" x14ac:dyDescent="0.25">
      <c r="B37" s="97" t="s">
        <v>289</v>
      </c>
      <c r="C37" s="240">
        <f>C36/C12</f>
        <v>0.40681642855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109375" defaultRowHeight="15" x14ac:dyDescent="0.25"/>
  <cols>
    <col min="1" max="1" width="7.28515625" customWidth="1"/>
    <col min="2" max="2" width="21.28515625" customWidth="1"/>
    <col min="3" max="3" width="42" customWidth="1"/>
    <col min="4" max="5" width="24.7109375" customWidth="1"/>
    <col min="6" max="6" width="24.28515625" customWidth="1"/>
    <col min="7" max="7" width="20" customWidth="1"/>
    <col min="8" max="8" width="17.28515625" customWidth="1"/>
    <col min="9" max="10" width="20.42578125" customWidth="1"/>
    <col min="11" max="12" width="20.285156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285156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8515625" defaultRowHeight="15" outlineLevelRow="1" x14ac:dyDescent="0.25"/>
  <cols>
    <col min="3" max="3" width="26.7109375" customWidth="1"/>
    <col min="4" max="4" width="12.28515625" style="127" customWidth="1"/>
    <col min="5" max="5" width="11.28515625" style="126" bestFit="1" customWidth="1"/>
    <col min="6" max="6" width="11.7109375" style="126" bestFit="1" customWidth="1"/>
    <col min="7" max="7" width="11.28515625" style="126" bestFit="1" customWidth="1"/>
    <col min="8" max="8" width="14.42578125" style="126" customWidth="1"/>
    <col min="9" max="15" width="11.28515625" style="126" bestFit="1" customWidth="1"/>
    <col min="16" max="16" width="10.42578125" bestFit="1" customWidth="1"/>
    <col min="17" max="27" width="11.28515625" bestFit="1" customWidth="1"/>
    <col min="28" max="28" width="10.42578125" bestFit="1" customWidth="1"/>
    <col min="29" max="39" width="11.28515625" bestFit="1" customWidth="1"/>
    <col min="40" max="40" width="12.28515625" bestFit="1" customWidth="1"/>
    <col min="41" max="41" width="10.42578125" bestFit="1" customWidth="1"/>
    <col min="43" max="43" width="12.7109375" bestFit="1" customWidth="1"/>
    <col min="44" max="44" width="11.28515625" bestFit="1" customWidth="1"/>
    <col min="45" max="50" width="10.28515625" bestFit="1" customWidth="1"/>
    <col min="51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19985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19985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19985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19985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571</v>
      </c>
      <c r="F7" s="129">
        <f>IF($B$6=100%,(('Preise Output'!$F$10-INDEX(Annahmen!$B$18:$C$22,MATCH('Preise Output'!$C$7,Annahmen!$B$18:$B$22,0),2))*'Preise Output'!$E$26)/10,('Preise Output'!$E$26*'Preise Output'!$F$10-$D$6)/10)</f>
        <v>571</v>
      </c>
      <c r="G7" s="129">
        <f>IF($B$6=100%,(('Preise Output'!$F$10-INDEX(Annahmen!$B$18:$C$22,MATCH('Preise Output'!$C$7,Annahmen!$B$18:$B$22,0),2))*'Preise Output'!$E$26)/10,('Preise Output'!$E$26*'Preise Output'!$F$10-$D$6)/10)</f>
        <v>571</v>
      </c>
      <c r="H7" s="129">
        <f>IF($B$6=100%,(('Preise Output'!$F$10-INDEX(Annahmen!$B$18:$C$22,MATCH('Preise Output'!$C$7,Annahmen!$B$18:$B$22,0),2))*'Preise Output'!$E$26)/10,('Preise Output'!$E$26*'Preise Output'!$F$10-$D$6)/10)</f>
        <v>571</v>
      </c>
      <c r="I7" s="129">
        <f>IF($B$6=100%,(('Preise Output'!$F$10-INDEX(Annahmen!$B$18:$C$22,MATCH('Preise Output'!$C$7,Annahmen!$B$18:$B$22,0),2))*'Preise Output'!$E$26)/10,('Preise Output'!$E$26*'Preise Output'!$F$10-$D$6)/10)</f>
        <v>571</v>
      </c>
      <c r="J7" s="129">
        <f>IF($B$6=100%,(('Preise Output'!$F$10-INDEX(Annahmen!$B$18:$C$22,MATCH('Preise Output'!$C$7,Annahmen!$B$18:$B$22,0),2))*'Preise Output'!$E$26)/10,('Preise Output'!$E$26*'Preise Output'!$F$10-$D$6)/10)</f>
        <v>571</v>
      </c>
      <c r="K7" s="129">
        <f>IF($B$6=100%,(('Preise Output'!$F$10-INDEX(Annahmen!$B$18:$C$22,MATCH('Preise Output'!$C$7,Annahmen!$B$18:$B$22,0),2))*'Preise Output'!$E$26)/10,('Preise Output'!$E$26*'Preise Output'!$F$10-$D$6)/10)</f>
        <v>571</v>
      </c>
      <c r="L7" s="129">
        <f>IF($B$6=100%,(('Preise Output'!$F$10-INDEX(Annahmen!$B$18:$C$22,MATCH('Preise Output'!$C$7,Annahmen!$B$18:$B$22,0),2))*'Preise Output'!$E$26)/10,('Preise Output'!$E$26*'Preise Output'!$F$10-$D$6)/10)</f>
        <v>571</v>
      </c>
      <c r="M7" s="129">
        <f>IF($B$6=100%,(('Preise Output'!$F$10-INDEX(Annahmen!$B$18:$C$22,MATCH('Preise Output'!$C$7,Annahmen!$B$18:$B$22,0),2))*'Preise Output'!$E$26)/10,('Preise Output'!$E$26*'Preise Output'!$F$10-$D$6)/10)</f>
        <v>571</v>
      </c>
      <c r="N7" s="129">
        <f>IF($B$6=100%,(('Preise Output'!$F$10-INDEX(Annahmen!$B$18:$C$22,MATCH('Preise Output'!$C$7,Annahmen!$B$18:$B$22,0),2))*'Preise Output'!$E$26)/10,('Preise Output'!$E$26*'Preise Output'!$F$10-$D$6)/10)</f>
        <v>571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571</v>
      </c>
      <c r="R7" s="129">
        <f>IF($B$6=100%,(('Preise Output'!$F$10-INDEX(Annahmen!$B$18:$C$22,MATCH('Preise Output'!$C$7,Annahmen!$B$18:$B$22,0),2))*'Preise Output'!$E$26)/10,('Preise Output'!$E$26*'Preise Output'!$F$10-$D$6)/10)</f>
        <v>571</v>
      </c>
      <c r="S7" s="129">
        <f>IF($B$6=100%,(('Preise Output'!$F$10-INDEX(Annahmen!$B$18:$C$22,MATCH('Preise Output'!$C$7,Annahmen!$B$18:$B$22,0),2))*'Preise Output'!$E$26)/10,('Preise Output'!$E$26*'Preise Output'!$F$10-$D$6)/10)</f>
        <v>571</v>
      </c>
      <c r="T7" s="129">
        <f>IF($B$6=100%,(('Preise Output'!$F$10-INDEX(Annahmen!$B$18:$C$22,MATCH('Preise Output'!$C$7,Annahmen!$B$18:$B$22,0),2))*'Preise Output'!$E$26)/10,('Preise Output'!$E$26*'Preise Output'!$F$10-$D$6)/10)</f>
        <v>571</v>
      </c>
      <c r="U7" s="129">
        <f>IF($B$6=100%,(('Preise Output'!$F$10-INDEX(Annahmen!$B$18:$C$22,MATCH('Preise Output'!$C$7,Annahmen!$B$18:$B$22,0),2))*'Preise Output'!$E$26)/10,('Preise Output'!$E$26*'Preise Output'!$F$10-$D$6)/10)</f>
        <v>571</v>
      </c>
      <c r="V7" s="129">
        <f>IF($B$6=100%,(('Preise Output'!$F$10-INDEX(Annahmen!$B$18:$C$22,MATCH('Preise Output'!$C$7,Annahmen!$B$18:$B$22,0),2))*'Preise Output'!$E$26)/10,('Preise Output'!$E$26*'Preise Output'!$F$10-$D$6)/10)</f>
        <v>571</v>
      </c>
      <c r="W7" s="129">
        <f>IF($B$6=100%,(('Preise Output'!$F$10-INDEX(Annahmen!$B$18:$C$22,MATCH('Preise Output'!$C$7,Annahmen!$B$18:$B$22,0),2))*'Preise Output'!$E$26)/10,('Preise Output'!$E$26*'Preise Output'!$F$10-$D$6)/10)</f>
        <v>571</v>
      </c>
      <c r="X7" s="129">
        <f>IF($B$6=100%,(('Preise Output'!$F$10-INDEX(Annahmen!$B$18:$C$22,MATCH('Preise Output'!$C$7,Annahmen!$B$18:$B$22,0),2))*'Preise Output'!$E$26)/10,('Preise Output'!$E$26*'Preise Output'!$F$10-$D$6)/10)</f>
        <v>571</v>
      </c>
      <c r="Y7" s="129">
        <f>IF($B$6=100%,(('Preise Output'!$F$10-INDEX(Annahmen!$B$18:$C$22,MATCH('Preise Output'!$C$7,Annahmen!$B$18:$B$22,0),2))*'Preise Output'!$E$26)/10,('Preise Output'!$E$26*'Preise Output'!$F$10-$D$6)/10)</f>
        <v>571</v>
      </c>
      <c r="Z7" s="129">
        <f>IF($B$6=100%,(('Preise Output'!$F$10-INDEX(Annahmen!$B$18:$C$22,MATCH('Preise Output'!$C$7,Annahmen!$B$18:$B$22,0),2))*'Preise Output'!$E$26)/10,('Preise Output'!$E$26*'Preise Output'!$F$10-$D$6)/10)</f>
        <v>571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571</v>
      </c>
      <c r="AD7" s="129">
        <f>IF($B$6=100%,(('Preise Output'!$F$10-INDEX(Annahmen!$B$18:$C$22,MATCH('Preise Output'!$C$7,Annahmen!$B$18:$B$22,0),2))*'Preise Output'!$E$26)/10,('Preise Output'!$E$26*'Preise Output'!$F$10-$D$6)/10)</f>
        <v>571</v>
      </c>
      <c r="AE7" s="129">
        <f>IF($B$6=100%,(('Preise Output'!$F$10-INDEX(Annahmen!$B$18:$C$22,MATCH('Preise Output'!$C$7,Annahmen!$B$18:$B$22,0),2))*'Preise Output'!$E$26)/10,('Preise Output'!$E$26*'Preise Output'!$F$10-$D$6)/10)</f>
        <v>571</v>
      </c>
      <c r="AF7" s="129">
        <f>IF($B$6=100%,(('Preise Output'!$F$10-INDEX(Annahmen!$B$18:$C$22,MATCH('Preise Output'!$C$7,Annahmen!$B$18:$B$22,0),2))*'Preise Output'!$E$26)/10,('Preise Output'!$E$26*'Preise Output'!$F$10-$D$6)/10)</f>
        <v>571</v>
      </c>
      <c r="AG7" s="129">
        <f>IF($B$6=100%,(('Preise Output'!$F$10-INDEX(Annahmen!$B$18:$C$22,MATCH('Preise Output'!$C$7,Annahmen!$B$18:$B$22,0),2))*'Preise Output'!$E$26)/10,('Preise Output'!$E$26*'Preise Output'!$F$10-$D$6)/10)</f>
        <v>571</v>
      </c>
      <c r="AH7" s="129">
        <f>IF($B$6=100%,(('Preise Output'!$F$10-INDEX(Annahmen!$B$18:$C$22,MATCH('Preise Output'!$C$7,Annahmen!$B$18:$B$22,0),2))*'Preise Output'!$E$26)/10,('Preise Output'!$E$26*'Preise Output'!$F$10-$D$6)/10)</f>
        <v>571</v>
      </c>
      <c r="AI7" s="129">
        <f>IF($B$6=100%,(('Preise Output'!$F$10-INDEX(Annahmen!$B$18:$C$22,MATCH('Preise Output'!$C$7,Annahmen!$B$18:$B$22,0),2))*'Preise Output'!$E$26)/10,('Preise Output'!$E$26*'Preise Output'!$F$10-$D$6)/10)</f>
        <v>571</v>
      </c>
      <c r="AJ7" s="129">
        <f>IF($B$6=100%,(('Preise Output'!$F$10-INDEX(Annahmen!$B$18:$C$22,MATCH('Preise Output'!$C$7,Annahmen!$B$18:$B$22,0),2))*'Preise Output'!$E$26)/10,('Preise Output'!$E$26*'Preise Output'!$F$10-$D$6)/10)</f>
        <v>571</v>
      </c>
      <c r="AK7" s="129">
        <f>IF($B$6=100%,(('Preise Output'!$F$10-INDEX(Annahmen!$B$18:$C$22,MATCH('Preise Output'!$C$7,Annahmen!$B$18:$B$22,0),2))*'Preise Output'!$E$26)/10,('Preise Output'!$E$26*'Preise Output'!$F$10-$D$6)/10)</f>
        <v>571</v>
      </c>
      <c r="AL7" s="129">
        <f>IF($B$6=100%,(('Preise Output'!$F$10-INDEX(Annahmen!$B$18:$C$22,MATCH('Preise Output'!$C$7,Annahmen!$B$18:$B$22,0),2))*'Preise Output'!$E$26)/10,('Preise Output'!$E$26*'Preise Output'!$F$10-$D$6)/10)</f>
        <v>571</v>
      </c>
      <c r="AM7" s="130"/>
      <c r="AN7" s="130">
        <f t="shared" ref="AN7:AN43" si="0">SUM(D7:AM7)</f>
        <v>17130</v>
      </c>
      <c r="AQ7" s="130">
        <f t="shared" ref="AQ7:AQ45" si="1">SUM(D7:F7)</f>
        <v>1142</v>
      </c>
      <c r="AR7" s="130">
        <f t="shared" ref="AR7:AR45" si="2">SUM(G7:I7)</f>
        <v>1713</v>
      </c>
      <c r="AS7" s="130">
        <f t="shared" ref="AS7:AS45" si="3">SUM(J7:L7)</f>
        <v>1713</v>
      </c>
      <c r="AT7" s="130">
        <f t="shared" ref="AT7:AT45" si="4">SUM(M7:O7)</f>
        <v>1142</v>
      </c>
      <c r="AU7" s="130">
        <f t="shared" ref="AU7:AU45" si="5">SUM(P7:R7)</f>
        <v>1142</v>
      </c>
      <c r="AV7" s="130">
        <f t="shared" ref="AV7:AV45" si="6">SUM(S7:U7)</f>
        <v>1713</v>
      </c>
      <c r="AW7" s="130">
        <f t="shared" ref="AW7:AW45" si="7">SUM(V7:X7)</f>
        <v>1713</v>
      </c>
      <c r="AX7" s="130">
        <f t="shared" ref="AX7:AX45" si="8">SUM(Y7:AA7)</f>
        <v>1142</v>
      </c>
      <c r="AY7" s="130">
        <f t="shared" ref="AY7:AY45" si="9">SUM(AB7:AD7)</f>
        <v>1142</v>
      </c>
      <c r="AZ7" s="130">
        <f t="shared" ref="AZ7:AZ45" si="10">SUM(AE7:AG7)</f>
        <v>1713</v>
      </c>
      <c r="BA7" s="130">
        <f t="shared" ref="BA7:BA45" si="11">SUM(AH7:AJ7)</f>
        <v>1713</v>
      </c>
      <c r="BB7" s="130">
        <f t="shared" ref="BB7:BB45" si="12">SUM(AK7:AM7)</f>
        <v>1142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109375" defaultRowHeight="15" x14ac:dyDescent="0.25"/>
  <cols>
    <col min="1" max="1" width="7.28515625" customWidth="1"/>
    <col min="2" max="2" width="21.28515625" customWidth="1"/>
    <col min="3" max="4" width="35" customWidth="1"/>
    <col min="5" max="5" width="24.28515625" customWidth="1"/>
    <col min="6" max="6" width="21.28515625" bestFit="1" customWidth="1"/>
    <col min="7" max="7" width="20.28515625" customWidth="1"/>
    <col min="8" max="8" width="17.285156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28515625" style="137" bestFit="1" customWidth="1"/>
    <col min="19" max="19" width="12.7109375" style="137" bestFit="1" customWidth="1"/>
    <col min="20" max="20" width="12.7109375" style="137" customWidth="1"/>
    <col min="21" max="21" width="13.285156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28264.500000000004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109375" defaultRowHeight="15" x14ac:dyDescent="0.25"/>
  <cols>
    <col min="1" max="1" width="6.28515625" customWidth="1"/>
    <col min="2" max="2" width="23.7109375" bestFit="1" customWidth="1"/>
    <col min="3" max="3" width="18.42578125" customWidth="1"/>
    <col min="4" max="5" width="17.42578125" customWidth="1"/>
    <col min="7" max="7" width="26.7109375" customWidth="1"/>
    <col min="8" max="8" width="12.7109375" customWidth="1"/>
    <col min="9" max="9" width="11.42578125" bestFit="1" customWidth="1"/>
    <col min="10" max="10" width="23.7109375" bestFit="1" customWidth="1"/>
    <col min="11" max="11" width="11.42578125" bestFit="1" customWidth="1"/>
    <col min="12" max="12" width="12.42578125" bestFit="1" customWidth="1"/>
    <col min="14" max="14" width="28.710937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2C95B11-71CA-4473-A11D-A44300767A3D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2024-09-11T07:32:35Z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