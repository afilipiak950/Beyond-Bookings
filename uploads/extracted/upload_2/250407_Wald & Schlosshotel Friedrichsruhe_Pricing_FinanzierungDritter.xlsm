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Wald &amp; Schlosshotel Friedrichsruhe/"/>
    </mc:Choice>
  </mc:AlternateContent>
  <xr:revisionPtr revIDLastSave="106" documentId="8_{207F9823-9F7A-439A-86BD-E629EE244269}" xr6:coauthVersionLast="47" xr6:coauthVersionMax="47" xr10:uidLastSave="{77CBEEDA-0887-4F55-A6E9-1056FBB64704}"/>
  <bookViews>
    <workbookView xWindow="28680" yWindow="-8190" windowWidth="29040" windowHeight="1572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<sst xmlns="http://schemas.openxmlformats.org/spreadsheetml/2006/main" count="527" uniqueCount="313">
  <si>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</si>
  <si>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</si>
  <si>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</si>
  <si>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</si>
  <si>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</si>
  <si>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</si>
  <si>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</si>
  <si>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</si>
  <si>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</si>
  <si>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</si>
  <si>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</si>
  <si>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</si>
  <si>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</si>
  <si>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</si>
  <si>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</si>
  <si>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</si>
  <si>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</si>
  <si>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</si>
  <si>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</si>
  <si>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</si>
  <si>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</si>
  <si>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</si>
  <si>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</si>
  <si>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</si>
  <si>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</si>
  <si>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</si>
  <si>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</si>
  <si>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</si>
  <si>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</si>
  <si>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</si>
  <si>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</si>
  <si>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</si>
  <si>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</si>
  <si>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</si>
  <si>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</si>
  <si>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</si>
  <si>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</si>
  <si>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</si>
  <si>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</si>
  <si>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</si>
  <si>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</si>
  <si>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</si>
  <si>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</si>
  <si>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</si>
  <si>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</si>
  <si>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</si>
  <si>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</si>
  <si>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</si>
  <si>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</si>
  <si>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</si>
  <si>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</si>
  <si>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</si>
  <si>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</si>
  <si>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</si>
  <si>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</si>
  <si>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</si>
  <si>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</si>
  <si>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</si>
  <si>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</si>
  <si>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</si>
  <si>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</si>
  <si>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</si>
  <si>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</si>
  <si>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</si>
  <si>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</si>
  <si>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</si>
  <si>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</si>
  <si>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</si>
  <si>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</si>
  <si>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</si>
  <si>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</si>
  <si>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</si>
  <si>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</si>
  <si>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</si>
  <si>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</si>
  <si>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</si>
  <si>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</si>
  <si>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</si>
  <si>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</si>
  <si>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</si>
  <si>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</si>
  <si>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</si>
  <si>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</si>
  <si>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</si>
  <si>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</si>
  <si>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</si>
  <si>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</si>
  <si>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</si>
  <si>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</si>
  <si>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</si>
  <si>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</si>
  <si>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</si>
  <si>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</si>
  <si>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</si>
  <si>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</si>
  <si>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</si>
  <si>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</si>
  <si>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</si>
  <si>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</si>
  <si>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</si>
  <si>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</si>
  <si>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</si>
  <si>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</si>
  <si>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</si>
  <si>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</si>
  <si>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</si>
  <si>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</si>
  <si>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</si>
  <si>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</si>
  <si>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</si>
  <si>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</si>
  <si>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</si>
  <si>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</si>
  <si>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</si>
  <si>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</si>
  <si>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</si>
  <si>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</si>
  <si>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</si>
  <si>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</si>
  <si>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</si>
  <si>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</si>
  <si>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</si>
  <si>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</si>
  <si>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</si>
  <si>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</si>
  <si>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</si>
  <si>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</si>
  <si>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</si>
  <si>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</si>
  <si>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</si>
  <si>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</si>
  <si>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</si>
  <si>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</si>
  <si>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</si>
  <si>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</si>
  <si>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</si>
  <si>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</si>
  <si>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</si>
  <si>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</si>
  <si>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</si>
  <si>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</si>
  <si>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</si>
  <si>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</si>
  <si>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</si>
  <si>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</si>
  <si>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</si>
  <si>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</si>
  <si>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</si>
  <si>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</si>
  <si>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</si>
  <si>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</si>
  <si>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</si>
  <si>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</si>
  <si>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</si>
  <si>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</si>
  <si>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</si>
  <si>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</si>
  <si>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</si>
  <si>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</si>
  <si>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</si>
  <si>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</si>
  <si>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</si>
  <si>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</si>
  <si>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</si>
  <si>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</si>
  <si>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</si>
  <si>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</si>
  <si>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</si>
  <si>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</si>
  <si>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</si>
  <si>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</si>
  <si>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</si>
  <si>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</si>
  <si>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</si>
  <si>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</si>
  <si>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</si>
  <si>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</si>
  <si>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</si>
  <si>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</si>
  <si>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</si>
  <si>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</si>
  <si>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</si>
  <si>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</si>
  <si>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</si>
  <si>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</si>
  <si>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</si>
  <si>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</si>
  <si>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</si>
  <si>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</si>
  <si>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</si>
  <si>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</si>
  <si>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</si>
  <si>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</si>
  <si>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</si>
  <si>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</si>
  <si>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</si>
  <si>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</si>
  <si>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</si>
  <si>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</si>
  <si>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</si>
  <si>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</si>
  <si>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</si>
  <si>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</si>
  <si>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</si>
  <si>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</si>
  <si>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</si>
  <si>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</si>
  <si>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</si>
  <si>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</si>
  <si>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</si>
  <si>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</si>
  <si>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</si>
  <si>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</si>
  <si>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</si>
  <si>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</si>
  <si>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</si>
  <si>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</si>
  <si>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</si>
  <si>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</si>
  <si>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</si>
  <si>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</si>
  <si>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</si>
  <si>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</si>
  <si>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</si>
  <si>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</si>
  <si>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</si>
  <si>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</si>
  <si>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</si>
  <si>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</si>
  <si>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</si>
  <si>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</si>
  <si>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</si>
  <si>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</si>
  <si>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</si>
  <si>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</si>
  <si>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</si>
  <si>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</si>
  <si>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</si>
  <si>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</si>
  <si>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</si>
  <si>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</si>
  <si>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</si>
  <si>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</si>
  <si>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</si>
  <si>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</si>
  <si>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</si>
  <si>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</si>
  <si>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</si>
  <si>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</si>
  <si>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</si>
  <si>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</si>
  <si>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</si>
  <si>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</si>
  <si>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</si>
  <si>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</si>
  <si>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</si>
  <si>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</si>
  <si>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</si>
  <si>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</si>
  <si>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</si>
  <si>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</si>
  <si>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</si>
  <si>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</si>
  <si>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</si>
  <si>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</si>
  <si>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</si>
  <si>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</si>
  <si>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</si>
  <si>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</si>
  <si>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</si>
  <si>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</si>
  <si>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</si>
  <si>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</si>
  <si>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</si>
  <si>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</si>
  <si>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</si>
  <si>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</si>
  <si>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</si>
  <si>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</si>
  <si>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</si>
  <si>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</si>
  <si>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</si>
  <si>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</si>
  <si>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</si>
  <si>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</si>
  <si>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</si>
  <si>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</si>
  <si>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</si>
  <si>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</si>
  <si>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</si>
  <si>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</si>
  <si>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</si>
  <si>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</si>
  <si>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</si>
  <si>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</si>
  <si>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</si>
  <si>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Wald &amp; Schlosshotel Friedrichsruhe</t>
  </si>
  <si>
    <t>inkl. Frst.</t>
  </si>
  <si>
    <t>Inklusivleistungen:</t>
  </si>
  <si>
    <t>Frühstück</t>
  </si>
  <si>
    <t>Kuchenauswahl</t>
  </si>
  <si>
    <t>Abendlicher Turn Down Service</t>
  </si>
  <si>
    <t>Minibar</t>
  </si>
  <si>
    <t>Parkplatz</t>
  </si>
  <si>
    <t>W-Lan, Sky-TV</t>
  </si>
  <si>
    <t>Tageszeitung</t>
  </si>
  <si>
    <t>Wellnessbereich</t>
  </si>
  <si>
    <t>Fitnessstudio</t>
  </si>
  <si>
    <t>Fahrradverleih</t>
  </si>
  <si>
    <t>Grennfee-Ermäßigung</t>
  </si>
  <si>
    <t>OK, wenn Animod VK bestätigt und Thema geschlossener Nutzergruppe ebenfalls. Mb</t>
  </si>
  <si>
    <t>VK lt. Animod 199€</t>
  </si>
  <si>
    <t>closed user group lt. Animod 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</si>
</sst>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5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4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  <xf numFmtId="0" fontId="15" fillId="0" borderId="0" xfId="5" applyFont="1" applyAlignment="1">
      <alignment horizontal="left"/>
    </xf>
    <xf numFmtId="0" fontId="12" fillId="0" borderId="0" xfId="0" applyFont="1" applyAlignment="1">
      <alignment horizontal="left"/>
    </xf>
    <xf numFmtId="0" fontId="15" fillId="0" borderId="0" xfId="5" applyFont="1" applyAlignment="1">
      <alignment horizontal="right"/>
    </xf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Normal="10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36" sqref="F36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3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F4" s="44" t="s">
        <v>311</v>
      </c>
      <c r="G4" s="244" t="s">
        <v>298</v>
      </c>
      <c r="H4" s="242" t="s">
        <v>299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45754</v>
      </c>
      <c r="E5" s="151" t="s">
        <v>5</v>
      </c>
      <c r="F5" s="153">
        <v>199</v>
      </c>
      <c r="G5" s="44" t="s">
        <v>310</v>
      </c>
      <c r="H5" s="242" t="s">
        <v>300</v>
      </c>
    </row>
    <row r="6" spans="1:32" ht="30" x14ac:dyDescent="0.4">
      <c r="B6" s="48" t="s">
        <v>4</v>
      </c>
      <c r="C6" s="49" t="s">
        <v>296</v>
      </c>
      <c r="E6" s="152" t="s">
        <v>290</v>
      </c>
      <c r="F6" s="37">
        <f>C12*0.65</f>
        <v>286</v>
      </c>
      <c r="G6" s="217"/>
      <c r="H6" s="243" t="s">
        <v>301</v>
      </c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170</v>
      </c>
      <c r="E7" s="154" t="s">
        <v>8</v>
      </c>
      <c r="F7" s="210">
        <v>110</v>
      </c>
      <c r="G7" s="44" t="s">
        <v>310</v>
      </c>
      <c r="H7" s="40" t="s">
        <v>302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61</v>
      </c>
      <c r="E8" s="218"/>
      <c r="F8" s="218"/>
      <c r="G8" s="218"/>
      <c r="H8" s="40" t="s">
        <v>303</v>
      </c>
      <c r="I8" s="218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0.33065259698425525</v>
      </c>
      <c r="G9" s="56"/>
      <c r="H9" s="56" t="s">
        <v>304</v>
      </c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6679.5000000000009</v>
      </c>
      <c r="E10" s="152" t="s">
        <v>13</v>
      </c>
      <c r="F10" s="168">
        <f>F5*0.75</f>
        <v>149.25</v>
      </c>
      <c r="G10" s="56"/>
      <c r="H10" s="56" t="s">
        <v>305</v>
      </c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1">
        <f>+I26</f>
        <v>74699.625</v>
      </c>
      <c r="G11" s="55"/>
      <c r="H11" s="50" t="s">
        <v>306</v>
      </c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440</v>
      </c>
      <c r="D12" s="61"/>
      <c r="E12" s="155" t="s">
        <v>243</v>
      </c>
      <c r="F12" s="240">
        <v>50000</v>
      </c>
      <c r="G12" s="166"/>
      <c r="H12" s="209" t="s">
        <v>307</v>
      </c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1"/>
      <c r="F13" s="221"/>
      <c r="G13" s="166"/>
      <c r="H13" s="209" t="s">
        <v>308</v>
      </c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 t="s">
        <v>312</v>
      </c>
      <c r="H14" s="50" t="s">
        <v>309</v>
      </c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455</v>
      </c>
      <c r="F24" s="76">
        <v>3</v>
      </c>
      <c r="G24" s="77">
        <f>F12*D24</f>
        <v>50000</v>
      </c>
      <c r="H24" s="77">
        <f>$E24*$F$10*1.1-$G24</f>
        <v>24699.625</v>
      </c>
      <c r="I24" s="77">
        <f>G24+H24</f>
        <v>74699.625</v>
      </c>
      <c r="J24" s="78">
        <f t="shared" si="16"/>
        <v>0.33065259698425525</v>
      </c>
      <c r="K24" s="77">
        <v>0</v>
      </c>
      <c r="L24" s="77">
        <v>0</v>
      </c>
      <c r="M24" s="77">
        <f>G24*1.19-G24</f>
        <v>9500</v>
      </c>
      <c r="N24" s="77">
        <f t="shared" si="5"/>
        <v>3225.6656250000001</v>
      </c>
      <c r="O24" s="77">
        <f>L24-M24-N24</f>
        <v>-12725.665625</v>
      </c>
      <c r="P24" s="79">
        <f>IFERROR($H24-L24,"")</f>
        <v>24699.625</v>
      </c>
      <c r="Q24" s="78">
        <f>IFERROR(($H24-L24)/$I24,"")</f>
        <v>0.33065259698425525</v>
      </c>
      <c r="R24" s="80">
        <f>IFERROR((1-Q24)*F24,"")</f>
        <v>2.0080422090472343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455</v>
      </c>
      <c r="F26" s="89"/>
      <c r="G26" s="89">
        <f>SUBTOTAL(9,G19:G24)</f>
        <v>50000</v>
      </c>
      <c r="H26" s="89">
        <f>SUBTOTAL(9,H19:H24)</f>
        <v>24699.625</v>
      </c>
      <c r="I26" s="89">
        <f>SUBTOTAL(9,I19:I24)</f>
        <v>74699.625</v>
      </c>
      <c r="J26" s="90">
        <f>H26/I26</f>
        <v>0.33065259698425525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9500</v>
      </c>
      <c r="N26" s="89">
        <f t="shared" si="25"/>
        <v>3225.6656250000001</v>
      </c>
      <c r="O26" s="89">
        <f t="shared" si="25"/>
        <v>-12725.665625</v>
      </c>
      <c r="P26" s="89">
        <f t="shared" si="25"/>
        <v>24699.625</v>
      </c>
      <c r="Q26" s="90">
        <f>($H26-L26)/$I26</f>
        <v>0.33065259698425525</v>
      </c>
      <c r="R26" s="91">
        <f>IFERROR((1-Q26)*F26,"")</f>
        <v>0</v>
      </c>
    </row>
    <row r="27" spans="2:32" x14ac:dyDescent="0.4">
      <c r="E27" s="220" t="str">
        <f>"Das enspricht "&amp;TEXT(E26/(C10),"0,0%") &amp; " des Leerstands p.a. über 3 Jahre."</f>
        <v>Das enspricht 6,8%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4" zoomScale="110" zoomScaleNormal="110" workbookViewId="0">
      <selection activeCell="F8" sqref="F8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3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4">
        <v>25</v>
      </c>
    </row>
    <row r="3" spans="2:11" x14ac:dyDescent="0.4">
      <c r="B3" s="103" t="s">
        <v>52</v>
      </c>
      <c r="C3" s="224">
        <v>80</v>
      </c>
    </row>
    <row r="4" spans="2:11" x14ac:dyDescent="0.4">
      <c r="B4" s="103" t="s">
        <v>53</v>
      </c>
      <c r="C4" s="225">
        <f>+C3-C2</f>
        <v>55</v>
      </c>
    </row>
    <row r="5" spans="2:11" ht="6" customHeight="1" x14ac:dyDescent="0.4">
      <c r="C5" s="226"/>
    </row>
    <row r="6" spans="2:11" x14ac:dyDescent="0.4">
      <c r="B6" s="103" t="s">
        <v>54</v>
      </c>
      <c r="C6" s="224" t="s">
        <v>264</v>
      </c>
    </row>
    <row r="7" spans="2:11" x14ac:dyDescent="0.4">
      <c r="B7" s="103" t="s">
        <v>55</v>
      </c>
      <c r="C7" s="225">
        <f>IFERROR(INDEX('Preise Output'!$B$19:$E$24,MATCH(Preisvergleich!$C$6,'Preise Output'!$B$19:$B$24,0),4)/INDEX('Preise Output'!$B$19:$E$24,MATCH(Preisvergleich!$C$6,'Preise Output'!$B$19:$B$24,0),3),"--")</f>
        <v>455</v>
      </c>
    </row>
    <row r="9" spans="2:11" x14ac:dyDescent="0.4">
      <c r="B9" s="109" t="s">
        <v>56</v>
      </c>
      <c r="C9" s="227"/>
    </row>
    <row r="11" spans="2:11" ht="14.5" thickBot="1" x14ac:dyDescent="0.45">
      <c r="B11" s="106" t="s">
        <v>255</v>
      </c>
      <c r="C11" s="228">
        <f>C12</f>
        <v>42016.806722689078</v>
      </c>
    </row>
    <row r="12" spans="2:11" x14ac:dyDescent="0.4">
      <c r="B12" s="212" t="s">
        <v>285</v>
      </c>
      <c r="C12" s="229">
        <f>F13+F14</f>
        <v>42016.806722689078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0">
        <f>E13*F13</f>
        <v>0</v>
      </c>
      <c r="E13" s="222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1">
        <f>F14*E14</f>
        <v>7983.1932773109247</v>
      </c>
      <c r="E14" s="222">
        <v>0.19</v>
      </c>
      <c r="F14" s="162">
        <f>(F18-F13*(1+E13))/(1+E14)</f>
        <v>42016.806722689078</v>
      </c>
    </row>
    <row r="15" spans="2:11" hidden="1" x14ac:dyDescent="0.4">
      <c r="B15" s="105" t="s">
        <v>61</v>
      </c>
      <c r="C15" s="232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4"/>
      <c r="D17" s="97" t="s">
        <v>184</v>
      </c>
    </row>
    <row r="18" spans="2:8" x14ac:dyDescent="0.4">
      <c r="B18" s="100" t="s">
        <v>180</v>
      </c>
      <c r="C18" s="235">
        <f>SUM(C12:C14)</f>
        <v>50000</v>
      </c>
      <c r="F18" s="97">
        <f>'Preise Output'!G26</f>
        <v>50000</v>
      </c>
    </row>
    <row r="21" spans="2:8" x14ac:dyDescent="0.4">
      <c r="B21" s="109" t="s">
        <v>63</v>
      </c>
      <c r="C21" s="227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455 Gutscheine x 110€ je Gutschein</v>
      </c>
      <c r="C24" s="236">
        <f>IFERROR(C7*'Preise Output'!$F$7,"--")</f>
        <v>50050</v>
      </c>
    </row>
    <row r="25" spans="2:8" x14ac:dyDescent="0.4">
      <c r="B25" s="97" t="str">
        <f>"Das enspricht "&amp;TEXT('Preise Output'!E26/('Preise Output'!C10),"0,0%") &amp; " des Leerstands p.a."</f>
        <v>Das enspricht 6,8% des Leerstands p.a.</v>
      </c>
      <c r="C25" s="230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3">
        <f>IFERROR(F26*E26,"--")</f>
        <v>3344.2500000000005</v>
      </c>
      <c r="E26" s="222">
        <v>7.0000000000000007E-2</v>
      </c>
      <c r="F26" s="162">
        <f>C24-F27</f>
        <v>47775</v>
      </c>
    </row>
    <row r="27" spans="2:8" ht="14.5" thickBot="1" x14ac:dyDescent="0.45">
      <c r="B27" s="99" t="str">
        <f>"Mehrwertsteuer " &amp; TEXT(E27,"0%")</f>
        <v>Mehrwertsteuer 19%</v>
      </c>
      <c r="C27" s="233">
        <f>IFERROR(F27*E27,"--")</f>
        <v>432.25</v>
      </c>
      <c r="E27" s="222">
        <v>0.19</v>
      </c>
      <c r="F27" s="162">
        <f>G27*C7</f>
        <v>2275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55€ je Gutschein x 455 Roomnights</v>
      </c>
      <c r="C31" s="236">
        <f>C7*C4</f>
        <v>25025</v>
      </c>
    </row>
    <row r="32" spans="2:8" x14ac:dyDescent="0.4">
      <c r="B32" s="108" t="s">
        <v>293</v>
      </c>
      <c r="C32" s="228">
        <f>C26+C27</f>
        <v>3776.5000000000005</v>
      </c>
    </row>
    <row r="33" spans="2:3" ht="14.5" thickBot="1" x14ac:dyDescent="0.45">
      <c r="B33" s="115" t="s">
        <v>288</v>
      </c>
      <c r="C33" s="237">
        <f>-(C13+C14)</f>
        <v>-7983.1932773109247</v>
      </c>
    </row>
    <row r="34" spans="2:3" x14ac:dyDescent="0.4">
      <c r="B34" s="96" t="s">
        <v>271</v>
      </c>
      <c r="C34" s="235">
        <f>SUM(C31:C33)</f>
        <v>20818.306722689074</v>
      </c>
    </row>
    <row r="36" spans="2:3" x14ac:dyDescent="0.4">
      <c r="B36" s="102" t="s">
        <v>65</v>
      </c>
      <c r="C36" s="238">
        <f>C12-C34</f>
        <v>21198.500000000004</v>
      </c>
    </row>
    <row r="37" spans="2:3" x14ac:dyDescent="0.4">
      <c r="B37" s="97" t="s">
        <v>289</v>
      </c>
      <c r="C37" s="239">
        <f>C36/C12</f>
        <v>0.50452430000000004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42016.806722689078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42016.806722689078</v>
      </c>
      <c r="R16" s="35">
        <f t="shared" si="4"/>
        <v>14005.60224089636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42016.806722689078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43456.806722689078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22750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22750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22750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22750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4515.875</v>
      </c>
      <c r="F7" s="129">
        <f>IF($B$6=100%,(('Preise Output'!$F$10-INDEX(Annahmen!$B$18:$C$22,MATCH('Preise Output'!$C$7,Annahmen!$B$18:$B$22,0),2))*'Preise Output'!$E$26)/10,('Preise Output'!$E$26*'Preise Output'!$F$10-$D$6)/10)</f>
        <v>4515.875</v>
      </c>
      <c r="G7" s="129">
        <f>IF($B$6=100%,(('Preise Output'!$F$10-INDEX(Annahmen!$B$18:$C$22,MATCH('Preise Output'!$C$7,Annahmen!$B$18:$B$22,0),2))*'Preise Output'!$E$26)/10,('Preise Output'!$E$26*'Preise Output'!$F$10-$D$6)/10)</f>
        <v>4515.875</v>
      </c>
      <c r="H7" s="129">
        <f>IF($B$6=100%,(('Preise Output'!$F$10-INDEX(Annahmen!$B$18:$C$22,MATCH('Preise Output'!$C$7,Annahmen!$B$18:$B$22,0),2))*'Preise Output'!$E$26)/10,('Preise Output'!$E$26*'Preise Output'!$F$10-$D$6)/10)</f>
        <v>4515.875</v>
      </c>
      <c r="I7" s="129">
        <f>IF($B$6=100%,(('Preise Output'!$F$10-INDEX(Annahmen!$B$18:$C$22,MATCH('Preise Output'!$C$7,Annahmen!$B$18:$B$22,0),2))*'Preise Output'!$E$26)/10,('Preise Output'!$E$26*'Preise Output'!$F$10-$D$6)/10)</f>
        <v>4515.875</v>
      </c>
      <c r="J7" s="129">
        <f>IF($B$6=100%,(('Preise Output'!$F$10-INDEX(Annahmen!$B$18:$C$22,MATCH('Preise Output'!$C$7,Annahmen!$B$18:$B$22,0),2))*'Preise Output'!$E$26)/10,('Preise Output'!$E$26*'Preise Output'!$F$10-$D$6)/10)</f>
        <v>4515.875</v>
      </c>
      <c r="K7" s="129">
        <f>IF($B$6=100%,(('Preise Output'!$F$10-INDEX(Annahmen!$B$18:$C$22,MATCH('Preise Output'!$C$7,Annahmen!$B$18:$B$22,0),2))*'Preise Output'!$E$26)/10,('Preise Output'!$E$26*'Preise Output'!$F$10-$D$6)/10)</f>
        <v>4515.875</v>
      </c>
      <c r="L7" s="129">
        <f>IF($B$6=100%,(('Preise Output'!$F$10-INDEX(Annahmen!$B$18:$C$22,MATCH('Preise Output'!$C$7,Annahmen!$B$18:$B$22,0),2))*'Preise Output'!$E$26)/10,('Preise Output'!$E$26*'Preise Output'!$F$10-$D$6)/10)</f>
        <v>4515.875</v>
      </c>
      <c r="M7" s="129">
        <f>IF($B$6=100%,(('Preise Output'!$F$10-INDEX(Annahmen!$B$18:$C$22,MATCH('Preise Output'!$C$7,Annahmen!$B$18:$B$22,0),2))*'Preise Output'!$E$26)/10,('Preise Output'!$E$26*'Preise Output'!$F$10-$D$6)/10)</f>
        <v>4515.875</v>
      </c>
      <c r="N7" s="129">
        <f>IF($B$6=100%,(('Preise Output'!$F$10-INDEX(Annahmen!$B$18:$C$22,MATCH('Preise Output'!$C$7,Annahmen!$B$18:$B$22,0),2))*'Preise Output'!$E$26)/10,('Preise Output'!$E$26*'Preise Output'!$F$10-$D$6)/10)</f>
        <v>4515.875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4515.875</v>
      </c>
      <c r="R7" s="129">
        <f>IF($B$6=100%,(('Preise Output'!$F$10-INDEX(Annahmen!$B$18:$C$22,MATCH('Preise Output'!$C$7,Annahmen!$B$18:$B$22,0),2))*'Preise Output'!$E$26)/10,('Preise Output'!$E$26*'Preise Output'!$F$10-$D$6)/10)</f>
        <v>4515.875</v>
      </c>
      <c r="S7" s="129">
        <f>IF($B$6=100%,(('Preise Output'!$F$10-INDEX(Annahmen!$B$18:$C$22,MATCH('Preise Output'!$C$7,Annahmen!$B$18:$B$22,0),2))*'Preise Output'!$E$26)/10,('Preise Output'!$E$26*'Preise Output'!$F$10-$D$6)/10)</f>
        <v>4515.875</v>
      </c>
      <c r="T7" s="129">
        <f>IF($B$6=100%,(('Preise Output'!$F$10-INDEX(Annahmen!$B$18:$C$22,MATCH('Preise Output'!$C$7,Annahmen!$B$18:$B$22,0),2))*'Preise Output'!$E$26)/10,('Preise Output'!$E$26*'Preise Output'!$F$10-$D$6)/10)</f>
        <v>4515.875</v>
      </c>
      <c r="U7" s="129">
        <f>IF($B$6=100%,(('Preise Output'!$F$10-INDEX(Annahmen!$B$18:$C$22,MATCH('Preise Output'!$C$7,Annahmen!$B$18:$B$22,0),2))*'Preise Output'!$E$26)/10,('Preise Output'!$E$26*'Preise Output'!$F$10-$D$6)/10)</f>
        <v>4515.875</v>
      </c>
      <c r="V7" s="129">
        <f>IF($B$6=100%,(('Preise Output'!$F$10-INDEX(Annahmen!$B$18:$C$22,MATCH('Preise Output'!$C$7,Annahmen!$B$18:$B$22,0),2))*'Preise Output'!$E$26)/10,('Preise Output'!$E$26*'Preise Output'!$F$10-$D$6)/10)</f>
        <v>4515.875</v>
      </c>
      <c r="W7" s="129">
        <f>IF($B$6=100%,(('Preise Output'!$F$10-INDEX(Annahmen!$B$18:$C$22,MATCH('Preise Output'!$C$7,Annahmen!$B$18:$B$22,0),2))*'Preise Output'!$E$26)/10,('Preise Output'!$E$26*'Preise Output'!$F$10-$D$6)/10)</f>
        <v>4515.875</v>
      </c>
      <c r="X7" s="129">
        <f>IF($B$6=100%,(('Preise Output'!$F$10-INDEX(Annahmen!$B$18:$C$22,MATCH('Preise Output'!$C$7,Annahmen!$B$18:$B$22,0),2))*'Preise Output'!$E$26)/10,('Preise Output'!$E$26*'Preise Output'!$F$10-$D$6)/10)</f>
        <v>4515.875</v>
      </c>
      <c r="Y7" s="129">
        <f>IF($B$6=100%,(('Preise Output'!$F$10-INDEX(Annahmen!$B$18:$C$22,MATCH('Preise Output'!$C$7,Annahmen!$B$18:$B$22,0),2))*'Preise Output'!$E$26)/10,('Preise Output'!$E$26*'Preise Output'!$F$10-$D$6)/10)</f>
        <v>4515.875</v>
      </c>
      <c r="Z7" s="129">
        <f>IF($B$6=100%,(('Preise Output'!$F$10-INDEX(Annahmen!$B$18:$C$22,MATCH('Preise Output'!$C$7,Annahmen!$B$18:$B$22,0),2))*'Preise Output'!$E$26)/10,('Preise Output'!$E$26*'Preise Output'!$F$10-$D$6)/10)</f>
        <v>4515.875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4515.875</v>
      </c>
      <c r="AD7" s="129">
        <f>IF($B$6=100%,(('Preise Output'!$F$10-INDEX(Annahmen!$B$18:$C$22,MATCH('Preise Output'!$C$7,Annahmen!$B$18:$B$22,0),2))*'Preise Output'!$E$26)/10,('Preise Output'!$E$26*'Preise Output'!$F$10-$D$6)/10)</f>
        <v>4515.875</v>
      </c>
      <c r="AE7" s="129">
        <f>IF($B$6=100%,(('Preise Output'!$F$10-INDEX(Annahmen!$B$18:$C$22,MATCH('Preise Output'!$C$7,Annahmen!$B$18:$B$22,0),2))*'Preise Output'!$E$26)/10,('Preise Output'!$E$26*'Preise Output'!$F$10-$D$6)/10)</f>
        <v>4515.875</v>
      </c>
      <c r="AF7" s="129">
        <f>IF($B$6=100%,(('Preise Output'!$F$10-INDEX(Annahmen!$B$18:$C$22,MATCH('Preise Output'!$C$7,Annahmen!$B$18:$B$22,0),2))*'Preise Output'!$E$26)/10,('Preise Output'!$E$26*'Preise Output'!$F$10-$D$6)/10)</f>
        <v>4515.875</v>
      </c>
      <c r="AG7" s="129">
        <f>IF($B$6=100%,(('Preise Output'!$F$10-INDEX(Annahmen!$B$18:$C$22,MATCH('Preise Output'!$C$7,Annahmen!$B$18:$B$22,0),2))*'Preise Output'!$E$26)/10,('Preise Output'!$E$26*'Preise Output'!$F$10-$D$6)/10)</f>
        <v>4515.875</v>
      </c>
      <c r="AH7" s="129">
        <f>IF($B$6=100%,(('Preise Output'!$F$10-INDEX(Annahmen!$B$18:$C$22,MATCH('Preise Output'!$C$7,Annahmen!$B$18:$B$22,0),2))*'Preise Output'!$E$26)/10,('Preise Output'!$E$26*'Preise Output'!$F$10-$D$6)/10)</f>
        <v>4515.875</v>
      </c>
      <c r="AI7" s="129">
        <f>IF($B$6=100%,(('Preise Output'!$F$10-INDEX(Annahmen!$B$18:$C$22,MATCH('Preise Output'!$C$7,Annahmen!$B$18:$B$22,0),2))*'Preise Output'!$E$26)/10,('Preise Output'!$E$26*'Preise Output'!$F$10-$D$6)/10)</f>
        <v>4515.875</v>
      </c>
      <c r="AJ7" s="129">
        <f>IF($B$6=100%,(('Preise Output'!$F$10-INDEX(Annahmen!$B$18:$C$22,MATCH('Preise Output'!$C$7,Annahmen!$B$18:$B$22,0),2))*'Preise Output'!$E$26)/10,('Preise Output'!$E$26*'Preise Output'!$F$10-$D$6)/10)</f>
        <v>4515.875</v>
      </c>
      <c r="AK7" s="129">
        <f>IF($B$6=100%,(('Preise Output'!$F$10-INDEX(Annahmen!$B$18:$C$22,MATCH('Preise Output'!$C$7,Annahmen!$B$18:$B$22,0),2))*'Preise Output'!$E$26)/10,('Preise Output'!$E$26*'Preise Output'!$F$10-$D$6)/10)</f>
        <v>4515.875</v>
      </c>
      <c r="AL7" s="129">
        <f>IF($B$6=100%,(('Preise Output'!$F$10-INDEX(Annahmen!$B$18:$C$22,MATCH('Preise Output'!$C$7,Annahmen!$B$18:$B$22,0),2))*'Preise Output'!$E$26)/10,('Preise Output'!$E$26*'Preise Output'!$F$10-$D$6)/10)</f>
        <v>4515.875</v>
      </c>
      <c r="AM7" s="130"/>
      <c r="AN7" s="130">
        <f t="shared" ref="AN7:AN43" si="0">SUM(D7:AM7)</f>
        <v>135476.25</v>
      </c>
      <c r="AQ7" s="130">
        <f t="shared" ref="AQ7:AQ45" si="1">SUM(D7:F7)</f>
        <v>9031.75</v>
      </c>
      <c r="AR7" s="130">
        <f t="shared" ref="AR7:AR45" si="2">SUM(G7:I7)</f>
        <v>13547.625</v>
      </c>
      <c r="AS7" s="130">
        <f t="shared" ref="AS7:AS45" si="3">SUM(J7:L7)</f>
        <v>13547.625</v>
      </c>
      <c r="AT7" s="130">
        <f t="shared" ref="AT7:AT45" si="4">SUM(M7:O7)</f>
        <v>9031.75</v>
      </c>
      <c r="AU7" s="130">
        <f t="shared" ref="AU7:AU45" si="5">SUM(P7:R7)</f>
        <v>9031.75</v>
      </c>
      <c r="AV7" s="130">
        <f t="shared" ref="AV7:AV45" si="6">SUM(S7:U7)</f>
        <v>13547.625</v>
      </c>
      <c r="AW7" s="130">
        <f t="shared" ref="AW7:AW45" si="7">SUM(V7:X7)</f>
        <v>13547.625</v>
      </c>
      <c r="AX7" s="130">
        <f t="shared" ref="AX7:AX45" si="8">SUM(Y7:AA7)</f>
        <v>9031.75</v>
      </c>
      <c r="AY7" s="130">
        <f t="shared" ref="AY7:AY45" si="9">SUM(AB7:AD7)</f>
        <v>9031.75</v>
      </c>
      <c r="AZ7" s="130">
        <f t="shared" ref="AZ7:AZ45" si="10">SUM(AE7:AG7)</f>
        <v>13547.625</v>
      </c>
      <c r="BA7" s="130">
        <f t="shared" ref="BA7:BA45" si="11">SUM(AH7:AJ7)</f>
        <v>13547.625</v>
      </c>
      <c r="BB7" s="130">
        <f t="shared" ref="BB7:BB45" si="12">SUM(AK7:AM7)</f>
        <v>9031.75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-50000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-50000</v>
      </c>
      <c r="AQ42" s="134">
        <f t="shared" si="1"/>
        <v>-50000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74699.625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19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19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19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EC1E053-FC1D-4B09-A123-E7A8DEDFA2D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2025-06-24T08:53:53Z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