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elexa hotels/relexa hotel Harz-Wald Braunlage/"/>
    </mc:Choice>
  </mc:AlternateContent>
  <xr:revisionPtr revIDLastSave="21" documentId="8_{207F9823-9F7A-439A-86BD-E629EE244269}" xr6:coauthVersionLast="47" xr6:coauthVersionMax="47" xr10:uidLastSave="{3AA6054C-831B-4172-8C3E-592C559FDE47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36" i="8" s="1"/>
  <c r="C37" i="8" s="1"/>
  <c r="C12" i="8"/>
  <c r="C11" i="8" s="1"/>
  <c r="C18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<sst xmlns="http://schemas.openxmlformats.org/spreadsheetml/2006/main" count="510" uniqueCount="297">
  <si>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</si>
  <si>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</si>
  <si>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</si>
  <si>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</si>
  <si>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</si>
  <si>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</si>
  <si>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</si>
  <si>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</si>
  <si>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</si>
  <si>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</si>
  <si>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</si>
  <si>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</si>
  <si>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</si>
  <si>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</si>
  <si>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</si>
  <si>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</si>
  <si>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</si>
  <si>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</si>
  <si>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</si>
  <si>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</si>
  <si>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</si>
  <si>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</si>
  <si>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</si>
  <si>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</si>
  <si>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</si>
  <si>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</si>
  <si>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</si>
  <si>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</si>
  <si>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</si>
  <si>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</si>
  <si>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</si>
  <si>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</si>
  <si>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</si>
  <si>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</si>
  <si>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</si>
  <si>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</si>
  <si>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</si>
  <si>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</si>
  <si>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</si>
  <si>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</si>
  <si>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</si>
  <si>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</si>
  <si>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</si>
  <si>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</si>
  <si>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</si>
  <si>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</si>
  <si>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</si>
  <si>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</si>
  <si>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</si>
  <si>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</si>
  <si>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</si>
  <si>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</si>
  <si>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</si>
  <si>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</si>
  <si>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</si>
  <si>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</si>
  <si>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</si>
  <si>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</si>
  <si>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</si>
  <si>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</si>
  <si>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</si>
  <si>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</si>
  <si>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</si>
  <si>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</si>
  <si>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</si>
  <si>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</si>
  <si>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</si>
  <si>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</si>
  <si>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</si>
  <si>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</si>
  <si>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</si>
  <si>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</si>
  <si>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</si>
  <si>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</si>
  <si>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</si>
  <si>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</si>
  <si>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</si>
  <si>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</si>
  <si>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</si>
  <si>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</si>
  <si>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</si>
  <si>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</si>
  <si>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</si>
  <si>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</si>
  <si>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</si>
  <si>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</si>
  <si>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</si>
  <si>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</si>
  <si>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</si>
  <si>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</si>
  <si>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</si>
  <si>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</si>
  <si>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</si>
  <si>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</si>
  <si>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</si>
  <si>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</si>
  <si>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</si>
  <si>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</si>
  <si>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</si>
  <si>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</si>
  <si>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</si>
  <si>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</si>
  <si>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</si>
  <si>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</si>
  <si>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</si>
  <si>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</si>
  <si>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</si>
  <si>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</si>
  <si>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</si>
  <si>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</si>
  <si>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</si>
  <si>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</si>
  <si>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</si>
  <si>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</si>
  <si>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</si>
  <si>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</si>
  <si>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</si>
  <si>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</si>
  <si>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</si>
  <si>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</si>
  <si>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</si>
  <si>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</si>
  <si>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</si>
  <si>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</si>
  <si>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</si>
  <si>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</si>
  <si>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</si>
  <si>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</si>
  <si>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</si>
  <si>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</si>
  <si>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</si>
  <si>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</si>
  <si>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</si>
  <si>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</si>
  <si>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</si>
  <si>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</si>
  <si>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</si>
  <si>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</si>
  <si>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</si>
  <si>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</si>
  <si>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</si>
  <si>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</si>
  <si>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</si>
  <si>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</si>
  <si>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</si>
  <si>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</si>
  <si>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</si>
  <si>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</si>
  <si>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</si>
  <si>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</si>
  <si>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</si>
  <si>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</si>
  <si>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</si>
  <si>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</si>
  <si>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</si>
  <si>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</si>
  <si>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</si>
  <si>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</si>
  <si>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</si>
  <si>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</si>
  <si>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</si>
  <si>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</si>
  <si>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</si>
  <si>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</si>
  <si>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</si>
  <si>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</si>
  <si>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</si>
  <si>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</si>
  <si>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</si>
  <si>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</si>
  <si>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</si>
  <si>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</si>
  <si>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</si>
  <si>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</si>
  <si>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</si>
  <si>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</si>
  <si>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</si>
  <si>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</si>
  <si>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</si>
  <si>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</si>
  <si>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</si>
  <si>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</si>
  <si>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</si>
  <si>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</si>
  <si>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</si>
  <si>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</si>
  <si>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</si>
  <si>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</si>
  <si>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</si>
  <si>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</si>
  <si>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</si>
  <si>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</si>
  <si>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</si>
  <si>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</si>
  <si>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</si>
  <si>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</si>
  <si>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</si>
  <si>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</si>
  <si>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</si>
  <si>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</si>
  <si>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</si>
  <si>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</si>
  <si>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</si>
  <si>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</si>
  <si>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</si>
  <si>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</si>
  <si>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</si>
  <si>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</si>
  <si>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</si>
  <si>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</si>
  <si>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</si>
  <si>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</si>
  <si>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</si>
  <si>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</si>
  <si>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</si>
  <si>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</si>
  <si>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</si>
  <si>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</si>
  <si>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</si>
  <si>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</si>
  <si>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</si>
  <si>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</si>
  <si>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</si>
  <si>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</si>
  <si>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</si>
  <si>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</si>
  <si>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</si>
  <si>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</si>
  <si>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</si>
  <si>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</si>
  <si>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</si>
  <si>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</si>
  <si>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</si>
  <si>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</si>
  <si>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</si>
  <si>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</si>
  <si>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</si>
  <si>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</si>
  <si>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</si>
  <si>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</si>
  <si>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</si>
  <si>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</si>
  <si>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</si>
  <si>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</si>
  <si>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</si>
  <si>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</si>
  <si>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</si>
  <si>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</si>
  <si>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</si>
  <si>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</si>
  <si>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</si>
  <si>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</si>
  <si>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</si>
  <si>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</si>
  <si>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</si>
  <si>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</si>
  <si>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</si>
  <si>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</si>
  <si>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</si>
  <si>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</si>
  <si>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</si>
  <si>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</si>
  <si>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</si>
  <si>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</si>
  <si>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</si>
  <si>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</si>
  <si>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</si>
  <si>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</si>
  <si>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</si>
  <si>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</si>
  <si>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</si>
  <si>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</si>
  <si>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</si>
  <si>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</si>
  <si>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</si>
  <si>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</si>
  <si>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</si>
  <si>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</si>
  <si>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</si>
  <si>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</si>
  <si>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</si>
  <si>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</si>
  <si>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</si>
  <si>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</si>
  <si>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</si>
  <si>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</si>
  <si>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</si>
  <si>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</si>
  <si>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</si>
  <si>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</si>
  <si>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</si>
  <si>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</si>
  <si>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</si>
  <si>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</si>
  <si>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</si>
  <si>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</si>
  <si>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relexa hotel Harz-Wald Braunlage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</si>
</sst>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25" activePane="bottomRight" state="frozen"/>
      <selection pane="topRight" activeCell="D1" sqref="D1"/>
      <selection pane="bottomLeft" activeCell="A15" sqref="A15"/>
      <selection pane="bottomRight" activeCell="D9" sqref="D9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45364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ht="30">
      <c r="B6" s="48" t="s">
        <v>4</v>
      </c>
      <c r="C6" s="49" t="s">
        <v>296</v>
      </c>
      <c r="E6" s="152" t="s">
        <v>290</v>
      </c>
      <c r="F6" s="37">
        <f>C12*0.65</f>
        <v>95.55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120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13140.000000000002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147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6,5%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F30" sqref="F30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Output'!F7,0)&amp;"€"&amp;" "&amp;"je"&amp;" "&amp;"Gutschein"</f>
        <v>857 Gutscheine x 35€ je Gutschein</v>
      </c>
      <c r="C24" s="237">
        <f>IFERROR(C7*'Preise Output'!$F$7,"--")</f>
        <v>29995</v>
      </c>
    </row>
    <row r="25" spans="2:8">
      <c r="B25" s="97" t="str">
        <f>"Das enspricht "&amp;TEXT('Preise Output'!E26/('Preise Output'!C10),"0,0%") &amp; " des Leerstands p.a."</f>
        <v>Das enspricht 6,5%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2613.8500000000004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14963.934033613445</v>
      </c>
    </row>
    <row r="36" spans="2:3">
      <c r="B36" s="102" t="s">
        <v>65</v>
      </c>
      <c r="C36" s="239">
        <f>C12-C34</f>
        <v>10246.150000000001</v>
      </c>
    </row>
    <row r="37" spans="2:3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AB373D7-3C7D-4DFF-8CAC-85CB023833F1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2024-03-13T10:30:21Z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