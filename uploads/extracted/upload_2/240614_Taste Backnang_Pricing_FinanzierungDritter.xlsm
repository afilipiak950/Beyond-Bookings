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Backnang/Vertragsordner/"/>
    </mc:Choice>
  </mc:AlternateContent>
  <xr:revisionPtr revIDLastSave="20" documentId="8_{207F9823-9F7A-439A-86BD-E629EE244269}" xr6:coauthVersionLast="47" xr6:coauthVersionMax="47" xr10:uidLastSave="{E811EB6B-DCA7-4561-9628-C1829D30956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<sst xmlns="http://schemas.openxmlformats.org/spreadsheetml/2006/main" count="510" uniqueCount="297">
  <si>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</si>
  <si>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</si>
  <si>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</si>
  <si>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</si>
  <si>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</si>
  <si>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</si>
  <si>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</si>
  <si>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</si>
  <si>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</si>
  <si>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</si>
  <si>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</si>
  <si>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</si>
  <si>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</si>
  <si>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</si>
  <si>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</si>
  <si>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</si>
  <si>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</si>
  <si>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</si>
  <si>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</si>
  <si>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</si>
  <si>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</si>
  <si>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</si>
  <si>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</si>
  <si>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</si>
  <si>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</si>
  <si>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</si>
  <si>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</si>
  <si>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</si>
  <si>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</si>
  <si>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</si>
  <si>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</si>
  <si>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</si>
  <si>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</si>
  <si>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</si>
  <si>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</si>
  <si>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</si>
  <si>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</si>
  <si>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</si>
  <si>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</si>
  <si>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</si>
  <si>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</si>
  <si>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</si>
  <si>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</si>
  <si>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</si>
  <si>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</si>
  <si>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</si>
  <si>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</si>
  <si>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</si>
  <si>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</si>
  <si>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</si>
  <si>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</si>
  <si>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</si>
  <si>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</si>
  <si>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</si>
  <si>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</si>
  <si>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</si>
  <si>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</si>
  <si>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</si>
  <si>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</si>
  <si>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</si>
  <si>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</si>
  <si>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</si>
  <si>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</si>
  <si>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</si>
  <si>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</si>
  <si>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</si>
  <si>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</si>
  <si>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</si>
  <si>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</si>
  <si>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</si>
  <si>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</si>
  <si>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</si>
  <si>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</si>
  <si>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</si>
  <si>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</si>
  <si>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</si>
  <si>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</si>
  <si>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</si>
  <si>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</si>
  <si>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</si>
  <si>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</si>
  <si>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</si>
  <si>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</si>
  <si>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</si>
  <si>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</si>
  <si>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</si>
  <si>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</si>
  <si>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</si>
  <si>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</si>
  <si>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</si>
  <si>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</si>
  <si>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</si>
  <si>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</si>
  <si>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</si>
  <si>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</si>
  <si>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</si>
  <si>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</si>
  <si>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</si>
  <si>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</si>
  <si>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</si>
  <si>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</si>
  <si>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</si>
  <si>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</si>
  <si>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</si>
  <si>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</si>
  <si>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</si>
  <si>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</si>
  <si>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</si>
  <si>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</si>
  <si>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</si>
  <si>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</si>
  <si>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</si>
  <si>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</si>
  <si>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</si>
  <si>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</si>
  <si>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</si>
  <si>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</si>
  <si>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</si>
  <si>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</si>
  <si>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</si>
  <si>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</si>
  <si>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</si>
  <si>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</si>
  <si>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</si>
  <si>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</si>
  <si>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</si>
  <si>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</si>
  <si>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</si>
  <si>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</si>
  <si>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</si>
  <si>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</si>
  <si>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</si>
  <si>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</si>
  <si>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</si>
  <si>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</si>
  <si>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</si>
  <si>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</si>
  <si>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</si>
  <si>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</si>
  <si>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</si>
  <si>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</si>
  <si>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</si>
  <si>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</si>
  <si>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</si>
  <si>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</si>
  <si>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</si>
  <si>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</si>
  <si>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</si>
  <si>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</si>
  <si>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</si>
  <si>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</si>
  <si>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</si>
  <si>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</si>
  <si>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</si>
  <si>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</si>
  <si>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</si>
  <si>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</si>
  <si>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</si>
  <si>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</si>
  <si>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</si>
  <si>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</si>
  <si>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</si>
  <si>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</si>
  <si>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</si>
  <si>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</si>
  <si>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</si>
  <si>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</si>
  <si>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</si>
  <si>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</si>
  <si>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</si>
  <si>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</si>
  <si>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</si>
  <si>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</si>
  <si>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</si>
  <si>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</si>
  <si>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</si>
  <si>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</si>
  <si>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</si>
  <si>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</si>
  <si>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</si>
  <si>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</si>
  <si>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</si>
  <si>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</si>
  <si>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</si>
  <si>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</si>
  <si>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</si>
  <si>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</si>
  <si>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</si>
  <si>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</si>
  <si>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</si>
  <si>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</si>
  <si>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</si>
  <si>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</si>
  <si>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</si>
  <si>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</si>
  <si>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</si>
  <si>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</si>
  <si>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</si>
  <si>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</si>
  <si>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</si>
  <si>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</si>
  <si>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</si>
  <si>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</si>
  <si>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</si>
  <si>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</si>
  <si>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</si>
  <si>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</si>
  <si>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</si>
  <si>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</si>
  <si>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</si>
  <si>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</si>
  <si>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</si>
  <si>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</si>
  <si>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</si>
  <si>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</si>
  <si>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</si>
  <si>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</si>
  <si>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</si>
  <si>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</si>
  <si>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</si>
  <si>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</si>
  <si>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</si>
  <si>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</si>
  <si>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</si>
  <si>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</si>
  <si>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</si>
  <si>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</si>
  <si>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</si>
  <si>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</si>
  <si>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</si>
  <si>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</si>
  <si>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</si>
  <si>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</si>
  <si>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</si>
  <si>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</si>
  <si>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</si>
  <si>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</si>
  <si>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</si>
  <si>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</si>
  <si>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</si>
  <si>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</si>
  <si>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</si>
  <si>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</si>
  <si>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</si>
  <si>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</si>
  <si>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</si>
  <si>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</si>
  <si>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</si>
  <si>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</si>
  <si>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</si>
  <si>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</si>
  <si>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</si>
  <si>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</si>
  <si>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</si>
  <si>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</si>
  <si>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</si>
  <si>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</si>
  <si>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</si>
  <si>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</si>
  <si>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</si>
  <si>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</si>
  <si>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</si>
  <si>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</si>
  <si>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</si>
  <si>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</si>
  <si>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</si>
  <si>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</si>
  <si>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</si>
  <si>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</si>
  <si>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</si>
  <si>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</si>
  <si>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</si>
  <si>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</si>
  <si>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</si>
  <si>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</si>
  <si>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</si>
  <si>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</si>
  <si>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</si>
  <si>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</si>
  <si>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</si>
  <si>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</si>
  <si>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</si>
  <si>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</si>
  <si>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</si>
  <si>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</si>
  <si>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</si>
  <si>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</si>
  <si>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</si>
  <si>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</si>
  <si>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</si>
  <si>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</si>
  <si>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</si>
  <si>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</si>
  <si>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</si>
  <si>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</si>
  <si>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</si>
  <si>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SMART HOTEL BACKNANG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</si>
</sst>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6" sqref="F6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49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48.75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0.25714211428497152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4471.25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670.6875</v>
      </c>
      <c r="E11" s="167" t="s">
        <v>14</v>
      </c>
      <c r="F11" s="242">
        <f>+I26</f>
        <v>13461.525000000001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75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3461.5250000000015</v>
      </c>
      <c r="I24" s="77">
        <f>G24+H24</f>
        <v>13461.525000000001</v>
      </c>
      <c r="J24" s="78">
        <f t="shared" si="16"/>
        <v>0.25714211428497152</v>
      </c>
      <c r="K24" s="77">
        <v>0</v>
      </c>
      <c r="L24" s="77">
        <v>0</v>
      </c>
      <c r="M24" s="77">
        <f>G24*1.19-G24</f>
        <v>1900</v>
      </c>
      <c r="N24" s="77">
        <f t="shared" si="5"/>
        <v>581.29312500000003</v>
      </c>
      <c r="O24" s="77">
        <f>L24-M24-N24</f>
        <v>-2481.2931250000001</v>
      </c>
      <c r="P24" s="79">
        <f>IFERROR($H24-L24,"")</f>
        <v>3461.5250000000015</v>
      </c>
      <c r="Q24" s="78">
        <f>IFERROR(($H24-L24)/$I24,"")</f>
        <v>0.25714211428497152</v>
      </c>
      <c r="R24" s="80">
        <f>IFERROR((1-Q24)*F24,"")</f>
        <v>2.2285736571450858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3461.5250000000015</v>
      </c>
      <c r="I26" s="89">
        <f>SUBTOTAL(9,I19:I24)</f>
        <v>13461.525000000001</v>
      </c>
      <c r="J26" s="90">
        <f>H26/I26</f>
        <v>0.25714211428497152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581.29312500000003</v>
      </c>
      <c r="O26" s="89">
        <f t="shared" si="25"/>
        <v>-2481.2931250000001</v>
      </c>
      <c r="P26" s="89">
        <f t="shared" si="25"/>
        <v>3461.5250000000015</v>
      </c>
      <c r="Q26" s="90">
        <f>($H26-L26)/$I26</f>
        <v>0.25714211428497152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 x14ac:dyDescent="0.4">
      <c r="B25" s="97" t="str">
        <f>"Das enspricht "&amp;TEXT('Preise Output'!E26/('Preise Output'!C10),"0,0%") &amp; " des Leerstands p.a."</f>
        <v>Das enspricht 7,4%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333 Roomnights</v>
      </c>
      <c r="C31" s="237">
        <f>C7*C4</f>
        <v>6660</v>
      </c>
    </row>
    <row r="32" spans="2:8" x14ac:dyDescent="0.4">
      <c r="B32" s="108" t="s">
        <v>293</v>
      </c>
      <c r="C32" s="229">
        <f>C26+C27</f>
        <v>900.03240000000005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5963.3937445378151</v>
      </c>
    </row>
    <row r="36" spans="2:3" x14ac:dyDescent="0.4">
      <c r="B36" s="102" t="s">
        <v>65</v>
      </c>
      <c r="C36" s="239">
        <f>C12-C34</f>
        <v>2439.9676000000009</v>
      </c>
    </row>
    <row r="37" spans="2:3" x14ac:dyDescent="0.4">
      <c r="B37" s="97" t="s">
        <v>289</v>
      </c>
      <c r="C37" s="240">
        <f>C36/C12</f>
        <v>0.29035614440000007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M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N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R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S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T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U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V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W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X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Y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Z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M7" s="130"/>
      <c r="AN7" s="130">
        <f t="shared" ref="AN7:AN43" si="0">SUM(D7:AM7)</f>
        <v>6743.2499999999973</v>
      </c>
      <c r="AQ7" s="130">
        <f t="shared" ref="AQ7:AQ45" si="1">SUM(D7:F7)</f>
        <v>449.55</v>
      </c>
      <c r="AR7" s="130">
        <f t="shared" ref="AR7:AR45" si="2">SUM(G7:I7)</f>
        <v>674.32500000000005</v>
      </c>
      <c r="AS7" s="130">
        <f t="shared" ref="AS7:AS45" si="3">SUM(J7:L7)</f>
        <v>674.32500000000005</v>
      </c>
      <c r="AT7" s="130">
        <f t="shared" ref="AT7:AT45" si="4">SUM(M7:O7)</f>
        <v>449.55</v>
      </c>
      <c r="AU7" s="130">
        <f t="shared" ref="AU7:AU45" si="5">SUM(P7:R7)</f>
        <v>449.55</v>
      </c>
      <c r="AV7" s="130">
        <f t="shared" ref="AV7:AV45" si="6">SUM(S7:U7)</f>
        <v>674.32500000000005</v>
      </c>
      <c r="AW7" s="130">
        <f t="shared" ref="AW7:AW45" si="7">SUM(V7:X7)</f>
        <v>674.32500000000005</v>
      </c>
      <c r="AX7" s="130">
        <f t="shared" ref="AX7:AX45" si="8">SUM(Y7:AA7)</f>
        <v>449.55</v>
      </c>
      <c r="AY7" s="130">
        <f t="shared" ref="AY7:AY45" si="9">SUM(AB7:AD7)</f>
        <v>449.55</v>
      </c>
      <c r="AZ7" s="130">
        <f t="shared" ref="AZ7:AZ45" si="10">SUM(AE7:AG7)</f>
        <v>674.32500000000005</v>
      </c>
      <c r="BA7" s="130">
        <f t="shared" ref="BA7:BA45" si="11">SUM(AH7:AJ7)</f>
        <v>674.32500000000005</v>
      </c>
      <c r="BB7" s="130">
        <f t="shared" ref="BB7:BB45" si="12">SUM(AK7:AM7)</f>
        <v>449.55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13461.525000000001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E9727EA4-1C4B-4016-A017-51F0397EE41C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2024-11-12T15:24:10Z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