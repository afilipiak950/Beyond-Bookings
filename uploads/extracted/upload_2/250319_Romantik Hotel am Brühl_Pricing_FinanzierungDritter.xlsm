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comments1.xml" ContentType="application/vnd.openxmlformats-officedocument.spreadsheetml.comments+xml"/>
  <Override PartName="/xl/comments2.xml" ContentType="application/vnd.openxmlformats-officedocument.spreadsheetml.comments+xml"/>
  <Override PartName="/xl/threadedComments/threadedComment1.xml" ContentType="application/vnd.ms-excel.threadedcomments+xml"/>
  <Override PartName="/xl/comments3.xml" ContentType="application/vnd.openxmlformats-officedocument.spreadsheetml.comments+xml"/>
  <Override PartName="/xl/persons/person.xml" ContentType="application/vnd.ms-excel.person+xml"/>
  <Override PartName="/xl/calcChain.xml" ContentType="application/vnd.openxmlformats-officedocument.spreadsheetml.calcChain+xml"/>
  <Override PartName="/customXml/itemProps1.xml" ContentType="application/vnd.openxmlformats-officedocument.customXmlProperties+xml"/>
  <Override PartName="/customXml/itemProps2.xml" ContentType="application/vnd.openxmlformats-officedocument.customXmlProperties+xml"/>
  <Override PartName="/customXml/itemProps3.xml" ContentType="application/vnd.openxmlformats-officedocument.customXmlProperties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  <Override PartName="/docProps/custom.xml" ContentType="application/vnd.openxmlformats-officedocument.custom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Relationship Id="rId4" Type="http://schemas.openxmlformats.org/officeDocument/2006/relationships/custom-properties" Target="docProps/custom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6" rupBuild="28526" codeName="{C80E003A-6C80-AF87-3323-10F97C11A349}"/>
  <workbookPr codeName="ThisWorkbook"/>
  <mc:AlternateContent xmlns:mc="http://schemas.openxmlformats.org/markup-compatibility/2006">
    <mc:Choice Requires="x15">
      <x15ac:absPath xmlns:x15ac="http://schemas.microsoft.com/office/spreadsheetml/2010/11/ac" url="https://beyondbookings.sharepoint.com/sites/BeyondBookingsGmbH/Shared Documents/General/3 Vertrieb/33 Kundenordner/Hotels Germany/Romantik Hotels/Romantik Hotel am Brühl/"/>
    </mc:Choice>
  </mc:AlternateContent>
  <xr:revisionPtr revIDLastSave="65" documentId="8_{207F9823-9F7A-439A-86BD-E629EE244269}" xr6:coauthVersionLast="47" xr6:coauthVersionMax="47" xr10:uidLastSave="{D311D43E-D57E-4C46-BBED-262B39E726B0}"/>
  <bookViews>
    <workbookView minimized="1" xWindow="2976" yWindow="3060" windowWidth="17280" windowHeight="9036" xr2:uid="{00000000-000D-0000-FFFF-FFFF00000000}"/>
  </bookViews>
  <sheets>
    <sheet name="Preise Output" sheetId="1" r:id="rId1"/>
    <sheet name="Sixt" sheetId="12" state="hidden" r:id="rId2"/>
    <sheet name="Preisvergleich" sheetId="8" r:id="rId3"/>
    <sheet name="Produktpreise" sheetId="4" state="hidden" r:id="rId4"/>
    <sheet name="Versionsverlauf" sheetId="11" r:id="rId5"/>
    <sheet name="Cash Flow" sheetId="9" state="hidden" r:id="rId6"/>
    <sheet name="Kosten" sheetId="10" state="hidden" r:id="rId7"/>
    <sheet name="Annahmen" sheetId="2" r:id="rId8"/>
  </sheets>
  <definedNames>
    <definedName name="_xlnm._FilterDatabase" localSheetId="6" hidden="1">Kosten!$B$4:$N$25</definedName>
    <definedName name="_xlnm._FilterDatabase" localSheetId="0" hidden="1">'Preise Output'!$B$17:$L$24</definedName>
    <definedName name="_xlnm._FilterDatabase" localSheetId="2" hidden="1">Preisvergleich!$B$6:$C$7</definedName>
    <definedName name="_xlnm._FilterDatabase" localSheetId="3" hidden="1">Produktpreise!$B$4:$S$25</definedName>
  </definedNames>
  <calcPr calcId="191028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</xcalcf:calcFeatures>
    </ext>
  </extLst>
</workbook>
</file>

<file path=xl/calcChain.xml><?xml version="1.0" encoding="utf-8"?>
<calcChain xmlns="http://schemas.openxmlformats.org/spreadsheetml/2006/main">
  <c r="C4" i="8" l="1"/>
  <c r="F10" i="1"/>
  <c r="B27" i="8"/>
  <c r="B26" i="8"/>
  <c r="F6" i="1"/>
  <c r="C13" i="8" l="1"/>
  <c r="B14" i="8"/>
  <c r="B13" i="8"/>
  <c r="P17" i="12"/>
  <c r="Q16" i="4" l="1"/>
  <c r="G16" i="4" s="1"/>
  <c r="G15" i="4"/>
  <c r="G43" i="4" s="1"/>
  <c r="G14" i="4"/>
  <c r="G42" i="4" s="1"/>
  <c r="Q42" i="4" s="1"/>
  <c r="R42" i="4" s="1"/>
  <c r="G13" i="4"/>
  <c r="G41" i="4" s="1"/>
  <c r="G24" i="1"/>
  <c r="E24" i="1" s="1"/>
  <c r="H24" i="1" s="1"/>
  <c r="L15" i="4"/>
  <c r="L43" i="4" s="1"/>
  <c r="L14" i="4"/>
  <c r="L42" i="4" s="1"/>
  <c r="I15" i="4"/>
  <c r="I43" i="4" s="1"/>
  <c r="I14" i="4"/>
  <c r="I42" i="4" s="1"/>
  <c r="H15" i="4"/>
  <c r="H43" i="4" s="1"/>
  <c r="H14" i="4"/>
  <c r="H42" i="4" s="1"/>
  <c r="F15" i="4"/>
  <c r="F43" i="4" s="1"/>
  <c r="F14" i="4"/>
  <c r="F42" i="4" s="1"/>
  <c r="F13" i="4"/>
  <c r="F41" i="4" s="1"/>
  <c r="F44" i="4"/>
  <c r="H44" i="4"/>
  <c r="I44" i="4"/>
  <c r="F45" i="4"/>
  <c r="G45" i="4"/>
  <c r="H45" i="4"/>
  <c r="I45" i="4"/>
  <c r="F46" i="4"/>
  <c r="G46" i="4"/>
  <c r="H46" i="4"/>
  <c r="I46" i="4"/>
  <c r="L13" i="4"/>
  <c r="L41" i="4" s="1"/>
  <c r="I13" i="4"/>
  <c r="I41" i="4" s="1"/>
  <c r="H13" i="4"/>
  <c r="H41" i="4" s="1"/>
  <c r="F32" i="4"/>
  <c r="G32" i="4"/>
  <c r="H32" i="4"/>
  <c r="I32" i="4"/>
  <c r="F12" i="4"/>
  <c r="F40" i="4" s="1"/>
  <c r="L12" i="4"/>
  <c r="L40" i="4" s="1"/>
  <c r="L32" i="4"/>
  <c r="K32" i="4"/>
  <c r="I12" i="4"/>
  <c r="I40" i="4" s="1"/>
  <c r="H12" i="4"/>
  <c r="H40" i="4" s="1"/>
  <c r="G12" i="4"/>
  <c r="G40" i="4" s="1"/>
  <c r="G39" i="4"/>
  <c r="P19" i="12" l="1"/>
  <c r="G19" i="1" s="1"/>
  <c r="E19" i="1" s="1"/>
  <c r="M17" i="12"/>
  <c r="M19" i="12" s="1"/>
  <c r="G23" i="1" s="1"/>
  <c r="E23" i="1" s="1"/>
  <c r="J17" i="12"/>
  <c r="J19" i="12" s="1"/>
  <c r="G22" i="1" s="1"/>
  <c r="E22" i="1" s="1"/>
  <c r="G17" i="12"/>
  <c r="G19" i="12" s="1"/>
  <c r="G21" i="1" s="1"/>
  <c r="E21" i="1" s="1"/>
  <c r="D17" i="12"/>
  <c r="D19" i="12" s="1"/>
  <c r="G20" i="1" s="1"/>
  <c r="E20" i="1" s="1"/>
  <c r="M53" i="4"/>
  <c r="M51" i="4"/>
  <c r="Q51" i="4" s="1"/>
  <c r="R51" i="4" s="1"/>
  <c r="M52" i="4"/>
  <c r="Q52" i="4" s="1"/>
  <c r="R52" i="4" s="1"/>
  <c r="M50" i="4"/>
  <c r="Q50" i="4" s="1"/>
  <c r="R50" i="4" s="1"/>
  <c r="G21" i="4"/>
  <c r="Q21" i="4" s="1"/>
  <c r="R21" i="4" s="1"/>
  <c r="G20" i="4"/>
  <c r="G48" i="4"/>
  <c r="G47" i="4"/>
  <c r="I51" i="4"/>
  <c r="Q53" i="4"/>
  <c r="R53" i="4" s="1"/>
  <c r="H20" i="4"/>
  <c r="G49" i="4"/>
  <c r="G53" i="4"/>
  <c r="G52" i="4"/>
  <c r="G51" i="4"/>
  <c r="G50" i="4"/>
  <c r="H25" i="4"/>
  <c r="H23" i="4"/>
  <c r="G23" i="4"/>
  <c r="Q23" i="4" s="1"/>
  <c r="G26" i="4"/>
  <c r="Q26" i="4" s="1"/>
  <c r="G25" i="4"/>
  <c r="G24" i="4"/>
  <c r="G22" i="4"/>
  <c r="M26" i="4"/>
  <c r="M24" i="4"/>
  <c r="M25" i="4"/>
  <c r="M23" i="4"/>
  <c r="H26" i="4"/>
  <c r="H24" i="4"/>
  <c r="I25" i="4"/>
  <c r="Q38" i="4"/>
  <c r="C20" i="12" l="1"/>
  <c r="Q20" i="4"/>
  <c r="Q24" i="4"/>
  <c r="Q47" i="4"/>
  <c r="R47" i="4" s="1"/>
  <c r="Q25" i="4"/>
  <c r="G10" i="4"/>
  <c r="R33" i="4" l="1"/>
  <c r="Q46" i="4"/>
  <c r="R46" i="4" s="1"/>
  <c r="Q45" i="4"/>
  <c r="R45" i="4" s="1"/>
  <c r="N46" i="4"/>
  <c r="N45" i="4"/>
  <c r="J46" i="4"/>
  <c r="J45" i="4"/>
  <c r="Q19" i="4"/>
  <c r="Q18" i="4"/>
  <c r="R19" i="4" l="1"/>
  <c r="R18" i="4"/>
  <c r="N19" i="4"/>
  <c r="N18" i="4"/>
  <c r="J19" i="4"/>
  <c r="J18" i="4"/>
  <c r="I19" i="4"/>
  <c r="I18" i="4"/>
  <c r="G19" i="4"/>
  <c r="G18" i="4"/>
  <c r="G17" i="4"/>
  <c r="Q17" i="4" s="1"/>
  <c r="J17" i="4"/>
  <c r="N17" i="4"/>
  <c r="Q22" i="4"/>
  <c r="R22" i="4" s="1"/>
  <c r="H52" i="4"/>
  <c r="H51" i="4"/>
  <c r="I26" i="4"/>
  <c r="I52" i="4"/>
  <c r="K53" i="4"/>
  <c r="K52" i="4"/>
  <c r="H53" i="4"/>
  <c r="H50" i="4"/>
  <c r="R26" i="4" l="1"/>
  <c r="R25" i="4"/>
  <c r="I53" i="4"/>
  <c r="N37" i="4" l="1"/>
  <c r="N35" i="4"/>
  <c r="N36" i="4"/>
  <c r="N34" i="4"/>
  <c r="N33" i="4"/>
  <c r="G7" i="4" l="1"/>
  <c r="H8" i="4" l="1"/>
  <c r="H6" i="4"/>
  <c r="G6" i="4"/>
  <c r="H5" i="4"/>
  <c r="G5" i="4"/>
  <c r="N51" i="4" l="1"/>
  <c r="O51" i="4"/>
  <c r="O50" i="4"/>
  <c r="N50" i="4"/>
  <c r="K51" i="4"/>
  <c r="K50" i="4"/>
  <c r="I50" i="4"/>
  <c r="J34" i="4"/>
  <c r="J35" i="4"/>
  <c r="J36" i="4"/>
  <c r="J37" i="4"/>
  <c r="J33" i="4"/>
  <c r="Q5" i="4"/>
  <c r="Q36" i="4" l="1"/>
  <c r="R36" i="4" s="1"/>
  <c r="I8" i="4"/>
  <c r="J8" i="4"/>
  <c r="G8" i="4"/>
  <c r="G9" i="4"/>
  <c r="H19" i="1" l="1"/>
  <c r="H22" i="1"/>
  <c r="H21" i="1"/>
  <c r="H20" i="1"/>
  <c r="D9" i="10"/>
  <c r="D8" i="10"/>
  <c r="F8" i="10" s="1"/>
  <c r="I20" i="1" l="1"/>
  <c r="J20" i="1" s="1"/>
  <c r="I21" i="1"/>
  <c r="J21" i="1" s="1"/>
  <c r="I22" i="1"/>
  <c r="J22" i="1" s="1"/>
  <c r="I19" i="1"/>
  <c r="J19" i="1" s="1"/>
  <c r="L8" i="10"/>
  <c r="I8" i="10"/>
  <c r="N8" i="10"/>
  <c r="M8" i="10"/>
  <c r="N9" i="10"/>
  <c r="F9" i="10"/>
  <c r="G9" i="10"/>
  <c r="H9" i="10"/>
  <c r="L9" i="10"/>
  <c r="M9" i="10"/>
  <c r="J8" i="10"/>
  <c r="H8" i="10"/>
  <c r="G8" i="10"/>
  <c r="I23" i="4"/>
  <c r="P16" i="4"/>
  <c r="Q14" i="4"/>
  <c r="Q8" i="4"/>
  <c r="D26" i="10"/>
  <c r="D25" i="10"/>
  <c r="D24" i="10"/>
  <c r="K24" i="10" s="1"/>
  <c r="D23" i="10"/>
  <c r="K23" i="10" s="1"/>
  <c r="D22" i="10"/>
  <c r="D21" i="10"/>
  <c r="D20" i="10"/>
  <c r="D19" i="10"/>
  <c r="D18" i="10"/>
  <c r="D17" i="10"/>
  <c r="D16" i="10"/>
  <c r="D15" i="10"/>
  <c r="D14" i="10"/>
  <c r="N14" i="10" s="1"/>
  <c r="D13" i="10"/>
  <c r="D12" i="10"/>
  <c r="J51" i="4"/>
  <c r="J50" i="4"/>
  <c r="L51" i="4"/>
  <c r="L50" i="4"/>
  <c r="I24" i="4" l="1"/>
  <c r="R24" i="4"/>
  <c r="R23" i="4"/>
  <c r="Q9" i="10"/>
  <c r="J14" i="10"/>
  <c r="H14" i="10"/>
  <c r="K14" i="10"/>
  <c r="G14" i="10"/>
  <c r="I14" i="10"/>
  <c r="L14" i="10"/>
  <c r="M14" i="10"/>
  <c r="F14" i="10"/>
  <c r="R14" i="4"/>
  <c r="Q14" i="10" l="1"/>
  <c r="R14" i="10"/>
  <c r="M22" i="1"/>
  <c r="F13" i="10" l="1"/>
  <c r="F12" i="10"/>
  <c r="Q12" i="4" l="1"/>
  <c r="M20" i="1" s="1"/>
  <c r="Q13" i="4"/>
  <c r="R13" i="4" s="1"/>
  <c r="K12" i="10"/>
  <c r="J13" i="10"/>
  <c r="L13" i="10"/>
  <c r="I12" i="10"/>
  <c r="L12" i="10"/>
  <c r="M13" i="10"/>
  <c r="M12" i="10"/>
  <c r="N13" i="10"/>
  <c r="N12" i="10"/>
  <c r="G13" i="10"/>
  <c r="Q13" i="10" s="1"/>
  <c r="K13" i="10"/>
  <c r="G12" i="10"/>
  <c r="Q12" i="10" s="1"/>
  <c r="H13" i="10"/>
  <c r="J12" i="10"/>
  <c r="H12" i="10"/>
  <c r="I13" i="10"/>
  <c r="M21" i="1" l="1"/>
  <c r="Q40" i="4"/>
  <c r="R40" i="4" s="1"/>
  <c r="R12" i="4"/>
  <c r="Q41" i="4"/>
  <c r="R41" i="4" s="1"/>
  <c r="R12" i="10"/>
  <c r="R13" i="10"/>
  <c r="Q37" i="4" l="1"/>
  <c r="R37" i="4" s="1"/>
  <c r="J9" i="4"/>
  <c r="J9" i="10" s="1"/>
  <c r="I9" i="4"/>
  <c r="C10" i="1"/>
  <c r="F19" i="10"/>
  <c r="D7" i="10"/>
  <c r="D5" i="10"/>
  <c r="I9" i="10" l="1"/>
  <c r="R9" i="10" s="1"/>
  <c r="Q9" i="4"/>
  <c r="R9" i="4" s="1"/>
  <c r="N44" i="4"/>
  <c r="F20" i="10"/>
  <c r="Q15" i="4" l="1"/>
  <c r="E15" i="10"/>
  <c r="D27" i="9" s="1"/>
  <c r="AN27" i="9" s="1"/>
  <c r="D14" i="9"/>
  <c r="R8" i="4" l="1"/>
  <c r="AL18" i="9" l="1"/>
  <c r="AK18" i="9"/>
  <c r="AJ18" i="9"/>
  <c r="AI18" i="9"/>
  <c r="AH18" i="9"/>
  <c r="AG18" i="9"/>
  <c r="AF18" i="9"/>
  <c r="AE18" i="9"/>
  <c r="AD18" i="9"/>
  <c r="AC18" i="9"/>
  <c r="Z18" i="9"/>
  <c r="X18" i="9"/>
  <c r="W18" i="9"/>
  <c r="V18" i="9"/>
  <c r="U18" i="9"/>
  <c r="T18" i="9"/>
  <c r="S18" i="9"/>
  <c r="R18" i="9"/>
  <c r="Q18" i="9"/>
  <c r="N18" i="9"/>
  <c r="L18" i="9"/>
  <c r="K18" i="9"/>
  <c r="J18" i="9"/>
  <c r="I18" i="9"/>
  <c r="H18" i="9"/>
  <c r="G18" i="9"/>
  <c r="F18" i="9"/>
  <c r="E18" i="9"/>
  <c r="AL9" i="9"/>
  <c r="AJ9" i="9"/>
  <c r="AI9" i="9"/>
  <c r="AG9" i="9"/>
  <c r="AF9" i="9"/>
  <c r="AD9" i="9"/>
  <c r="AC9" i="9"/>
  <c r="AA9" i="9"/>
  <c r="Z9" i="9"/>
  <c r="X9" i="9"/>
  <c r="W9" i="9"/>
  <c r="U9" i="9"/>
  <c r="T9" i="9"/>
  <c r="R9" i="9"/>
  <c r="Q9" i="9"/>
  <c r="O9" i="9"/>
  <c r="N9" i="9"/>
  <c r="L9" i="9"/>
  <c r="K9" i="9"/>
  <c r="I9" i="9"/>
  <c r="H9" i="9"/>
  <c r="F9" i="9"/>
  <c r="E9" i="9"/>
  <c r="BB44" i="9" l="1"/>
  <c r="BA44" i="9"/>
  <c r="AZ44" i="9"/>
  <c r="AY44" i="9"/>
  <c r="AX44" i="9"/>
  <c r="AW44" i="9"/>
  <c r="AV44" i="9"/>
  <c r="AU44" i="9"/>
  <c r="AT44" i="9"/>
  <c r="AS44" i="9"/>
  <c r="AR44" i="9"/>
  <c r="AQ44" i="9"/>
  <c r="BB42" i="9"/>
  <c r="BA42" i="9"/>
  <c r="AZ42" i="9"/>
  <c r="AY42" i="9"/>
  <c r="AX42" i="9"/>
  <c r="AW42" i="9"/>
  <c r="AV42" i="9"/>
  <c r="AU42" i="9"/>
  <c r="AT42" i="9"/>
  <c r="AS42" i="9"/>
  <c r="AR42" i="9"/>
  <c r="BB41" i="9"/>
  <c r="BA41" i="9"/>
  <c r="AZ41" i="9"/>
  <c r="AY41" i="9"/>
  <c r="AX41" i="9"/>
  <c r="AW41" i="9"/>
  <c r="AV41" i="9"/>
  <c r="AU41" i="9"/>
  <c r="AT41" i="9"/>
  <c r="AS41" i="9"/>
  <c r="AR41" i="9"/>
  <c r="BB40" i="9"/>
  <c r="BA40" i="9"/>
  <c r="AZ40" i="9"/>
  <c r="AY40" i="9"/>
  <c r="AX40" i="9"/>
  <c r="AW40" i="9"/>
  <c r="AV40" i="9"/>
  <c r="AU40" i="9"/>
  <c r="AT40" i="9"/>
  <c r="AS40" i="9"/>
  <c r="AR40" i="9"/>
  <c r="BA36" i="9"/>
  <c r="AZ36" i="9"/>
  <c r="AY36" i="9"/>
  <c r="AW36" i="9"/>
  <c r="AV36" i="9"/>
  <c r="AU36" i="9"/>
  <c r="AS36" i="9"/>
  <c r="AR36" i="9"/>
  <c r="AQ36" i="9"/>
  <c r="BB35" i="9"/>
  <c r="BA35" i="9"/>
  <c r="AZ35" i="9"/>
  <c r="AY35" i="9"/>
  <c r="AX35" i="9"/>
  <c r="AW35" i="9"/>
  <c r="AV35" i="9"/>
  <c r="AU35" i="9"/>
  <c r="AT35" i="9"/>
  <c r="AS35" i="9"/>
  <c r="BB34" i="9"/>
  <c r="BA34" i="9"/>
  <c r="AZ34" i="9"/>
  <c r="AY34" i="9"/>
  <c r="AX34" i="9"/>
  <c r="AW34" i="9"/>
  <c r="AV34" i="9"/>
  <c r="AU34" i="9"/>
  <c r="AT34" i="9"/>
  <c r="AS34" i="9"/>
  <c r="BA24" i="9"/>
  <c r="AZ24" i="9"/>
  <c r="AY24" i="9"/>
  <c r="AX24" i="9"/>
  <c r="AW24" i="9"/>
  <c r="AV24" i="9"/>
  <c r="AU24" i="9"/>
  <c r="AT24" i="9"/>
  <c r="AS24" i="9"/>
  <c r="AR24" i="9"/>
  <c r="AQ24" i="9"/>
  <c r="BB23" i="9"/>
  <c r="BA23" i="9"/>
  <c r="AZ23" i="9"/>
  <c r="AY23" i="9"/>
  <c r="AW23" i="9"/>
  <c r="AV23" i="9"/>
  <c r="AU23" i="9"/>
  <c r="AS23" i="9"/>
  <c r="AR23" i="9"/>
  <c r="AQ23" i="9"/>
  <c r="BB22" i="9"/>
  <c r="BA22" i="9"/>
  <c r="AZ22" i="9"/>
  <c r="AY22" i="9"/>
  <c r="AX22" i="9"/>
  <c r="AW22" i="9"/>
  <c r="AV22" i="9"/>
  <c r="AU22" i="9"/>
  <c r="AT22" i="9"/>
  <c r="AS22" i="9"/>
  <c r="AR22" i="9"/>
  <c r="BB21" i="9"/>
  <c r="BA21" i="9"/>
  <c r="AZ21" i="9"/>
  <c r="AX21" i="9"/>
  <c r="AW21" i="9"/>
  <c r="AV21" i="9"/>
  <c r="AT21" i="9"/>
  <c r="AS21" i="9"/>
  <c r="AR21" i="9"/>
  <c r="BB20" i="9"/>
  <c r="BA20" i="9"/>
  <c r="AZ20" i="9"/>
  <c r="AY20" i="9"/>
  <c r="AX20" i="9"/>
  <c r="AW20" i="9"/>
  <c r="AV20" i="9"/>
  <c r="AU20" i="9"/>
  <c r="AT20" i="9"/>
  <c r="AS20" i="9"/>
  <c r="AR20" i="9"/>
  <c r="BB19" i="9"/>
  <c r="BA19" i="9"/>
  <c r="AZ19" i="9"/>
  <c r="AY19" i="9"/>
  <c r="AX19" i="9"/>
  <c r="AW19" i="9"/>
  <c r="AV19" i="9"/>
  <c r="AU19" i="9"/>
  <c r="AT19" i="9"/>
  <c r="AS19" i="9"/>
  <c r="AR19" i="9"/>
  <c r="BA17" i="9"/>
  <c r="AZ17" i="9"/>
  <c r="AY17" i="9"/>
  <c r="AX17" i="9"/>
  <c r="AW17" i="9"/>
  <c r="AV17" i="9"/>
  <c r="AU17" i="9"/>
  <c r="AT17" i="9"/>
  <c r="AS17" i="9"/>
  <c r="AR17" i="9"/>
  <c r="AQ17" i="9"/>
  <c r="BB16" i="9"/>
  <c r="BA16" i="9"/>
  <c r="AZ16" i="9"/>
  <c r="AW16" i="9"/>
  <c r="AV16" i="9"/>
  <c r="AS16" i="9"/>
  <c r="AR16" i="9"/>
  <c r="AQ16" i="9"/>
  <c r="AQ15" i="9"/>
  <c r="BB13" i="9"/>
  <c r="BA13" i="9"/>
  <c r="AZ13" i="9"/>
  <c r="AY13" i="9"/>
  <c r="AX13" i="9"/>
  <c r="AW13" i="9"/>
  <c r="AV13" i="9"/>
  <c r="AU13" i="9"/>
  <c r="AT13" i="9"/>
  <c r="AS13" i="9"/>
  <c r="AR13" i="9"/>
  <c r="BB12" i="9"/>
  <c r="BA12" i="9"/>
  <c r="AZ12" i="9"/>
  <c r="AX12" i="9"/>
  <c r="AW12" i="9"/>
  <c r="AV12" i="9"/>
  <c r="AT12" i="9"/>
  <c r="AS12" i="9"/>
  <c r="AR12" i="9"/>
  <c r="BB11" i="9"/>
  <c r="BA11" i="9"/>
  <c r="AZ11" i="9"/>
  <c r="AY11" i="9"/>
  <c r="AX11" i="9"/>
  <c r="AW11" i="9"/>
  <c r="AV11" i="9"/>
  <c r="AU11" i="9"/>
  <c r="AT11" i="9"/>
  <c r="AS11" i="9"/>
  <c r="AR11" i="9"/>
  <c r="BB10" i="9"/>
  <c r="BA10" i="9"/>
  <c r="AZ10" i="9"/>
  <c r="AY10" i="9"/>
  <c r="AX10" i="9"/>
  <c r="AW10" i="9"/>
  <c r="AV10" i="9"/>
  <c r="AU10" i="9"/>
  <c r="AT10" i="9"/>
  <c r="AS10" i="9"/>
  <c r="AR10" i="9"/>
  <c r="BB6" i="9"/>
  <c r="BA6" i="9"/>
  <c r="AZ6" i="9"/>
  <c r="AX6" i="9"/>
  <c r="AW6" i="9"/>
  <c r="AV6" i="9"/>
  <c r="AT6" i="9"/>
  <c r="AS6" i="9"/>
  <c r="AR6" i="9"/>
  <c r="G44" i="4" l="1"/>
  <c r="F26" i="10"/>
  <c r="G25" i="10"/>
  <c r="F24" i="10"/>
  <c r="G23" i="10"/>
  <c r="G22" i="10"/>
  <c r="F21" i="10"/>
  <c r="F18" i="10"/>
  <c r="G17" i="10"/>
  <c r="G15" i="10"/>
  <c r="D28" i="9" s="1"/>
  <c r="AN28" i="9" s="1"/>
  <c r="D11" i="10"/>
  <c r="F11" i="10" s="1"/>
  <c r="D10" i="10"/>
  <c r="G10" i="10" s="1"/>
  <c r="G7" i="10"/>
  <c r="D6" i="10"/>
  <c r="G6" i="10" s="1"/>
  <c r="F5" i="10"/>
  <c r="Q44" i="4" l="1"/>
  <c r="L18" i="10"/>
  <c r="L26" i="10"/>
  <c r="I17" i="10"/>
  <c r="I24" i="10"/>
  <c r="I26" i="10"/>
  <c r="M11" i="10"/>
  <c r="F16" i="10"/>
  <c r="M20" i="10"/>
  <c r="M5" i="10"/>
  <c r="G5" i="10"/>
  <c r="D11" i="9" s="1"/>
  <c r="N18" i="10"/>
  <c r="N26" i="10"/>
  <c r="G11" i="10"/>
  <c r="Q11" i="10" s="1"/>
  <c r="I16" i="10"/>
  <c r="L20" i="10"/>
  <c r="G21" i="10"/>
  <c r="Q21" i="10" s="1"/>
  <c r="I18" i="10"/>
  <c r="N20" i="10"/>
  <c r="I19" i="10"/>
  <c r="J21" i="10"/>
  <c r="I21" i="10"/>
  <c r="L11" i="10"/>
  <c r="M21" i="10"/>
  <c r="F7" i="10"/>
  <c r="Q7" i="10" s="1"/>
  <c r="I25" i="10"/>
  <c r="N11" i="10"/>
  <c r="M18" i="10"/>
  <c r="M26" i="10"/>
  <c r="H10" i="10"/>
  <c r="H17" i="10"/>
  <c r="H25" i="10"/>
  <c r="J15" i="10"/>
  <c r="J17" i="10"/>
  <c r="J19" i="10"/>
  <c r="J23" i="10"/>
  <c r="J25" i="10"/>
  <c r="G18" i="10"/>
  <c r="Q18" i="10" s="1"/>
  <c r="H11" i="10"/>
  <c r="H18" i="10"/>
  <c r="H26" i="10"/>
  <c r="I20" i="10"/>
  <c r="L5" i="10"/>
  <c r="L7" i="10"/>
  <c r="L10" i="10"/>
  <c r="L15" i="10"/>
  <c r="L17" i="10"/>
  <c r="L19" i="10"/>
  <c r="L21" i="10"/>
  <c r="L23" i="10"/>
  <c r="L25" i="10"/>
  <c r="N6" i="10"/>
  <c r="J10" i="10"/>
  <c r="M23" i="10"/>
  <c r="M25" i="10"/>
  <c r="H6" i="10"/>
  <c r="H22" i="10"/>
  <c r="M6" i="10"/>
  <c r="M15" i="10"/>
  <c r="M17" i="10"/>
  <c r="M19" i="10"/>
  <c r="F23" i="10"/>
  <c r="G26" i="10"/>
  <c r="Q26" i="10" s="1"/>
  <c r="H20" i="10"/>
  <c r="I22" i="10"/>
  <c r="N5" i="10"/>
  <c r="N7" i="10"/>
  <c r="N10" i="10"/>
  <c r="N15" i="10"/>
  <c r="AM32" i="9" s="1"/>
  <c r="N17" i="10"/>
  <c r="N19" i="10"/>
  <c r="N21" i="10"/>
  <c r="N23" i="10"/>
  <c r="N25" i="10"/>
  <c r="H19" i="10"/>
  <c r="M7" i="10"/>
  <c r="M10" i="10"/>
  <c r="H5" i="10"/>
  <c r="H21" i="10"/>
  <c r="I15" i="10"/>
  <c r="I23" i="10"/>
  <c r="J11" i="10"/>
  <c r="J16" i="10"/>
  <c r="J18" i="10"/>
  <c r="J20" i="10"/>
  <c r="J22" i="10"/>
  <c r="J24" i="10"/>
  <c r="J26" i="10"/>
  <c r="L6" i="10"/>
  <c r="L16" i="10"/>
  <c r="L22" i="10"/>
  <c r="L24" i="10"/>
  <c r="H7" i="10"/>
  <c r="M16" i="10"/>
  <c r="M22" i="10"/>
  <c r="M24" i="10"/>
  <c r="H15" i="10"/>
  <c r="H23" i="10"/>
  <c r="H16" i="10"/>
  <c r="H24" i="10"/>
  <c r="N16" i="10"/>
  <c r="N22" i="10"/>
  <c r="N24" i="10"/>
  <c r="F22" i="10"/>
  <c r="Q22" i="10" s="1"/>
  <c r="F6" i="10"/>
  <c r="Q6" i="10" s="1"/>
  <c r="G19" i="10"/>
  <c r="Q19" i="10" s="1"/>
  <c r="G20" i="10"/>
  <c r="Q20" i="10" s="1"/>
  <c r="F25" i="10"/>
  <c r="Q25" i="10" s="1"/>
  <c r="F17" i="10"/>
  <c r="G16" i="10"/>
  <c r="G24" i="10"/>
  <c r="Q24" i="10" s="1"/>
  <c r="AA31" i="9" l="1"/>
  <c r="O31" i="9"/>
  <c r="D29" i="9"/>
  <c r="AA29" i="9"/>
  <c r="O29" i="9"/>
  <c r="AG37" i="9"/>
  <c r="O37" i="9"/>
  <c r="K37" i="9"/>
  <c r="L37" i="9"/>
  <c r="D37" i="9"/>
  <c r="D33" i="9" s="1"/>
  <c r="AI37" i="9"/>
  <c r="AF37" i="9"/>
  <c r="G37" i="9"/>
  <c r="AK37" i="9"/>
  <c r="X37" i="9"/>
  <c r="AA37" i="9"/>
  <c r="AC37" i="9"/>
  <c r="S37" i="9"/>
  <c r="Q37" i="9"/>
  <c r="V37" i="9"/>
  <c r="AE37" i="9"/>
  <c r="R37" i="9"/>
  <c r="AB37" i="9"/>
  <c r="P37" i="9"/>
  <c r="AL37" i="9"/>
  <c r="U37" i="9"/>
  <c r="T37" i="9"/>
  <c r="I37" i="9"/>
  <c r="E37" i="9"/>
  <c r="N37" i="9"/>
  <c r="W37" i="9"/>
  <c r="J37" i="9"/>
  <c r="H37" i="9"/>
  <c r="AD37" i="9"/>
  <c r="M37" i="9"/>
  <c r="AH37" i="9"/>
  <c r="AM37" i="9"/>
  <c r="Z37" i="9"/>
  <c r="AJ37" i="9"/>
  <c r="F37" i="9"/>
  <c r="Y37" i="9"/>
  <c r="AG30" i="9"/>
  <c r="I30" i="9"/>
  <c r="U30" i="9"/>
  <c r="R24" i="10"/>
  <c r="R23" i="10"/>
  <c r="D41" i="9"/>
  <c r="Q17" i="10"/>
  <c r="AK39" i="9"/>
  <c r="AK38" i="9" s="1"/>
  <c r="AC39" i="9"/>
  <c r="AC38" i="9" s="1"/>
  <c r="U39" i="9"/>
  <c r="U38" i="9" s="1"/>
  <c r="M39" i="9"/>
  <c r="M38" i="9" s="1"/>
  <c r="E39" i="9"/>
  <c r="E38" i="9" s="1"/>
  <c r="AJ39" i="9"/>
  <c r="AJ38" i="9" s="1"/>
  <c r="AB39" i="9"/>
  <c r="AB38" i="9" s="1"/>
  <c r="T39" i="9"/>
  <c r="T38" i="9" s="1"/>
  <c r="L39" i="9"/>
  <c r="D39" i="9"/>
  <c r="AH39" i="9"/>
  <c r="AH38" i="9" s="1"/>
  <c r="Z39" i="9"/>
  <c r="Z38" i="9" s="1"/>
  <c r="R39" i="9"/>
  <c r="R38" i="9" s="1"/>
  <c r="J39" i="9"/>
  <c r="J38" i="9" s="1"/>
  <c r="AF39" i="9"/>
  <c r="AF38" i="9" s="1"/>
  <c r="X39" i="9"/>
  <c r="X38" i="9" s="1"/>
  <c r="H39" i="9"/>
  <c r="H38" i="9" s="1"/>
  <c r="AL39" i="9"/>
  <c r="AL38" i="9" s="1"/>
  <c r="AD39" i="9"/>
  <c r="AD38" i="9" s="1"/>
  <c r="V39" i="9"/>
  <c r="V38" i="9" s="1"/>
  <c r="N39" i="9"/>
  <c r="N38" i="9" s="1"/>
  <c r="AI39" i="9"/>
  <c r="AI38" i="9" s="1"/>
  <c r="AA39" i="9"/>
  <c r="AA38" i="9" s="1"/>
  <c r="S39" i="9"/>
  <c r="S38" i="9" s="1"/>
  <c r="K39" i="9"/>
  <c r="K38" i="9" s="1"/>
  <c r="AG39" i="9"/>
  <c r="AG38" i="9" s="1"/>
  <c r="Y39" i="9"/>
  <c r="Y38" i="9" s="1"/>
  <c r="Q39" i="9"/>
  <c r="Q38" i="9" s="1"/>
  <c r="I39" i="9"/>
  <c r="I38" i="9" s="1"/>
  <c r="P39" i="9"/>
  <c r="P38" i="9" s="1"/>
  <c r="AM39" i="9"/>
  <c r="AM38" i="9" s="1"/>
  <c r="AE39" i="9"/>
  <c r="AE38" i="9" s="1"/>
  <c r="W39" i="9"/>
  <c r="W38" i="9" s="1"/>
  <c r="O39" i="9"/>
  <c r="O38" i="9" s="1"/>
  <c r="G39" i="9"/>
  <c r="G38" i="9" s="1"/>
  <c r="F39" i="9"/>
  <c r="F38" i="9" s="1"/>
  <c r="R15" i="10"/>
  <c r="D40" i="9"/>
  <c r="F34" i="9"/>
  <c r="AR34" i="9" s="1"/>
  <c r="D13" i="9"/>
  <c r="D12" i="9"/>
  <c r="AQ12" i="9" s="1"/>
  <c r="D10" i="9"/>
  <c r="E35" i="9"/>
  <c r="AR35" i="9" s="1"/>
  <c r="AA36" i="9"/>
  <c r="O36" i="9"/>
  <c r="Q23" i="10"/>
  <c r="R19" i="10"/>
  <c r="R21" i="10"/>
  <c r="R16" i="10"/>
  <c r="R26" i="10"/>
  <c r="Q16" i="10"/>
  <c r="R18" i="10"/>
  <c r="R25" i="10"/>
  <c r="R20" i="10"/>
  <c r="R17" i="10"/>
  <c r="Q5" i="10"/>
  <c r="R22" i="10"/>
  <c r="D20" i="9"/>
  <c r="AQ20" i="9" s="1"/>
  <c r="AN11" i="9"/>
  <c r="AQ11" i="9"/>
  <c r="Q43" i="4"/>
  <c r="R43" i="4" s="1"/>
  <c r="D22" i="9"/>
  <c r="AM17" i="9"/>
  <c r="AM9" i="9" s="1"/>
  <c r="AB12" i="9"/>
  <c r="L38" i="9"/>
  <c r="AM24" i="9"/>
  <c r="AM18" i="9" s="1"/>
  <c r="P12" i="9"/>
  <c r="AB21" i="9"/>
  <c r="P21" i="9"/>
  <c r="D21" i="9"/>
  <c r="Q54" i="4"/>
  <c r="Q48" i="4"/>
  <c r="R48" i="4" s="1"/>
  <c r="AN31" i="9" l="1"/>
  <c r="AN30" i="9"/>
  <c r="AN29" i="9"/>
  <c r="AY21" i="9"/>
  <c r="AB18" i="9"/>
  <c r="AU21" i="9"/>
  <c r="P18" i="9"/>
  <c r="D38" i="9"/>
  <c r="BB36" i="9"/>
  <c r="AT36" i="9"/>
  <c r="AX36" i="9"/>
  <c r="D9" i="9"/>
  <c r="AN20" i="9"/>
  <c r="AZ32" i="9"/>
  <c r="AT32" i="9"/>
  <c r="AW32" i="9"/>
  <c r="AX32" i="9"/>
  <c r="AU32" i="9"/>
  <c r="AV39" i="9"/>
  <c r="BB39" i="9"/>
  <c r="AZ39" i="9"/>
  <c r="AX39" i="9"/>
  <c r="AN10" i="9"/>
  <c r="AQ10" i="9"/>
  <c r="AN13" i="9"/>
  <c r="AQ13" i="9"/>
  <c r="AN21" i="9"/>
  <c r="AQ21" i="9"/>
  <c r="AU12" i="9"/>
  <c r="BB32" i="9"/>
  <c r="AY39" i="9"/>
  <c r="AY12" i="9"/>
  <c r="AS32" i="9"/>
  <c r="AY32" i="9"/>
  <c r="AQ39" i="9"/>
  <c r="AW39" i="9"/>
  <c r="AS39" i="9"/>
  <c r="AN17" i="9"/>
  <c r="BB17" i="9"/>
  <c r="AR32" i="9"/>
  <c r="BA32" i="9"/>
  <c r="AU39" i="9"/>
  <c r="AN40" i="9"/>
  <c r="AQ40" i="9"/>
  <c r="AQ32" i="9"/>
  <c r="AT39" i="9"/>
  <c r="AN22" i="9"/>
  <c r="AQ22" i="9"/>
  <c r="AN41" i="9"/>
  <c r="AQ41" i="9"/>
  <c r="AN24" i="9"/>
  <c r="BB24" i="9"/>
  <c r="AV32" i="9"/>
  <c r="AR39" i="9"/>
  <c r="BA39" i="9"/>
  <c r="AN32" i="9"/>
  <c r="AN39" i="9"/>
  <c r="AN36" i="9"/>
  <c r="AN12" i="9"/>
  <c r="D42" i="9"/>
  <c r="AQ42" i="9" s="1"/>
  <c r="R16" i="4"/>
  <c r="AN38" i="9" l="1"/>
  <c r="AN42" i="9"/>
  <c r="M24" i="1"/>
  <c r="F10" i="10"/>
  <c r="Q10" i="10" s="1"/>
  <c r="D19" i="9" l="1"/>
  <c r="Q11" i="4" l="1"/>
  <c r="I11" i="10"/>
  <c r="R11" i="10" s="1"/>
  <c r="Q10" i="4"/>
  <c r="I10" i="10"/>
  <c r="R10" i="10" s="1"/>
  <c r="AN19" i="9"/>
  <c r="D18" i="9"/>
  <c r="AQ19" i="9"/>
  <c r="Q39" i="4"/>
  <c r="R39" i="4" s="1"/>
  <c r="R38" i="4"/>
  <c r="Q35" i="4"/>
  <c r="R35" i="4" s="1"/>
  <c r="Q34" i="4"/>
  <c r="R34" i="4" s="1"/>
  <c r="Q33" i="4"/>
  <c r="AA23" i="9" l="1"/>
  <c r="AA18" i="9" s="1"/>
  <c r="O23" i="9"/>
  <c r="O18" i="9" s="1"/>
  <c r="AX23" i="9" l="1"/>
  <c r="Y18" i="9"/>
  <c r="AN23" i="9"/>
  <c r="AN18" i="9" s="1"/>
  <c r="AT23" i="9"/>
  <c r="M18" i="9"/>
  <c r="J7" i="4"/>
  <c r="J7" i="10" s="1"/>
  <c r="I7" i="4"/>
  <c r="Q7" i="4" s="1"/>
  <c r="J6" i="4"/>
  <c r="J6" i="10" s="1"/>
  <c r="I6" i="4"/>
  <c r="J5" i="4"/>
  <c r="J5" i="10" s="1"/>
  <c r="I5" i="4"/>
  <c r="Q6" i="4" l="1"/>
  <c r="Y15" i="9"/>
  <c r="AX15" i="9" s="1"/>
  <c r="I5" i="10"/>
  <c r="R5" i="10" s="1"/>
  <c r="I7" i="10"/>
  <c r="R7" i="10" s="1"/>
  <c r="V15" i="9"/>
  <c r="M15" i="9"/>
  <c r="AT15" i="9" s="1"/>
  <c r="S15" i="9"/>
  <c r="J15" i="9"/>
  <c r="AK15" i="9"/>
  <c r="G15" i="9"/>
  <c r="AE15" i="9"/>
  <c r="AH15" i="9"/>
  <c r="I6" i="10"/>
  <c r="R6" i="10" s="1"/>
  <c r="AK9" i="9" l="1"/>
  <c r="BB15" i="9"/>
  <c r="AS15" i="9"/>
  <c r="J9" i="9"/>
  <c r="P16" i="9"/>
  <c r="AU16" i="9" s="1"/>
  <c r="S9" i="9"/>
  <c r="AV15" i="9"/>
  <c r="AB16" i="9"/>
  <c r="AY16" i="9" s="1"/>
  <c r="AU15" i="9"/>
  <c r="AY15" i="9"/>
  <c r="V9" i="9"/>
  <c r="AW15" i="9"/>
  <c r="AN15" i="9"/>
  <c r="AR15" i="9"/>
  <c r="G9" i="9"/>
  <c r="AH9" i="9"/>
  <c r="BA15" i="9"/>
  <c r="R15" i="4"/>
  <c r="F15" i="10"/>
  <c r="Q15" i="10" s="1"/>
  <c r="AE9" i="9"/>
  <c r="AZ15" i="9"/>
  <c r="AB9" i="9" l="1"/>
  <c r="P9" i="9"/>
  <c r="AQ35" i="9"/>
  <c r="M23" i="1"/>
  <c r="AN16" i="9"/>
  <c r="AN9" i="9" s="1"/>
  <c r="AT16" i="9"/>
  <c r="M9" i="9"/>
  <c r="P26" i="9"/>
  <c r="H26" i="9"/>
  <c r="H25" i="9" s="1"/>
  <c r="AD26" i="9"/>
  <c r="AD25" i="9" s="1"/>
  <c r="E26" i="9"/>
  <c r="E25" i="9" s="1"/>
  <c r="K26" i="9"/>
  <c r="K25" i="9" s="1"/>
  <c r="I26" i="9"/>
  <c r="I25" i="9" s="1"/>
  <c r="AM26" i="9"/>
  <c r="AM25" i="9" s="1"/>
  <c r="V26" i="9"/>
  <c r="AJ26" i="9"/>
  <c r="AJ25" i="9" s="1"/>
  <c r="AH26" i="9"/>
  <c r="AE26" i="9"/>
  <c r="N26" i="9"/>
  <c r="N25" i="9" s="1"/>
  <c r="AB26" i="9"/>
  <c r="Z26" i="9"/>
  <c r="Z25" i="9" s="1"/>
  <c r="X26" i="9"/>
  <c r="X25" i="9" s="1"/>
  <c r="Y26" i="9"/>
  <c r="AL26" i="9"/>
  <c r="AL25" i="9" s="1"/>
  <c r="Q26" i="9"/>
  <c r="Q25" i="9" s="1"/>
  <c r="W26" i="9"/>
  <c r="W25" i="9" s="1"/>
  <c r="F26" i="9"/>
  <c r="F25" i="9" s="1"/>
  <c r="T26" i="9"/>
  <c r="T25" i="9" s="1"/>
  <c r="R26" i="9"/>
  <c r="R25" i="9" s="1"/>
  <c r="D26" i="9"/>
  <c r="AA26" i="9"/>
  <c r="AA25" i="9" s="1"/>
  <c r="S26" i="9"/>
  <c r="O26" i="9"/>
  <c r="O25" i="9" s="1"/>
  <c r="AK26" i="9"/>
  <c r="L26" i="9"/>
  <c r="L25" i="9" s="1"/>
  <c r="J26" i="9"/>
  <c r="AF26" i="9"/>
  <c r="AF25" i="9" s="1"/>
  <c r="G26" i="9"/>
  <c r="AC26" i="9"/>
  <c r="AC25" i="9" s="1"/>
  <c r="AI26" i="9"/>
  <c r="AI25" i="9" s="1"/>
  <c r="AG26" i="9"/>
  <c r="AG25" i="9" s="1"/>
  <c r="U26" i="9"/>
  <c r="U25" i="9" s="1"/>
  <c r="M26" i="9"/>
  <c r="Y9" i="9"/>
  <c r="AX16" i="9"/>
  <c r="AN35" i="9" l="1"/>
  <c r="S25" i="9"/>
  <c r="AV26" i="9"/>
  <c r="AR26" i="9"/>
  <c r="G25" i="9"/>
  <c r="J25" i="9"/>
  <c r="AS26" i="9"/>
  <c r="AB25" i="9"/>
  <c r="AY26" i="9"/>
  <c r="Y25" i="9"/>
  <c r="AX26" i="9"/>
  <c r="M25" i="9"/>
  <c r="AT26" i="9"/>
  <c r="P25" i="9"/>
  <c r="AU26" i="9"/>
  <c r="V25" i="9"/>
  <c r="AW26" i="9"/>
  <c r="D25" i="9"/>
  <c r="AN26" i="9"/>
  <c r="AN25" i="9" s="1"/>
  <c r="AQ26" i="9"/>
  <c r="BB26" i="9"/>
  <c r="AK25" i="9"/>
  <c r="AE25" i="9"/>
  <c r="AZ26" i="9"/>
  <c r="BA26" i="9"/>
  <c r="AH25" i="9"/>
  <c r="D26" i="1"/>
  <c r="M33" i="9" l="1"/>
  <c r="R27" i="10"/>
  <c r="R28" i="10" s="1"/>
  <c r="W33" i="9"/>
  <c r="AA33" i="9"/>
  <c r="V33" i="9"/>
  <c r="AL33" i="9"/>
  <c r="AJ33" i="9"/>
  <c r="Q33" i="9"/>
  <c r="X33" i="9"/>
  <c r="S33" i="9"/>
  <c r="T33" i="9"/>
  <c r="Z33" i="9"/>
  <c r="AK33" i="9"/>
  <c r="R33" i="9"/>
  <c r="AM33" i="9"/>
  <c r="K33" i="9"/>
  <c r="U33" i="9"/>
  <c r="Y33" i="9"/>
  <c r="I33" i="9"/>
  <c r="N33" i="9"/>
  <c r="O33" i="9"/>
  <c r="L33" i="9"/>
  <c r="AG33" i="9"/>
  <c r="G33" i="9"/>
  <c r="AI33" i="9"/>
  <c r="AD33" i="9"/>
  <c r="AH33" i="9"/>
  <c r="AC33" i="9"/>
  <c r="P33" i="9"/>
  <c r="AF33" i="9"/>
  <c r="AB33" i="9"/>
  <c r="H33" i="9"/>
  <c r="Q27" i="10"/>
  <c r="Q28" i="10" s="1"/>
  <c r="AZ37" i="9" l="1"/>
  <c r="AV37" i="9"/>
  <c r="AX37" i="9"/>
  <c r="AR37" i="9"/>
  <c r="BA37" i="9"/>
  <c r="AE33" i="9"/>
  <c r="BB37" i="9"/>
  <c r="AS37" i="9"/>
  <c r="AT37" i="9"/>
  <c r="AQ37" i="9"/>
  <c r="AU37" i="9"/>
  <c r="J33" i="9"/>
  <c r="AY37" i="9"/>
  <c r="AW37" i="9"/>
  <c r="E33" i="9"/>
  <c r="AN37" i="9"/>
  <c r="AN34" i="9"/>
  <c r="AQ34" i="9"/>
  <c r="F33" i="9"/>
  <c r="AN33" i="9" l="1"/>
  <c r="G26" i="1" l="1"/>
  <c r="F18" i="8" s="1"/>
  <c r="F14" i="8" s="1"/>
  <c r="R10" i="4"/>
  <c r="R11" i="4"/>
  <c r="R17" i="4"/>
  <c r="R7" i="4" l="1"/>
  <c r="R5" i="4"/>
  <c r="R6" i="4"/>
  <c r="M19" i="1" l="1"/>
  <c r="R20" i="4" l="1"/>
  <c r="C11" i="1"/>
  <c r="M26" i="1" l="1"/>
  <c r="T15" i="10" l="1"/>
  <c r="T16" i="10"/>
  <c r="T26" i="10"/>
  <c r="T5" i="10" l="1"/>
  <c r="T27" i="10" l="1"/>
  <c r="T28" i="10" l="1"/>
  <c r="T7" i="10" l="1"/>
  <c r="T14" i="10"/>
  <c r="T18" i="10"/>
  <c r="T22" i="10"/>
  <c r="T11" i="10"/>
  <c r="T23" i="10"/>
  <c r="T17" i="10"/>
  <c r="T21" i="10"/>
  <c r="T25" i="10"/>
  <c r="T6" i="10"/>
  <c r="T24" i="10"/>
  <c r="T12" i="10"/>
  <c r="T20" i="10"/>
  <c r="T10" i="10"/>
  <c r="T13" i="10"/>
  <c r="T19" i="10"/>
  <c r="T9" i="10"/>
  <c r="P24" i="10"/>
  <c r="N22" i="1"/>
  <c r="C7" i="8" l="1"/>
  <c r="U24" i="10"/>
  <c r="N19" i="1"/>
  <c r="P20" i="10"/>
  <c r="U20" i="10" s="1"/>
  <c r="P7" i="10"/>
  <c r="U7" i="10" s="1"/>
  <c r="S16" i="10"/>
  <c r="P13" i="10"/>
  <c r="U13" i="10" s="1"/>
  <c r="P11" i="10"/>
  <c r="U11" i="10" s="1"/>
  <c r="P6" i="10"/>
  <c r="U6" i="10" s="1"/>
  <c r="N24" i="1"/>
  <c r="O24" i="1" s="1"/>
  <c r="N21" i="1"/>
  <c r="N20" i="1"/>
  <c r="F27" i="8" l="1"/>
  <c r="C27" i="8" s="1"/>
  <c r="B24" i="8"/>
  <c r="C24" i="8"/>
  <c r="B31" i="8"/>
  <c r="C31" i="8"/>
  <c r="P26" i="10"/>
  <c r="U26" i="10" s="1"/>
  <c r="P14" i="10"/>
  <c r="U14" i="10" s="1"/>
  <c r="P25" i="10"/>
  <c r="U25" i="10" s="1"/>
  <c r="P21" i="10"/>
  <c r="U21" i="10" s="1"/>
  <c r="P17" i="10"/>
  <c r="U17" i="10" s="1"/>
  <c r="P24" i="1"/>
  <c r="I24" i="1"/>
  <c r="P16" i="10" s="1"/>
  <c r="U16" i="10" s="1"/>
  <c r="P23" i="10"/>
  <c r="U23" i="10" s="1"/>
  <c r="P22" i="10"/>
  <c r="U22" i="10" s="1"/>
  <c r="P9" i="10"/>
  <c r="U9" i="10" s="1"/>
  <c r="P12" i="10"/>
  <c r="U12" i="10" s="1"/>
  <c r="P5" i="10"/>
  <c r="P18" i="10"/>
  <c r="U18" i="10" s="1"/>
  <c r="P10" i="10"/>
  <c r="U10" i="10" s="1"/>
  <c r="P19" i="10"/>
  <c r="U19" i="10" s="1"/>
  <c r="F26" i="8" l="1"/>
  <c r="C26" i="8" s="1"/>
  <c r="C32" i="8" s="1"/>
  <c r="J24" i="1"/>
  <c r="Q24" i="1"/>
  <c r="R24" i="1" s="1"/>
  <c r="U5" i="10"/>
  <c r="N23" i="1" l="1"/>
  <c r="N26" i="1" s="1"/>
  <c r="H23" i="1"/>
  <c r="E26" i="1"/>
  <c r="E27" i="1" l="1"/>
  <c r="B25" i="8"/>
  <c r="AB6" i="9"/>
  <c r="AY6" i="9" s="1"/>
  <c r="H26" i="1"/>
  <c r="AE7" i="9"/>
  <c r="F7" i="9"/>
  <c r="K7" i="9"/>
  <c r="R7" i="9"/>
  <c r="AK7" i="9"/>
  <c r="AH7" i="9"/>
  <c r="AJ7" i="9"/>
  <c r="Y7" i="9"/>
  <c r="AD7" i="9"/>
  <c r="P6" i="9"/>
  <c r="X7" i="9"/>
  <c r="AC7" i="9"/>
  <c r="J7" i="9"/>
  <c r="N7" i="9"/>
  <c r="I7" i="9"/>
  <c r="AG7" i="9"/>
  <c r="AL7" i="9"/>
  <c r="S7" i="9"/>
  <c r="V7" i="9"/>
  <c r="G7" i="9"/>
  <c r="D6" i="9"/>
  <c r="Z7" i="9"/>
  <c r="W7" i="9"/>
  <c r="AI7" i="9"/>
  <c r="I23" i="1"/>
  <c r="J23" i="1" s="1"/>
  <c r="AF7" i="9"/>
  <c r="E7" i="9"/>
  <c r="Q7" i="9"/>
  <c r="H7" i="9"/>
  <c r="L7" i="9"/>
  <c r="M7" i="9"/>
  <c r="T7" i="9"/>
  <c r="U7" i="9"/>
  <c r="P15" i="10" l="1"/>
  <c r="I26" i="1"/>
  <c r="F11" i="1" s="1"/>
  <c r="AN7" i="9"/>
  <c r="AQ7" i="9"/>
  <c r="AW7" i="9"/>
  <c r="AS7" i="9"/>
  <c r="BA7" i="9"/>
  <c r="AY7" i="9"/>
  <c r="BB7" i="9"/>
  <c r="AV7" i="9"/>
  <c r="K21" i="1"/>
  <c r="L21" i="1" s="1"/>
  <c r="K23" i="1"/>
  <c r="L23" i="1" s="1"/>
  <c r="K22" i="1"/>
  <c r="L22" i="1" s="1"/>
  <c r="K19" i="1"/>
  <c r="L19" i="1" s="1"/>
  <c r="K20" i="1"/>
  <c r="L20" i="1" s="1"/>
  <c r="AT7" i="9"/>
  <c r="AU6" i="9"/>
  <c r="AZ7" i="9"/>
  <c r="AN6" i="9"/>
  <c r="AQ6" i="9"/>
  <c r="AX7" i="9"/>
  <c r="AU7" i="9"/>
  <c r="AR7" i="9"/>
  <c r="AN5" i="9" l="1"/>
  <c r="J26" i="1"/>
  <c r="F9" i="1" s="1"/>
  <c r="U15" i="10"/>
  <c r="P27" i="10"/>
  <c r="O19" i="1"/>
  <c r="S11" i="10"/>
  <c r="Q19" i="1"/>
  <c r="R19" i="1" s="1"/>
  <c r="P19" i="1"/>
  <c r="P21" i="1"/>
  <c r="O21" i="1"/>
  <c r="Q21" i="1"/>
  <c r="R21" i="1" s="1"/>
  <c r="S13" i="10"/>
  <c r="Q20" i="1"/>
  <c r="R20" i="1" s="1"/>
  <c r="O20" i="1"/>
  <c r="S12" i="10"/>
  <c r="P20" i="1"/>
  <c r="S9" i="10"/>
  <c r="S19" i="10"/>
  <c r="S7" i="10"/>
  <c r="S10" i="10"/>
  <c r="S18" i="10"/>
  <c r="S24" i="10"/>
  <c r="S14" i="10"/>
  <c r="O22" i="1"/>
  <c r="P22" i="1"/>
  <c r="Q22" i="1"/>
  <c r="R22" i="1" s="1"/>
  <c r="S23" i="10"/>
  <c r="S6" i="10"/>
  <c r="S26" i="10"/>
  <c r="S17" i="10"/>
  <c r="K26" i="1"/>
  <c r="S15" i="10"/>
  <c r="O23" i="1"/>
  <c r="Q23" i="1"/>
  <c r="R23" i="1" s="1"/>
  <c r="P23" i="1"/>
  <c r="S22" i="10"/>
  <c r="S25" i="10"/>
  <c r="S20" i="10"/>
  <c r="S21" i="10"/>
  <c r="P28" i="10" l="1"/>
  <c r="U27" i="10"/>
  <c r="S5" i="10"/>
  <c r="S27" i="10" s="1"/>
  <c r="S28" i="10" s="1"/>
  <c r="L26" i="1"/>
  <c r="P26" i="1"/>
  <c r="O26" i="1"/>
  <c r="U28" i="10" l="1"/>
  <c r="V27" i="10"/>
  <c r="K43" i="9"/>
  <c r="O43" i="9"/>
  <c r="X43" i="9"/>
  <c r="H43" i="9"/>
  <c r="W43" i="9"/>
  <c r="I43" i="9"/>
  <c r="AE43" i="9"/>
  <c r="U43" i="9"/>
  <c r="AK43" i="9"/>
  <c r="AB43" i="9"/>
  <c r="Q43" i="9"/>
  <c r="T43" i="9"/>
  <c r="AF43" i="9"/>
  <c r="AJ43" i="9"/>
  <c r="AH43" i="9"/>
  <c r="Z43" i="9"/>
  <c r="AC43" i="9"/>
  <c r="N43" i="9"/>
  <c r="AG43" i="9"/>
  <c r="Y43" i="9"/>
  <c r="AM43" i="9"/>
  <c r="J43" i="9"/>
  <c r="AI43" i="9"/>
  <c r="F43" i="9"/>
  <c r="R43" i="9"/>
  <c r="E43" i="9"/>
  <c r="V43" i="9"/>
  <c r="D43" i="9"/>
  <c r="AL43" i="9"/>
  <c r="L43" i="9"/>
  <c r="AD43" i="9"/>
  <c r="M43" i="9"/>
  <c r="P43" i="9"/>
  <c r="AA43" i="9"/>
  <c r="S43" i="9"/>
  <c r="Q26" i="1"/>
  <c r="G43" i="9"/>
  <c r="M8" i="9" l="1"/>
  <c r="AT8" i="9" s="1"/>
  <c r="AT43" i="9"/>
  <c r="M45" i="9"/>
  <c r="AT45" i="9" s="1"/>
  <c r="AT48" i="9" s="1"/>
  <c r="Z8" i="9"/>
  <c r="Z45" i="9"/>
  <c r="U8" i="9"/>
  <c r="U45" i="9"/>
  <c r="I8" i="9"/>
  <c r="I45" i="9"/>
  <c r="AH8" i="9"/>
  <c r="BA8" i="9" s="1"/>
  <c r="BA43" i="9"/>
  <c r="AH45" i="9"/>
  <c r="BA45" i="9" s="1"/>
  <c r="AR43" i="9"/>
  <c r="G8" i="9"/>
  <c r="AR8" i="9" s="1"/>
  <c r="G45" i="9"/>
  <c r="AR45" i="9" s="1"/>
  <c r="AR48" i="9" s="1"/>
  <c r="AF8" i="9"/>
  <c r="AF45" i="9"/>
  <c r="W8" i="9"/>
  <c r="W45" i="9"/>
  <c r="AI8" i="9"/>
  <c r="AI45" i="9"/>
  <c r="J8" i="9"/>
  <c r="AS8" i="9" s="1"/>
  <c r="AS43" i="9"/>
  <c r="J45" i="9"/>
  <c r="AS45" i="9" s="1"/>
  <c r="AS48" i="9" s="1"/>
  <c r="H8" i="9"/>
  <c r="H45" i="9"/>
  <c r="AD8" i="9"/>
  <c r="AD45" i="9"/>
  <c r="L8" i="9"/>
  <c r="L45" i="9"/>
  <c r="AM8" i="9"/>
  <c r="AM45" i="9"/>
  <c r="Y8" i="9"/>
  <c r="AX8" i="9" s="1"/>
  <c r="AX43" i="9"/>
  <c r="Y45" i="9"/>
  <c r="AX45" i="9" s="1"/>
  <c r="AW43" i="9"/>
  <c r="V8" i="9"/>
  <c r="AW8" i="9" s="1"/>
  <c r="V45" i="9"/>
  <c r="AW45" i="9" s="1"/>
  <c r="AG8" i="9"/>
  <c r="AG45" i="9"/>
  <c r="Q8" i="9"/>
  <c r="Q45" i="9"/>
  <c r="X8" i="9"/>
  <c r="X45" i="9"/>
  <c r="F8" i="9"/>
  <c r="F45" i="9"/>
  <c r="AJ8" i="9"/>
  <c r="AJ45" i="9"/>
  <c r="R26" i="1"/>
  <c r="T8" i="9"/>
  <c r="T45" i="9"/>
  <c r="AA45" i="9"/>
  <c r="AA8" i="9"/>
  <c r="E8" i="9"/>
  <c r="E45" i="9"/>
  <c r="N8" i="9"/>
  <c r="N45" i="9"/>
  <c r="AB8" i="9"/>
  <c r="AY8" i="9" s="1"/>
  <c r="AY43" i="9"/>
  <c r="AB45" i="9"/>
  <c r="AY45" i="9" s="1"/>
  <c r="O8" i="9"/>
  <c r="O45" i="9"/>
  <c r="AZ43" i="9"/>
  <c r="AE8" i="9"/>
  <c r="AZ8" i="9" s="1"/>
  <c r="AE45" i="9"/>
  <c r="AZ45" i="9" s="1"/>
  <c r="AL8" i="9"/>
  <c r="AL45" i="9"/>
  <c r="AN43" i="9"/>
  <c r="AN8" i="9" s="1"/>
  <c r="AQ43" i="9"/>
  <c r="D8" i="9"/>
  <c r="AQ8" i="9" s="1"/>
  <c r="D45" i="9"/>
  <c r="S8" i="9"/>
  <c r="AV8" i="9" s="1"/>
  <c r="AV43" i="9"/>
  <c r="S45" i="9"/>
  <c r="AV45" i="9" s="1"/>
  <c r="P8" i="9"/>
  <c r="AU8" i="9" s="1"/>
  <c r="AU43" i="9"/>
  <c r="P45" i="9"/>
  <c r="AU45" i="9" s="1"/>
  <c r="R8" i="9"/>
  <c r="R45" i="9"/>
  <c r="AC8" i="9"/>
  <c r="AC45" i="9"/>
  <c r="BB43" i="9"/>
  <c r="AK8" i="9"/>
  <c r="BB8" i="9" s="1"/>
  <c r="AK45" i="9"/>
  <c r="BB45" i="9" s="1"/>
  <c r="K8" i="9"/>
  <c r="K45" i="9"/>
  <c r="AQ45" i="9" l="1"/>
  <c r="AN45" i="9"/>
  <c r="D46" i="9"/>
  <c r="E46" i="9" s="1"/>
  <c r="F46" i="9" s="1"/>
  <c r="G46" i="9" s="1"/>
  <c r="H46" i="9" s="1"/>
  <c r="I46" i="9" s="1"/>
  <c r="J46" i="9" s="1"/>
  <c r="K46" i="9" s="1"/>
  <c r="L46" i="9" s="1"/>
  <c r="M46" i="9" s="1"/>
  <c r="N46" i="9" s="1"/>
  <c r="O46" i="9" s="1"/>
  <c r="P46" i="9" s="1"/>
  <c r="Q46" i="9" s="1"/>
  <c r="R46" i="9" s="1"/>
  <c r="S46" i="9" s="1"/>
  <c r="T46" i="9" s="1"/>
  <c r="U46" i="9" s="1"/>
  <c r="V46" i="9" s="1"/>
  <c r="W46" i="9" s="1"/>
  <c r="X46" i="9" s="1"/>
  <c r="Y46" i="9" s="1"/>
  <c r="Z46" i="9" s="1"/>
  <c r="AA46" i="9" s="1"/>
  <c r="AB46" i="9" s="1"/>
  <c r="AC46" i="9" s="1"/>
  <c r="AD46" i="9" s="1"/>
  <c r="AE46" i="9" s="1"/>
  <c r="AF46" i="9" s="1"/>
  <c r="AG46" i="9" s="1"/>
  <c r="AH46" i="9" s="1"/>
  <c r="AI46" i="9" s="1"/>
  <c r="AJ46" i="9" s="1"/>
  <c r="AK46" i="9" s="1"/>
  <c r="AL46" i="9" s="1"/>
  <c r="AM46" i="9" s="1"/>
  <c r="AQ46" i="9" l="1"/>
  <c r="AR46" i="9" s="1"/>
  <c r="AS46" i="9" s="1"/>
  <c r="AT46" i="9" s="1"/>
  <c r="AU46" i="9" s="1"/>
  <c r="AV46" i="9" s="1"/>
  <c r="AW46" i="9" s="1"/>
  <c r="AX46" i="9" s="1"/>
  <c r="AY46" i="9" s="1"/>
  <c r="AZ46" i="9" s="1"/>
  <c r="BA46" i="9" s="1"/>
  <c r="BB46" i="9" s="1"/>
  <c r="AQ48" i="9"/>
  <c r="AQ49" i="9" s="1"/>
  <c r="AR49" i="9" s="1"/>
  <c r="AS49" i="9" s="1"/>
  <c r="AT49" i="9" s="1"/>
  <c r="C14" i="8" l="1"/>
  <c r="C33" i="8" s="1"/>
  <c r="C34" i="8" s="1"/>
  <c r="C12" i="8"/>
  <c r="C11" i="8" s="1"/>
  <c r="C36" i="8" l="1"/>
  <c r="C37" i="8" s="1"/>
  <c r="C18" i="8"/>
</calcChain>
</file>

<file path=xl/comments1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Marvin Billerbeck</author>
  </authors>
  <commentList>
    <comment ref="E17" authorId="0" shapeId="0" xr:uid="{00000000-0006-0000-0000-000002000000}">
      <text>
        <r>
          <rPr>
            <b/>
            <sz val="9"/>
            <color indexed="81"/>
            <rFont val="Tahoma"/>
            <family val="2"/>
          </rPr>
          <t>Marvin Billerbeck:</t>
        </r>
        <r>
          <rPr>
            <sz val="9"/>
            <color indexed="81"/>
            <rFont val="Tahoma"/>
            <family val="2"/>
          </rPr>
          <t xml:space="preserve">
Zielpreis=(Gesamtkosten + Steuern + Provision) / Break Even / Erlös pro Nacht
Steuern=Gesamtkosten*(Laufzeit/Break Even)*Steuersatz </t>
        </r>
      </text>
    </comment>
    <comment ref="K17" authorId="0" shapeId="0" xr:uid="{00000000-0006-0000-0000-000004000000}">
      <text>
        <r>
          <rPr>
            <b/>
            <sz val="9"/>
            <color indexed="81"/>
            <rFont val="Tahoma"/>
            <family val="2"/>
          </rPr>
          <t>Marvin Billerbeck:</t>
        </r>
        <r>
          <rPr>
            <sz val="9"/>
            <color indexed="81"/>
            <rFont val="Tahoma"/>
            <family val="2"/>
          </rPr>
          <t xml:space="preserve">
=Wert der Nächte bei Verkauf mit Tripz Zielwert</t>
        </r>
      </text>
    </comment>
  </commentList>
</comments>
</file>

<file path=xl/comments2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Stefan Kloss</author>
    <author>Mozafari, Amir - Fit Reisen</author>
    <author>tc={8F658493-4A63-4F01-B853-012F8BD79807}</author>
    <author>Marvin Billerbeck</author>
    <author>tc={89FDF0AD-65F1-4A2F-927E-CD7E54F4E9EF}</author>
    <author>tc={DB711D4B-CE4D-4E03-ADC5-F576783D4CC5}</author>
    <author>tc={5BE59B5F-5636-481E-9F70-80B28AD59DDD}</author>
    <author>tc={72C4A899-5796-4FA0-A98A-71B86466F35B}</author>
    <author>tc={3472D8AA-A5A2-4F34-9300-AB933B67CF7C}</author>
    <author>tc={CB16B01C-4E52-439B-BD9A-D5065BA45C16}</author>
    <author>tc={F3F4B161-5373-46C4-AD09-85594B2A9133}</author>
    <author>tc={233D04D4-2E31-465F-925E-503C34B60A60}</author>
    <author>tc={A68D9F51-9335-4E1D-B9A9-5CCA3CD870F1}</author>
    <author>tc={4877B70D-EC1B-47A9-9994-C9DF9CCD8420}</author>
    <author>tc={75163A11-A03B-4EB3-83B2-B6A9F0AC1FC1}</author>
  </authors>
  <commentList>
    <comment ref="G5" authorId="0" shapeId="0" xr:uid="{817F19EE-A5FC-4D2A-AE09-0E5CEE33EF55}">
      <text>
        <r>
          <rPr>
            <b/>
            <sz val="9"/>
            <color indexed="81"/>
            <rFont val="Segoe UI"/>
            <family val="2"/>
          </rPr>
          <t>Stefan Kloss:</t>
        </r>
        <r>
          <rPr>
            <sz val="9"/>
            <color indexed="81"/>
            <rFont val="Segoe UI"/>
            <family val="2"/>
          </rPr>
          <t xml:space="preserve">
VdV+Leasingkosten 3 Jahre
zzgl. 50 Euro Branding</t>
        </r>
      </text>
    </comment>
    <comment ref="H5" authorId="1" shapeId="0" xr:uid="{00000000-0006-0000-0100-000002000000}">
      <text>
        <r>
          <rPr>
            <b/>
            <sz val="9"/>
            <color indexed="81"/>
            <rFont val="Segoe UI"/>
            <family val="2"/>
          </rPr>
          <t>Kosten GBS Auslieferung
125 GBS+50 Branding (Folierer+GBS)</t>
        </r>
      </text>
    </comment>
    <comment ref="I5" authorId="1" shapeId="0" xr:uid="{00000000-0006-0000-0100-000003000000}">
      <text>
        <r>
          <rPr>
            <b/>
            <sz val="9"/>
            <color indexed="81"/>
            <rFont val="Segoe UI"/>
            <family val="2"/>
          </rPr>
          <t>1x Jahreswartung a 99
~100€ Material bei Jahreswartung</t>
        </r>
      </text>
    </comment>
    <comment ref="K5" authorId="1" shapeId="0" xr:uid="{00000000-0006-0000-0100-000004000000}">
      <text>
        <r>
          <rPr>
            <b/>
            <sz val="9"/>
            <color indexed="81"/>
            <rFont val="Segoe UI"/>
            <family val="2"/>
          </rPr>
          <t>Mozafari, Amir - Fit Reisen:</t>
        </r>
        <r>
          <rPr>
            <sz val="9"/>
            <color indexed="81"/>
            <rFont val="Segoe UI"/>
            <family val="2"/>
          </rPr>
          <t xml:space="preserve">
Kosten geschätzt</t>
        </r>
      </text>
    </comment>
    <comment ref="N5" authorId="0" shapeId="0" xr:uid="{6FF8BA21-2B8F-4953-AB0F-E0EE33E2E8D5}">
      <text>
        <r>
          <rPr>
            <b/>
            <sz val="9"/>
            <color indexed="81"/>
            <rFont val="Segoe UI"/>
            <family val="2"/>
          </rPr>
          <t>Stefan Kloss:</t>
        </r>
        <r>
          <rPr>
            <sz val="9"/>
            <color indexed="81"/>
            <rFont val="Segoe UI"/>
            <family val="2"/>
          </rPr>
          <t xml:space="preserve">
Versicherung basierend auf Einkaufspreis</t>
        </r>
      </text>
    </comment>
    <comment ref="Q5" authorId="1" shapeId="0" xr:uid="{00000000-0006-0000-0100-000005000000}">
      <text>
        <r>
          <rPr>
            <b/>
            <sz val="9"/>
            <color indexed="81"/>
            <rFont val="Segoe UI"/>
            <family val="2"/>
          </rPr>
          <t>Mozafari, Amir - Fit Reisen:</t>
        </r>
        <r>
          <rPr>
            <sz val="9"/>
            <color indexed="81"/>
            <rFont val="Segoe UI"/>
            <family val="2"/>
          </rPr>
          <t xml:space="preserve">
Handlingsosten fallen einmalig an, Service und Wartung fällt 2 mal an!</t>
        </r>
      </text>
    </comment>
    <comment ref="G6" authorId="0" shapeId="0" xr:uid="{A604F586-71C7-4453-8ADC-0CECB886586C}">
      <text>
        <r>
          <rPr>
            <b/>
            <sz val="9"/>
            <color indexed="81"/>
            <rFont val="Segoe UI"/>
            <family val="2"/>
          </rPr>
          <t>Stefan Kloss:</t>
        </r>
        <r>
          <rPr>
            <sz val="9"/>
            <color indexed="81"/>
            <rFont val="Segoe UI"/>
            <family val="2"/>
          </rPr>
          <t xml:space="preserve">
inkl. Leasingrate für 3 Jahre und 50 Euro Branding</t>
        </r>
      </text>
    </comment>
    <comment ref="H6" authorId="1" shapeId="0" xr:uid="{00000000-0006-0000-0100-000007000000}">
      <text>
        <r>
          <rPr>
            <b/>
            <sz val="9"/>
            <color indexed="81"/>
            <rFont val="Segoe UI"/>
            <family val="2"/>
          </rPr>
          <t xml:space="preserve">Kosten GBS Auslieferung
</t>
        </r>
      </text>
    </comment>
    <comment ref="I6" authorId="1" shapeId="0" xr:uid="{00000000-0006-0000-0100-000008000000}">
      <text>
        <r>
          <rPr>
            <b/>
            <sz val="9"/>
            <color indexed="81"/>
            <rFont val="Segoe UI"/>
            <family val="2"/>
          </rPr>
          <t>1x Jahreswartung a 99
~100€ Material bei Jahreswartung</t>
        </r>
      </text>
    </comment>
    <comment ref="K6" authorId="1" shapeId="0" xr:uid="{8442532B-7861-4CF6-837C-2D9BB4AD808C}">
      <text>
        <r>
          <rPr>
            <b/>
            <sz val="9"/>
            <color indexed="81"/>
            <rFont val="Segoe UI"/>
            <family val="2"/>
          </rPr>
          <t>Mozafari, Amir - Fit Reisen:</t>
        </r>
        <r>
          <rPr>
            <sz val="9"/>
            <color indexed="81"/>
            <rFont val="Segoe UI"/>
            <family val="2"/>
          </rPr>
          <t xml:space="preserve">
Kosten geschätzt</t>
        </r>
      </text>
    </comment>
    <comment ref="Q6" authorId="1" shapeId="0" xr:uid="{9AF073D4-173E-4D51-82A7-6A8BE959DDDD}">
      <text>
        <r>
          <rPr>
            <b/>
            <sz val="9"/>
            <color indexed="81"/>
            <rFont val="Segoe UI"/>
            <family val="2"/>
          </rPr>
          <t>Mozafari, Amir - Fit Reisen:</t>
        </r>
        <r>
          <rPr>
            <sz val="9"/>
            <color indexed="81"/>
            <rFont val="Segoe UI"/>
            <family val="2"/>
          </rPr>
          <t xml:space="preserve">
Handlingsosten fallen einmalig an, Service und Wartung fällt 2 mal an!</t>
        </r>
      </text>
    </comment>
    <comment ref="G7" authorId="0" shapeId="0" xr:uid="{F392915F-6FF7-44FB-A8EA-029845A75701}">
      <text>
        <r>
          <rPr>
            <b/>
            <sz val="9"/>
            <color indexed="81"/>
            <rFont val="Segoe UI"/>
            <family val="2"/>
          </rPr>
          <t>Stefan Kloss:</t>
        </r>
        <r>
          <rPr>
            <sz val="9"/>
            <color indexed="81"/>
            <rFont val="Segoe UI"/>
            <family val="2"/>
          </rPr>
          <t xml:space="preserve">
inkl. 7%Leasingkosten und 85 Euro Branding</t>
        </r>
      </text>
    </comment>
    <comment ref="H7" authorId="1" shapeId="0" xr:uid="{00000000-0006-0000-0100-00000C000000}">
      <text>
        <r>
          <rPr>
            <b/>
            <sz val="9"/>
            <color indexed="81"/>
            <rFont val="Segoe UI"/>
            <family val="2"/>
          </rPr>
          <t xml:space="preserve">Kosten GBS Auslieferung
</t>
        </r>
      </text>
    </comment>
    <comment ref="I7" authorId="1" shapeId="0" xr:uid="{00000000-0006-0000-0100-00000D000000}">
      <text>
        <r>
          <rPr>
            <b/>
            <sz val="9"/>
            <color indexed="81"/>
            <rFont val="Segoe UI"/>
            <family val="2"/>
          </rPr>
          <t>1x Jahreswartung a 99
~100€ Material bei Jahreswartung</t>
        </r>
      </text>
    </comment>
    <comment ref="K7" authorId="1" shapeId="0" xr:uid="{762DF379-9C32-4E5C-9F6D-2A8534A680B1}">
      <text>
        <r>
          <rPr>
            <b/>
            <sz val="9"/>
            <color indexed="81"/>
            <rFont val="Segoe UI"/>
            <family val="2"/>
          </rPr>
          <t>Mozafari, Amir - Fit Reisen:</t>
        </r>
        <r>
          <rPr>
            <sz val="9"/>
            <color indexed="81"/>
            <rFont val="Segoe UI"/>
            <family val="2"/>
          </rPr>
          <t xml:space="preserve">
Kosten geschätzt</t>
        </r>
      </text>
    </comment>
    <comment ref="Q7" authorId="1" shapeId="0" xr:uid="{F6C34158-0382-4445-A587-7D84EBBDCAF3}">
      <text>
        <r>
          <rPr>
            <b/>
            <sz val="9"/>
            <color indexed="81"/>
            <rFont val="Segoe UI"/>
            <family val="2"/>
          </rPr>
          <t>Mozafari, Amir - Fit Reisen:</t>
        </r>
        <r>
          <rPr>
            <sz val="9"/>
            <color indexed="81"/>
            <rFont val="Segoe UI"/>
            <family val="2"/>
          </rPr>
          <t xml:space="preserve">
Handlingsosten fallen einmalig an, Service und Wartung fällt 2 mal an!</t>
        </r>
      </text>
    </comment>
    <comment ref="G8" authorId="0" shapeId="0" xr:uid="{957C9618-9D82-4F81-8AAD-C931E26C7E18}">
      <text>
        <r>
          <rPr>
            <b/>
            <sz val="9"/>
            <color indexed="81"/>
            <rFont val="Segoe UI"/>
            <family val="2"/>
          </rPr>
          <t>Stefan Kloss:</t>
        </r>
        <r>
          <rPr>
            <sz val="9"/>
            <color indexed="81"/>
            <rFont val="Segoe UI"/>
            <family val="2"/>
          </rPr>
          <t xml:space="preserve">
inkl. 50 Euro Branding</t>
        </r>
      </text>
    </comment>
    <comment ref="I8" authorId="1" shapeId="0" xr:uid="{12E9F5E7-3FCC-4F86-B7BF-88577E5614EF}">
      <text>
        <r>
          <rPr>
            <b/>
            <sz val="9"/>
            <color indexed="81"/>
            <rFont val="Segoe UI"/>
            <family val="2"/>
          </rPr>
          <t>1x Jahreswartung a 99
~100€ Material bei Jahreswartung</t>
        </r>
      </text>
    </comment>
    <comment ref="Q8" authorId="1" shapeId="0" xr:uid="{68935B7A-D5AF-4154-B290-94DA83BBDC48}">
      <text>
        <r>
          <rPr>
            <b/>
            <sz val="9"/>
            <color indexed="81"/>
            <rFont val="Segoe UI"/>
            <family val="2"/>
          </rPr>
          <t>Mozafari, Amir - Fit Reisen:</t>
        </r>
        <r>
          <rPr>
            <sz val="9"/>
            <color indexed="81"/>
            <rFont val="Segoe UI"/>
            <family val="2"/>
          </rPr>
          <t xml:space="preserve">
Handlingsosten fallen einmalig an, Service und Wartung fällt 2 mal an!</t>
        </r>
      </text>
    </comment>
    <comment ref="I9" authorId="1" shapeId="0" xr:uid="{C9DB8BBC-6501-4191-BC6D-BA745C63F8F6}">
      <text>
        <r>
          <rPr>
            <b/>
            <sz val="9"/>
            <color indexed="81"/>
            <rFont val="Segoe UI"/>
            <family val="2"/>
          </rPr>
          <t>1x Jahreswartung a 99
~100€ Material bei Jahreswartung</t>
        </r>
      </text>
    </comment>
    <comment ref="K9" authorId="1" shapeId="0" xr:uid="{53B4DD83-D25B-4112-8F62-C37A8C5EF394}">
      <text>
        <r>
          <rPr>
            <b/>
            <sz val="9"/>
            <color indexed="81"/>
            <rFont val="Segoe UI"/>
            <family val="2"/>
          </rPr>
          <t>Mozafari, Amir - Fit Reisen:</t>
        </r>
        <r>
          <rPr>
            <sz val="9"/>
            <color indexed="81"/>
            <rFont val="Segoe UI"/>
            <family val="2"/>
          </rPr>
          <t xml:space="preserve">
Kosten geschätzt</t>
        </r>
      </text>
    </comment>
    <comment ref="Q9" authorId="1" shapeId="0" xr:uid="{5035D5E7-3987-4A07-A7C7-1160E95ACAC3}">
      <text>
        <r>
          <rPr>
            <b/>
            <sz val="9"/>
            <color indexed="81"/>
            <rFont val="Segoe UI"/>
            <family val="2"/>
          </rPr>
          <t>Mozafari, Amir - Fit Reisen:</t>
        </r>
        <r>
          <rPr>
            <sz val="9"/>
            <color indexed="81"/>
            <rFont val="Segoe UI"/>
            <family val="2"/>
          </rPr>
          <t xml:space="preserve">
Handlingsosten fallen einmalig an, Service und Wartung fällt 2 mal an!</t>
        </r>
      </text>
    </comment>
    <comment ref="G10" authorId="1" shapeId="0" xr:uid="{00000000-0006-0000-0100-000016000000}">
      <text>
        <r>
          <rPr>
            <b/>
            <sz val="9"/>
            <color indexed="81"/>
            <rFont val="Segoe UI"/>
            <family val="2"/>
          </rPr>
          <t>https://beyondbookings.sharepoint.com/:b:/s/BeyondBookingsGmbH/EUS19sz-dE1DjB0hljuqatsBgcbbOIDWzlMi6tWpkcSdyw?e=JwS2UT</t>
        </r>
      </text>
    </comment>
    <comment ref="H10" authorId="1" shapeId="0" xr:uid="{00000000-0006-0000-0100-000017000000}">
      <text>
        <r>
          <rPr>
            <b/>
            <sz val="9"/>
            <color indexed="81"/>
            <rFont val="Segoe UI"/>
            <family val="2"/>
          </rPr>
          <t>Entsprechend Konditionsvereinbarung</t>
        </r>
      </text>
    </comment>
    <comment ref="I10" authorId="1" shapeId="0" xr:uid="{2F325455-5E71-4F14-9C1B-794A133FB051}">
      <text>
        <r>
          <rPr>
            <b/>
            <sz val="9"/>
            <color indexed="81"/>
            <rFont val="Segoe UI"/>
            <family val="2"/>
          </rPr>
          <t>1x Jahreswartung a 99</t>
        </r>
      </text>
    </comment>
    <comment ref="K10" authorId="1" shapeId="0" xr:uid="{8E9033B0-33F6-4A11-8DA5-08BF370000C8}">
      <text>
        <r>
          <rPr>
            <b/>
            <sz val="9"/>
            <color indexed="81"/>
            <rFont val="Segoe UI"/>
            <family val="2"/>
          </rPr>
          <t>Mozafari, Amir - Fit Reisen:</t>
        </r>
        <r>
          <rPr>
            <sz val="9"/>
            <color indexed="81"/>
            <rFont val="Segoe UI"/>
            <family val="2"/>
          </rPr>
          <t xml:space="preserve">
Kosten geschätzt</t>
        </r>
      </text>
    </comment>
    <comment ref="N10" authorId="1" shapeId="0" xr:uid="{00000000-0006-0000-0100-00001A000000}">
      <text>
        <r>
          <rPr>
            <b/>
            <sz val="9"/>
            <color indexed="81"/>
            <rFont val="Segoe UI"/>
            <family val="2"/>
          </rPr>
          <t>Mozafari, Amir - Fit Reisen:</t>
        </r>
        <r>
          <rPr>
            <sz val="9"/>
            <color indexed="81"/>
            <rFont val="Segoe UI"/>
            <family val="2"/>
          </rPr>
          <t xml:space="preserve">
Versicherung für unter 23 jährige</t>
        </r>
      </text>
    </comment>
    <comment ref="Q10" authorId="1" shapeId="0" xr:uid="{BDFE577E-B4C9-46D1-AAE7-F90FB5CE74BB}">
      <text>
        <r>
          <rPr>
            <b/>
            <sz val="9"/>
            <color indexed="81"/>
            <rFont val="Segoe UI"/>
            <family val="2"/>
          </rPr>
          <t xml:space="preserve">Mozafari, Amir - Fit </t>
        </r>
        <r>
          <rPr>
            <sz val="9"/>
            <color indexed="81"/>
            <rFont val="Segoe UI"/>
            <family val="2"/>
          </rPr>
          <t>Zubehörkosten fällt einmaig an, sonstige Kosten fallen 3 Mal an!</t>
        </r>
      </text>
    </comment>
    <comment ref="G11" authorId="1" shapeId="0" xr:uid="{00000000-0006-0000-0100-00001C000000}">
      <text>
        <r>
          <rPr>
            <b/>
            <sz val="9"/>
            <color indexed="81"/>
            <rFont val="Segoe UI"/>
            <family val="2"/>
          </rPr>
          <t>Mozafari, Amir - Fit Reisen:</t>
        </r>
        <r>
          <rPr>
            <sz val="9"/>
            <color indexed="81"/>
            <rFont val="Segoe UI"/>
            <family val="2"/>
          </rPr>
          <t xml:space="preserve">
Netto-EK mit 17% Rabatt
Siehe Wiki-Seite
</t>
        </r>
      </text>
    </comment>
    <comment ref="H11" authorId="1" shapeId="0" xr:uid="{00000000-0006-0000-0100-00001D000000}">
      <text>
        <r>
          <rPr>
            <b/>
            <sz val="9"/>
            <color indexed="81"/>
            <rFont val="Segoe UI"/>
            <family val="2"/>
          </rPr>
          <t>Entsprechend Konditionsvereinbarung</t>
        </r>
      </text>
    </comment>
    <comment ref="I11" authorId="1" shapeId="0" xr:uid="{43EF2D54-9E37-4945-843F-ED39BCD0322F}">
      <text>
        <r>
          <rPr>
            <b/>
            <sz val="9"/>
            <color indexed="81"/>
            <rFont val="Segoe UI"/>
            <family val="2"/>
          </rPr>
          <t>1x Jahreswartung a 99</t>
        </r>
      </text>
    </comment>
    <comment ref="K11" authorId="1" shapeId="0" xr:uid="{91D2BEB3-12AA-46AE-8B92-0BD69B0854FA}">
      <text>
        <r>
          <rPr>
            <b/>
            <sz val="9"/>
            <color indexed="81"/>
            <rFont val="Segoe UI"/>
            <family val="2"/>
          </rPr>
          <t>Mozafari, Amir - Fit Reisen:</t>
        </r>
        <r>
          <rPr>
            <sz val="9"/>
            <color indexed="81"/>
            <rFont val="Segoe UI"/>
            <family val="2"/>
          </rPr>
          <t xml:space="preserve">
Kosten geschätzt</t>
        </r>
      </text>
    </comment>
    <comment ref="N11" authorId="1" shapeId="0" xr:uid="{00000000-0006-0000-0100-000020000000}">
      <text>
        <r>
          <rPr>
            <b/>
            <sz val="9"/>
            <color indexed="81"/>
            <rFont val="Segoe UI"/>
            <family val="2"/>
          </rPr>
          <t>Mozafari, Amir - Fit Reisen:</t>
        </r>
        <r>
          <rPr>
            <sz val="9"/>
            <color indexed="81"/>
            <rFont val="Segoe UI"/>
            <family val="2"/>
          </rPr>
          <t xml:space="preserve">
Versicherung für unter 23 jährige</t>
        </r>
      </text>
    </comment>
    <comment ref="Q11" authorId="1" shapeId="0" xr:uid="{76676188-2A02-42D3-9A64-CFCD8C2F60B9}">
      <text>
        <r>
          <rPr>
            <b/>
            <sz val="9"/>
            <color indexed="81"/>
            <rFont val="Segoe UI"/>
            <family val="2"/>
          </rPr>
          <t xml:space="preserve">Mozafari, Amir - Fit </t>
        </r>
        <r>
          <rPr>
            <sz val="9"/>
            <color indexed="81"/>
            <rFont val="Segoe UI"/>
            <family val="2"/>
          </rPr>
          <t>Zubehörkosten fällt einmaig an, sonstige Kosten fallen 3 Mal an!</t>
        </r>
      </text>
    </comment>
    <comment ref="Q14" authorId="1" shapeId="0" xr:uid="{A7CCE940-2CF8-4356-BF79-84B04B715C07}">
      <text>
        <r>
          <rPr>
            <b/>
            <sz val="9"/>
            <color indexed="81"/>
            <rFont val="Segoe UI"/>
            <family val="2"/>
          </rPr>
          <t>Mozafari, Amir - Fit Reisen:</t>
        </r>
        <r>
          <rPr>
            <sz val="9"/>
            <color indexed="81"/>
            <rFont val="Segoe UI"/>
            <family val="2"/>
          </rPr>
          <t xml:space="preserve">
Handlingsosten fallen einmalig an, Service und Wartung fällt 2 mal an!</t>
        </r>
      </text>
    </comment>
    <comment ref="F15" authorId="2" shapeId="0" xr:uid="{8F658493-4A63-4F01-B853-012F8BD79807}">
      <text>
        <t>[Kommentarthread]
Ihre Version von Excel gestattet Ihnen das Lesen dieses Kommentarthreads. Jegliche Bearbeitungen daran werden jedoch entfernt, wenn die Datei in einer neueren Version von Excel geöffnet wird. Weitere Informationen: https://go.microsoft.com/fwlink/?linkid=870924.
Kommentar:
    1925 Anzahlung, 
825 Restwert</t>
      </text>
    </comment>
    <comment ref="G15" authorId="3" shapeId="0" xr:uid="{00000000-0006-0000-0100-000036000000}">
      <text>
        <r>
          <rPr>
            <b/>
            <sz val="9"/>
            <color indexed="81"/>
            <rFont val="Tahoma"/>
            <family val="2"/>
          </rPr>
          <t>Marvin Billerbeck:</t>
        </r>
        <r>
          <rPr>
            <sz val="9"/>
            <color indexed="81"/>
            <rFont val="Tahoma"/>
            <family val="2"/>
          </rPr>
          <t xml:space="preserve">
Monatliche Leasingrate laut Angebot von 21.01.20 runtergebrochen auf 1 Feddz
</t>
        </r>
      </text>
    </comment>
    <comment ref="Q15" authorId="1" shapeId="0" xr:uid="{00000000-0006-0000-0100-000038000000}">
      <text>
        <r>
          <rPr>
            <b/>
            <sz val="9"/>
            <color indexed="81"/>
            <rFont val="Segoe UI"/>
            <family val="2"/>
          </rPr>
          <t xml:space="preserve">Mozafari, Amir - Fit </t>
        </r>
        <r>
          <rPr>
            <sz val="9"/>
            <color indexed="81"/>
            <rFont val="Segoe UI"/>
            <family val="2"/>
          </rPr>
          <t>Zubehörkosten fällt einmaig an, sonstige Kosten fallen 3 Mal an!</t>
        </r>
      </text>
    </comment>
    <comment ref="G17" authorId="0" shapeId="0" xr:uid="{4901696F-4894-410B-B217-6C51C2FC3635}">
      <text>
        <r>
          <rPr>
            <b/>
            <sz val="9"/>
            <color indexed="81"/>
            <rFont val="Segoe UI"/>
            <family val="2"/>
          </rPr>
          <t>Stefan Kloss:</t>
        </r>
        <r>
          <rPr>
            <sz val="9"/>
            <color indexed="81"/>
            <rFont val="Segoe UI"/>
            <family val="2"/>
          </rPr>
          <t xml:space="preserve">
inkl. Branding 30 Euro Handling+45 Euro GBS+100 Euro Aufkleber</t>
        </r>
      </text>
    </comment>
    <comment ref="O17" authorId="0" shapeId="0" xr:uid="{83E3624D-81D5-4941-9120-1D363AB4B440}">
      <text>
        <r>
          <rPr>
            <b/>
            <sz val="9"/>
            <color indexed="81"/>
            <rFont val="Segoe UI"/>
            <family val="2"/>
          </rPr>
          <t>Stefan Kloss:</t>
        </r>
        <r>
          <rPr>
            <sz val="9"/>
            <color indexed="81"/>
            <rFont val="Segoe UI"/>
            <family val="2"/>
          </rPr>
          <t xml:space="preserve">
0 für Frankfurt, ggf. 200 Euro sonst
</t>
        </r>
      </text>
    </comment>
    <comment ref="Q17" authorId="1" shapeId="0" xr:uid="{2160DDC6-6B50-400F-8DCE-FAFFB416EADE}">
      <text>
        <r>
          <rPr>
            <b/>
            <sz val="9"/>
            <color indexed="81"/>
            <rFont val="Segoe UI"/>
            <family val="2"/>
          </rPr>
          <t>Mozafari, Amir - Fit Reisen:</t>
        </r>
        <r>
          <rPr>
            <sz val="9"/>
            <color indexed="81"/>
            <rFont val="Segoe UI"/>
            <family val="2"/>
          </rPr>
          <t xml:space="preserve">
Handlingsosten fallen einmalig an, Service und Wartung fällt 2 mal an!</t>
        </r>
      </text>
    </comment>
    <comment ref="G18" authorId="0" shapeId="0" xr:uid="{8C4F5A60-175B-4D36-BF5F-587E8BA79514}">
      <text>
        <r>
          <rPr>
            <b/>
            <sz val="9"/>
            <color indexed="81"/>
            <rFont val="Segoe UI"/>
            <family val="2"/>
          </rPr>
          <t>Stefan Kloss:</t>
        </r>
        <r>
          <rPr>
            <sz val="9"/>
            <color indexed="81"/>
            <rFont val="Segoe UI"/>
            <family val="2"/>
          </rPr>
          <t xml:space="preserve">
inkl. 50 Euro branding
</t>
        </r>
      </text>
    </comment>
    <comment ref="I18" authorId="0" shapeId="0" xr:uid="{AC1F34E7-DDF1-4A28-99D9-C1D144631C8D}">
      <text>
        <r>
          <rPr>
            <b/>
            <sz val="9"/>
            <color indexed="81"/>
            <rFont val="Segoe UI"/>
            <family val="2"/>
          </rPr>
          <t>Stefan Kloss:</t>
        </r>
        <r>
          <rPr>
            <sz val="9"/>
            <color indexed="81"/>
            <rFont val="Segoe UI"/>
            <family val="2"/>
          </rPr>
          <t xml:space="preserve">
99 für Wartung, 50 für Material
</t>
        </r>
      </text>
    </comment>
    <comment ref="Q18" authorId="1" shapeId="0" xr:uid="{61E74084-9A3A-4F26-B957-79AEDCADCF27}">
      <text>
        <r>
          <rPr>
            <b/>
            <sz val="9"/>
            <color indexed="81"/>
            <rFont val="Segoe UI"/>
            <family val="2"/>
          </rPr>
          <t>Mozafari, Amir - Fit Reisen:</t>
        </r>
        <r>
          <rPr>
            <sz val="9"/>
            <color indexed="81"/>
            <rFont val="Segoe UI"/>
            <family val="2"/>
          </rPr>
          <t xml:space="preserve">
Handlingsosten fallen einmalig an, Service und Wartung fällt 2 mal an!</t>
        </r>
      </text>
    </comment>
    <comment ref="G19" authorId="0" shapeId="0" xr:uid="{EB903F37-9E8B-42C5-8E4D-B03D25E8527B}">
      <text>
        <r>
          <rPr>
            <b/>
            <sz val="9"/>
            <color indexed="81"/>
            <rFont val="Segoe UI"/>
            <family val="2"/>
          </rPr>
          <t>Stefan Kloss:</t>
        </r>
        <r>
          <rPr>
            <sz val="9"/>
            <color indexed="81"/>
            <rFont val="Segoe UI"/>
            <family val="2"/>
          </rPr>
          <t xml:space="preserve">
inkl. 50 Euro branding</t>
        </r>
      </text>
    </comment>
    <comment ref="I19" authorId="0" shapeId="0" xr:uid="{478E1B43-12BD-41D6-BDFB-6B1E48043EE7}">
      <text>
        <r>
          <rPr>
            <b/>
            <sz val="9"/>
            <color indexed="81"/>
            <rFont val="Segoe UI"/>
            <family val="2"/>
          </rPr>
          <t>Stefan Kloss:</t>
        </r>
        <r>
          <rPr>
            <sz val="9"/>
            <color indexed="81"/>
            <rFont val="Segoe UI"/>
            <family val="2"/>
          </rPr>
          <t xml:space="preserve">
99 für Wartung, 50 für Material</t>
        </r>
      </text>
    </comment>
    <comment ref="Q19" authorId="1" shapeId="0" xr:uid="{AFA88006-8547-4927-8528-2B51AAC39EAF}">
      <text>
        <r>
          <rPr>
            <b/>
            <sz val="9"/>
            <color indexed="81"/>
            <rFont val="Segoe UI"/>
            <family val="2"/>
          </rPr>
          <t>Mozafari, Amir - Fit Reisen:</t>
        </r>
        <r>
          <rPr>
            <sz val="9"/>
            <color indexed="81"/>
            <rFont val="Segoe UI"/>
            <family val="2"/>
          </rPr>
          <t xml:space="preserve">
Handlingsosten fallen einmalig an, Service und Wartung fällt 2 mal an!</t>
        </r>
      </text>
    </comment>
    <comment ref="G20" authorId="0" shapeId="0" xr:uid="{48E6F28F-404B-4B8D-BCD8-C8DAE296A661}">
      <text>
        <r>
          <rPr>
            <b/>
            <sz val="9"/>
            <color indexed="81"/>
            <rFont val="Segoe UI"/>
            <family val="2"/>
          </rPr>
          <t>Stefan Kloss:</t>
        </r>
        <r>
          <rPr>
            <sz val="9"/>
            <color indexed="81"/>
            <rFont val="Segoe UI"/>
            <family val="2"/>
          </rPr>
          <t xml:space="preserve">
Router 400 Euro</t>
        </r>
      </text>
    </comment>
    <comment ref="H20" authorId="0" shapeId="0" xr:uid="{69E7D61F-A4AE-4398-BE00-CF74635DA09F}">
      <text>
        <r>
          <rPr>
            <b/>
            <sz val="9"/>
            <color indexed="81"/>
            <rFont val="Segoe UI"/>
            <family val="2"/>
          </rPr>
          <t>Stefan Kloss:</t>
        </r>
        <r>
          <rPr>
            <sz val="9"/>
            <color indexed="81"/>
            <rFont val="Segoe UI"/>
            <family val="2"/>
          </rPr>
          <t xml:space="preserve">
Setup-Fee für alle Wallboxen 30 Euro</t>
        </r>
      </text>
    </comment>
    <comment ref="G21" authorId="0" shapeId="0" xr:uid="{FF6C0F3E-58B8-4C09-87AF-574910E7DDA7}">
      <text>
        <r>
          <rPr>
            <b/>
            <sz val="9"/>
            <color indexed="81"/>
            <rFont val="Segoe UI"/>
            <family val="2"/>
          </rPr>
          <t>Stefan Kloss:</t>
        </r>
        <r>
          <rPr>
            <sz val="9"/>
            <color indexed="81"/>
            <rFont val="Segoe UI"/>
            <family val="2"/>
          </rPr>
          <t xml:space="preserve">
Router 400 Euro</t>
        </r>
      </text>
    </comment>
    <comment ref="K22" authorId="3" shapeId="0" xr:uid="{0F40E109-3129-449D-A92A-B79BA3B3C15F}">
      <text>
        <r>
          <rPr>
            <b/>
            <sz val="9"/>
            <color indexed="81"/>
            <rFont val="Tahoma"/>
            <family val="2"/>
          </rPr>
          <t xml:space="preserve">Branding
</t>
        </r>
      </text>
    </comment>
    <comment ref="G23" authorId="0" shapeId="0" xr:uid="{7FB9006F-FA57-4B43-8195-413AFFC28031}">
      <text>
        <r>
          <rPr>
            <b/>
            <sz val="9"/>
            <color indexed="81"/>
            <rFont val="Segoe UI"/>
            <family val="2"/>
          </rPr>
          <t>Stefan Kloss:</t>
        </r>
        <r>
          <rPr>
            <sz val="9"/>
            <color indexed="81"/>
            <rFont val="Segoe UI"/>
            <family val="2"/>
          </rPr>
          <t xml:space="preserve">
Stele mit 27% Discount, TAP mit 10% Discount</t>
        </r>
      </text>
    </comment>
    <comment ref="H23" authorId="0" shapeId="0" xr:uid="{30AAFF26-565F-4227-B503-879628AFCB8E}">
      <text>
        <r>
          <rPr>
            <b/>
            <sz val="9"/>
            <color indexed="81"/>
            <rFont val="Segoe UI"/>
            <family val="2"/>
          </rPr>
          <t>Stefan Kloss:</t>
        </r>
        <r>
          <rPr>
            <sz val="9"/>
            <color indexed="81"/>
            <rFont val="Segoe UI"/>
            <family val="2"/>
          </rPr>
          <t xml:space="preserve">
Bis zu 750 Euro für Grundinstallation von BeBo zugesagt und 180 Euro Versandkosten für mind. 2 Single-Wallboxen.
</t>
        </r>
      </text>
    </comment>
    <comment ref="I23" authorId="0" shapeId="0" xr:uid="{6637277B-6D34-453B-AFE3-DA9A8188EC2A}">
      <text>
        <r>
          <rPr>
            <b/>
            <sz val="9"/>
            <color indexed="81"/>
            <rFont val="Segoe UI"/>
            <family val="2"/>
          </rPr>
          <t>Stefan Kloss:</t>
        </r>
        <r>
          <rPr>
            <sz val="9"/>
            <color indexed="81"/>
            <rFont val="Segoe UI"/>
            <family val="2"/>
          </rPr>
          <t xml:space="preserve">
Benchmark B4
</t>
        </r>
      </text>
    </comment>
    <comment ref="M23" authorId="0" shapeId="0" xr:uid="{97B9D587-C119-42FB-9DB8-E26445E6971C}">
      <text>
        <r>
          <rPr>
            <b/>
            <sz val="9"/>
            <color indexed="81"/>
            <rFont val="Segoe UI"/>
            <family val="2"/>
          </rPr>
          <t>Stefan Kloss:</t>
        </r>
        <r>
          <rPr>
            <sz val="9"/>
            <color indexed="81"/>
            <rFont val="Segoe UI"/>
            <family val="2"/>
          </rPr>
          <t xml:space="preserve">
Rahmenvertrag 10 Euro p.M + dyn. Lastenmanagement (nicht enthalten) 5 Euro p.M.
jeweils pro Ladepunkt</t>
        </r>
      </text>
    </comment>
    <comment ref="H24" authorId="4" shapeId="0" xr:uid="{89FDF0AD-65F1-4A2F-927E-CD7E54F4E9EF}">
      <text>
        <t>[Kommentarthread]
Ihre Version von Excel gestattet Ihnen das Lesen dieses Kommentarthreads. Jegliche Bearbeitungen daran werden jedoch entfernt, wenn die Datei in einer neueren Version von Excel geöffnet wird. Weitere Informationen: https://go.microsoft.com/fwlink/?linkid=870924.
Kommentar:
    Konsistent mit New Motion 750€ Installation je Ladepunkt plus 200€ Begehung plus Versand</t>
      </text>
    </comment>
    <comment ref="I24" authorId="5" shapeId="0" xr:uid="{DB711D4B-CE4D-4E03-ADC5-F576783D4CC5}">
      <text>
        <t>[Kommentarthread]
Ihre Version von Excel gestattet Ihnen das Lesen dieses Kommentarthreads. Jegliche Bearbeitungen daran werden jedoch entfernt, wenn die Datei in einer neueren Version von Excel geöffnet wird. Weitere Informationen: https://go.microsoft.com/fwlink/?linkid=870924.
Kommentar:
    Benchmark B4</t>
      </text>
    </comment>
    <comment ref="H25" authorId="0" shapeId="0" xr:uid="{0EAA6D5D-D660-49D2-8E4A-38209C33D346}">
      <text>
        <r>
          <rPr>
            <b/>
            <sz val="9"/>
            <color indexed="81"/>
            <rFont val="Segoe UI"/>
            <family val="2"/>
          </rPr>
          <t>Stefan Kloss:</t>
        </r>
        <r>
          <rPr>
            <sz val="9"/>
            <color indexed="81"/>
            <rFont val="Segoe UI"/>
            <family val="2"/>
          </rPr>
          <t xml:space="preserve">
Bis zu 750 Euro für Grundinstallation von BeBo zugesagt und 180 Euro Versandkosten für mind. 2 Single-Wallboxen.</t>
        </r>
      </text>
    </comment>
    <comment ref="I25" authorId="0" shapeId="0" xr:uid="{F8645F12-2235-4030-8E36-31580E04A271}">
      <text>
        <r>
          <rPr>
            <b/>
            <sz val="9"/>
            <color indexed="81"/>
            <rFont val="Segoe UI"/>
            <family val="2"/>
          </rPr>
          <t>Stefan Kloss:</t>
        </r>
        <r>
          <rPr>
            <sz val="9"/>
            <color indexed="81"/>
            <rFont val="Segoe UI"/>
            <family val="2"/>
          </rPr>
          <t xml:space="preserve">
Benchmark B4
</t>
        </r>
      </text>
    </comment>
    <comment ref="H26" authorId="6" shapeId="0" xr:uid="{5BE59B5F-5636-481E-9F70-80B28AD59DDD}">
      <text>
        <t>[Kommentarthread]
Ihre Version von Excel gestattet Ihnen das Lesen dieses Kommentarthreads. Jegliche Bearbeitungen daran werden jedoch entfernt, wenn die Datei in einer neueren Version von Excel geöffnet wird. Weitere Informationen: https://go.microsoft.com/fwlink/?linkid=870924.
Kommentar:
    Konsistent mit New Motion 750€ Installation je Ladepunkt plus 200€ Begehung plus Versand</t>
      </text>
    </comment>
    <comment ref="I26" authorId="7" shapeId="0" xr:uid="{72C4A899-5796-4FA0-A98A-71B86466F35B}">
      <text>
        <t>[Kommentarthread]
Ihre Version von Excel gestattet Ihnen das Lesen dieses Kommentarthreads. Jegliche Bearbeitungen daran werden jedoch entfernt, wenn die Datei in einer neueren Version von Excel geöffnet wird. Weitere Informationen: https://go.microsoft.com/fwlink/?linkid=870924.
Kommentar:
    Benchmark B4</t>
      </text>
    </comment>
    <comment ref="N32" authorId="0" shapeId="0" xr:uid="{452967DC-6DCA-41F7-B1B4-014444FD898A}">
      <text>
        <r>
          <rPr>
            <b/>
            <sz val="9"/>
            <color indexed="81"/>
            <rFont val="Segoe UI"/>
            <family val="2"/>
          </rPr>
          <t>Stefan Kloss:</t>
        </r>
        <r>
          <rPr>
            <sz val="9"/>
            <color indexed="81"/>
            <rFont val="Segoe UI"/>
            <family val="2"/>
          </rPr>
          <t xml:space="preserve">
die 1-Jahreszahlen</t>
        </r>
      </text>
    </comment>
    <comment ref="G33" authorId="0" shapeId="0" xr:uid="{BE313565-8881-45E4-8D3F-89AB714C941B}">
      <text>
        <r>
          <rPr>
            <b/>
            <sz val="9"/>
            <color indexed="81"/>
            <rFont val="Segoe UI"/>
            <family val="2"/>
          </rPr>
          <t>Stefan Kloss:</t>
        </r>
        <r>
          <rPr>
            <sz val="9"/>
            <color indexed="81"/>
            <rFont val="Segoe UI"/>
            <family val="2"/>
          </rPr>
          <t xml:space="preserve">
inkl. Auslieferung und Branding
</t>
        </r>
      </text>
    </comment>
    <comment ref="N33" authorId="0" shapeId="0" xr:uid="{58A1BEB4-42C4-4B56-B854-F1FDED3C4FC9}">
      <text>
        <r>
          <rPr>
            <b/>
            <sz val="9"/>
            <color indexed="81"/>
            <rFont val="Segoe UI"/>
            <family val="2"/>
          </rPr>
          <t>Stefan Kloss:</t>
        </r>
        <r>
          <rPr>
            <sz val="9"/>
            <color indexed="81"/>
            <rFont val="Segoe UI"/>
            <family val="2"/>
          </rPr>
          <t xml:space="preserve">
Versicherung basierend auf dem UVP</t>
        </r>
      </text>
    </comment>
    <comment ref="C38" authorId="8" shapeId="0" xr:uid="{3472D8AA-A5A2-4F34-9300-AB933B67CF7C}">
      <text>
        <t>[Kommentarthread]
Ihre Version von Excel gestattet Ihnen das Lesen dieses Kommentarthreads. Jegliche Bearbeitungen daran werden jedoch entfernt, wenn die Datei in einer neueren Version von Excel geöffnet wird. Weitere Informationen: https://go.microsoft.com/fwlink/?linkid=870924.
Kommentar:
    wir haben die produktbezeichnung und den Preis aktualisiert!</t>
      </text>
    </comment>
    <comment ref="G39" authorId="9" shapeId="0" xr:uid="{CB16B01C-4E52-439B-BD9A-D5065BA45C16}">
      <text>
        <t>[Kommentarthread]
Ihre Version von Excel gestattet Ihnen das Lesen dieses Kommentarthreads. Jegliche Bearbeitungen daran werden jedoch entfernt, wenn die Datei in einer neueren Version von Excel geöffnet wird. Weitere Informationen: https://go.microsoft.com/fwlink/?linkid=870924.
Kommentar:
    Kaufmodellpreis inkl Mwst</t>
      </text>
    </comment>
    <comment ref="G42" authorId="10" shapeId="0" xr:uid="{F3F4B161-5373-46C4-AD09-85594B2A9133}">
      <text>
        <t>[Kommentarthread]
Ihre Version von Excel gestattet Ihnen das Lesen dieses Kommentarthreads. Jegliche Bearbeitungen daran werden jedoch entfernt, wenn die Datei in einer neueren Version von Excel geöffnet wird. Weitere Informationen: https://go.microsoft.com/fwlink/?linkid=870924.
Kommentar:
    Kaufmodellpreis inkl Mwst</t>
      </text>
    </comment>
    <comment ref="G44" authorId="11" shapeId="0" xr:uid="{233D04D4-2E31-465F-925E-503C34B60A60}">
      <text>
        <t>[Kommentarthread]
Ihre Version von Excel gestattet Ihnen das Lesen dieses Kommentarthreads. Jegliche Bearbeitungen daran werden jedoch entfernt, wenn die Datei in einer neueren Version von Excel geöffnet wird. Weitere Informationen: https://go.microsoft.com/fwlink/?linkid=870924.
Kommentar:
    Quelle: 
AK inkl. Winterreifen
https://www.renault.de/elektromodelle/twizy/konfigurator/summary.html?conf=https%3A%2F%2Fde.co.rplug.renault.com%2Fc%2FBACH0%2FAi4piSE6Cg</t>
      </text>
    </comment>
    <comment ref="H44" authorId="12" shapeId="0" xr:uid="{A68D9F51-9335-4E1D-B9A9-5CCA3CD870F1}">
      <text>
        <t>[Kommentarthread]
Ihre Version von Excel gestattet Ihnen das Lesen dieses Kommentarthreads. Jegliche Bearbeitungen daran werden jedoch entfernt, wenn die Datei in einer neueren Version von Excel geöffnet wird. Weitere Informationen: https://go.microsoft.com/fwlink/?linkid=870924.
Kommentar:
    Annahme basierend auf: https://www.leasingmarkt.de/ratgeber/leasing-lexikon/ueberfuehrungskosten</t>
      </text>
    </comment>
    <comment ref="I44" authorId="13" shapeId="0" xr:uid="{4877B70D-EC1B-47A9-9994-C9DF9CCD8420}">
      <text>
        <t>[Kommentarthread]
Ihre Version von Excel gestattet Ihnen das Lesen dieses Kommentarthreads. Jegliche Bearbeitungen daran werden jedoch entfernt, wenn die Datei in einer neueren Version von Excel geöffnet wird. Weitere Informationen: https://go.microsoft.com/fwlink/?linkid=870924.
Kommentar:
    Quelle: Wartung + 2 mal Reifenwechsel im Jahr
https://www.autobutler.de/auto/inspektion-wartung-auto-renault/twizy</t>
      </text>
    </comment>
    <comment ref="N44" authorId="14" shapeId="0" xr:uid="{75163A11-A03B-4EB3-83B2-B6A9F0AC1FC1}">
      <text>
        <t>[Kommentarthread]
Ihre Version von Excel gestattet Ihnen das Lesen dieses Kommentarthreads. Jegliche Bearbeitungen daran werden jedoch entfernt, wenn die Datei in einer neueren Version von Excel geöffnet wird. Weitere Informationen: https://go.microsoft.com/fwlink/?linkid=870924.
Kommentar:
    Quelle: 
Vollkasko mit 500€ SB
https://www.4yourfleet.de/renault-twizy.html</t>
      </text>
    </comment>
    <comment ref="G47" authorId="0" shapeId="0" xr:uid="{718CA5EF-D29A-46D7-A467-CCC80DA42712}">
      <text>
        <r>
          <rPr>
            <b/>
            <sz val="9"/>
            <color indexed="81"/>
            <rFont val="Segoe UI"/>
            <family val="2"/>
          </rPr>
          <t>Stefan Kloss:</t>
        </r>
        <r>
          <rPr>
            <sz val="9"/>
            <color indexed="81"/>
            <rFont val="Segoe UI"/>
            <family val="2"/>
          </rPr>
          <t xml:space="preserve">
Router 400 Euro</t>
        </r>
      </text>
    </comment>
    <comment ref="G48" authorId="3" shapeId="0" xr:uid="{951FAECC-2FAC-4564-9C3D-C7E03F3E44E5}">
      <text>
        <r>
          <rPr>
            <b/>
            <sz val="9"/>
            <color indexed="81"/>
            <rFont val="Tahoma"/>
            <family val="2"/>
          </rPr>
          <t xml:space="preserve">Switch
</t>
        </r>
      </text>
    </comment>
    <comment ref="M50" authorId="0" shapeId="0" xr:uid="{9956DB2E-129B-40B0-BA47-284796294299}">
      <text>
        <r>
          <rPr>
            <b/>
            <sz val="9"/>
            <color indexed="81"/>
            <rFont val="Segoe UI"/>
            <family val="2"/>
          </rPr>
          <t>Stefan Kloss:</t>
        </r>
        <r>
          <rPr>
            <sz val="9"/>
            <color indexed="81"/>
            <rFont val="Segoe UI"/>
            <family val="2"/>
          </rPr>
          <t xml:space="preserve">
Preis für Wirelane Kunden. BeBo bekommt Rabatt</t>
        </r>
      </text>
    </comment>
  </commentList>
</comments>
</file>

<file path=xl/comments3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Marvin Billerbeck</author>
  </authors>
  <commentList>
    <comment ref="D6" authorId="0" shapeId="0" xr:uid="{A610CC7E-AE53-4C14-A1D2-6313EF5E85E6}">
      <text>
        <r>
          <rPr>
            <b/>
            <sz val="9"/>
            <color indexed="81"/>
            <rFont val="Tahoma"/>
            <family val="2"/>
          </rPr>
          <t>Marvin Billerbeck:</t>
        </r>
        <r>
          <rPr>
            <sz val="9"/>
            <color indexed="81"/>
            <rFont val="Tahoma"/>
            <family val="2"/>
          </rPr>
          <t xml:space="preserve">
Anzahl Nächte x 25% x definierte Anzahlung bei Hotelkategorie entsprechend Tripz Vertrag</t>
        </r>
      </text>
    </comment>
    <comment ref="P6" authorId="0" shapeId="0" xr:uid="{39FA2D08-2253-4D93-A3F9-0B2CDFECAC58}">
      <text>
        <r>
          <rPr>
            <b/>
            <sz val="9"/>
            <color indexed="81"/>
            <rFont val="Tahoma"/>
            <family val="2"/>
          </rPr>
          <t>Marvin Billerbeck:</t>
        </r>
        <r>
          <rPr>
            <sz val="9"/>
            <color indexed="81"/>
            <rFont val="Tahoma"/>
            <family val="2"/>
          </rPr>
          <t xml:space="preserve">
Anzahl Nächte x 25% x definierte Anzahlung bei Hotelkategorie entsprechend Tripz Vertrag</t>
        </r>
      </text>
    </comment>
    <comment ref="AB6" authorId="0" shapeId="0" xr:uid="{8DA5A5EB-FEDA-4115-8CED-EE181E7F726B}">
      <text>
        <r>
          <rPr>
            <b/>
            <sz val="9"/>
            <color indexed="81"/>
            <rFont val="Tahoma"/>
            <family val="2"/>
          </rPr>
          <t>Marvin Billerbeck:</t>
        </r>
        <r>
          <rPr>
            <sz val="9"/>
            <color indexed="81"/>
            <rFont val="Tahoma"/>
            <family val="2"/>
          </rPr>
          <t xml:space="preserve">
Anzahl Nächte x 25% x definierte Anzahlung bei Hotelkategorie entsprechend Tripz Vertrag</t>
        </r>
      </text>
    </comment>
  </commentList>
</comments>
</file>

<file path=xl/sharedStrings.xml><?xml version="1.0" encoding="utf-8"?>
<sst xmlns="http://schemas.openxmlformats.org/spreadsheetml/2006/main" count="511" uniqueCount="298">
  <si>
    <t>Pricing Tool</t>
  </si>
  <si>
    <t>Allgemeine Hotelinfos</t>
  </si>
  <si>
    <t>Angebotsrelevante Eingaben</t>
  </si>
  <si>
    <t>Datum</t>
  </si>
  <si>
    <t>Hotelname</t>
  </si>
  <si>
    <t>Realistischer Hotelverkaufspreis</t>
  </si>
  <si>
    <t>Kategorie</t>
  </si>
  <si>
    <t>4 Sterne</t>
  </si>
  <si>
    <t>Gutscheinwert für Hotel</t>
  </si>
  <si>
    <t>Zimmeranzahl</t>
  </si>
  <si>
    <t>Auslastung in %</t>
  </si>
  <si>
    <t>Verfügbare Roomnight</t>
  </si>
  <si>
    <t>Adressierbare Roomnights (15%, max. 1.000)</t>
  </si>
  <si>
    <t>Zahlung von Tripz Estimate</t>
  </si>
  <si>
    <t>Vertragsvolumen Estimate</t>
  </si>
  <si>
    <t>Auszufüllende Felder</t>
  </si>
  <si>
    <t>Vermietpreis</t>
  </si>
  <si>
    <t>Steuern</t>
  </si>
  <si>
    <t>Produkte</t>
  </si>
  <si>
    <t>Verfügbarkeit</t>
  </si>
  <si>
    <t>Anzahl</t>
  </si>
  <si>
    <t>Laufzeit</t>
  </si>
  <si>
    <t>Gesamtkosten über Laufzeit</t>
  </si>
  <si>
    <t>Profit</t>
  </si>
  <si>
    <t>Vermietpreis brutto</t>
  </si>
  <si>
    <t>Steuer Vermietpreis</t>
  </si>
  <si>
    <t>Vorsteuer Produktkauf</t>
  </si>
  <si>
    <t>Vorsteuer Tripz Provision</t>
  </si>
  <si>
    <t>Netto Steuerzahlung bei Vermietpreis</t>
  </si>
  <si>
    <t>Profit nach Steuern</t>
  </si>
  <si>
    <t>Marge nach Steuern bei Vermietpreis</t>
  </si>
  <si>
    <t>Breakeven in Jahren</t>
  </si>
  <si>
    <t>Verfügbar</t>
  </si>
  <si>
    <t>FEDDZ Urban Bike</t>
  </si>
  <si>
    <t>Segway-Ninebot KickScooter MAX G30D II</t>
  </si>
  <si>
    <t>Compleo Wallbox Advanced 11 kW eichrechtskonform</t>
  </si>
  <si>
    <t>Nicht verfügbar</t>
  </si>
  <si>
    <t>Compleo duo Ladestation 22kW, eichrechtskonform</t>
  </si>
  <si>
    <t>Branding Compleo duo Ladestation</t>
  </si>
  <si>
    <t>Feddz</t>
  </si>
  <si>
    <t>Betterspace</t>
  </si>
  <si>
    <t>Renault Twizzy Life</t>
  </si>
  <si>
    <t>Opel Corsa-e Selection</t>
  </si>
  <si>
    <t>Renault Zoe Experience</t>
  </si>
  <si>
    <t>Mini Cooper SE Trim M</t>
  </si>
  <si>
    <t>BMW i3 Standard</t>
  </si>
  <si>
    <t>EQC</t>
  </si>
  <si>
    <t>Wirelane Wallbox, 22kW</t>
  </si>
  <si>
    <t>Wirelane Doppelstele, 22kW</t>
  </si>
  <si>
    <t>TBD</t>
  </si>
  <si>
    <t>Benötigte Roomnights gesamt</t>
  </si>
  <si>
    <t>Kosten für leeres Zimmer</t>
  </si>
  <si>
    <t>Kosten für belegtes Zimmer</t>
  </si>
  <si>
    <t>Reale Kosten</t>
  </si>
  <si>
    <t>Produkt</t>
  </si>
  <si>
    <t>Kosten in Nächten</t>
  </si>
  <si>
    <t>Selbstbeschaffung</t>
  </si>
  <si>
    <t>Anschaffungskosten</t>
  </si>
  <si>
    <t>Zubehör</t>
  </si>
  <si>
    <t>Abrechnung</t>
  </si>
  <si>
    <t>Abholung</t>
  </si>
  <si>
    <t>Versicherung</t>
  </si>
  <si>
    <t>Mehrwertsteuer 19%</t>
  </si>
  <si>
    <t>Lösung mit Beyond Bookings</t>
  </si>
  <si>
    <t>Ihre Kosten mit Beyond Bookings</t>
  </si>
  <si>
    <t>Kostenvorteil</t>
  </si>
  <si>
    <t>Beyond Bookings EK Preise</t>
  </si>
  <si>
    <t>Lieferung</t>
  </si>
  <si>
    <t>Wartung</t>
  </si>
  <si>
    <t>Service Check</t>
  </si>
  <si>
    <t>Kauf vs. Leasing</t>
  </si>
  <si>
    <t>Status Pricing</t>
  </si>
  <si>
    <t>Anzahlung</t>
  </si>
  <si>
    <t>Kaufpreis / Leasing pro Monat (netto)</t>
  </si>
  <si>
    <t>Installation &amp; Handling (netto?)</t>
  </si>
  <si>
    <t>Maintenance &amp; Repair netto</t>
  </si>
  <si>
    <t>Quarterly Service Checks</t>
  </si>
  <si>
    <t>Zubehör: Helm + Schloss (netto)</t>
  </si>
  <si>
    <t>Abrechnung pro Standort pro Jahr</t>
  </si>
  <si>
    <t>Abrechnung + dyn. Lastenmanagement (netto)</t>
  </si>
  <si>
    <t>Insurance (netto)</t>
  </si>
  <si>
    <t>Kosten pro Jahr</t>
  </si>
  <si>
    <t>Kosten pro Jahr ohne Maint.</t>
  </si>
  <si>
    <t>E-Bike</t>
  </si>
  <si>
    <t>Kauf</t>
  </si>
  <si>
    <t>E-Scooter</t>
  </si>
  <si>
    <t>E-Ladestation</t>
  </si>
  <si>
    <t>Other</t>
  </si>
  <si>
    <t>E-Auto</t>
  </si>
  <si>
    <t>Leasing</t>
  </si>
  <si>
    <t>Monat 1</t>
  </si>
  <si>
    <t>Monat 2</t>
  </si>
  <si>
    <t>Monat 3</t>
  </si>
  <si>
    <t>Monat 4</t>
  </si>
  <si>
    <t>Monat 5</t>
  </si>
  <si>
    <t>Monat 6</t>
  </si>
  <si>
    <t>Monat 7</t>
  </si>
  <si>
    <t>Monat 8</t>
  </si>
  <si>
    <t>Monat 9</t>
  </si>
  <si>
    <t>Monat 10</t>
  </si>
  <si>
    <t>Monat 11</t>
  </si>
  <si>
    <t>Monat 12</t>
  </si>
  <si>
    <t>Monat 13</t>
  </si>
  <si>
    <t>Monat 14</t>
  </si>
  <si>
    <t>Monat 15</t>
  </si>
  <si>
    <t>Monat 16</t>
  </si>
  <si>
    <t>Monat 17</t>
  </si>
  <si>
    <t>Monat 18</t>
  </si>
  <si>
    <t>Monat 19</t>
  </si>
  <si>
    <t>Monat 20</t>
  </si>
  <si>
    <t>Monat 21</t>
  </si>
  <si>
    <t>Monat 22</t>
  </si>
  <si>
    <t>Monat 23</t>
  </si>
  <si>
    <t>Monat 24</t>
  </si>
  <si>
    <t>Monat 25</t>
  </si>
  <si>
    <t>Monat 26</t>
  </si>
  <si>
    <t>Monat 27</t>
  </si>
  <si>
    <t>Monat 28</t>
  </si>
  <si>
    <t>Monat 29</t>
  </si>
  <si>
    <t>Monat 30</t>
  </si>
  <si>
    <t>Monat 31</t>
  </si>
  <si>
    <t>Monat 32</t>
  </si>
  <si>
    <t>Monat 33</t>
  </si>
  <si>
    <t>Monat 34</t>
  </si>
  <si>
    <t>Monat 35</t>
  </si>
  <si>
    <t>Monat 36</t>
  </si>
  <si>
    <t>Gesamt</t>
  </si>
  <si>
    <t>Q1</t>
  </si>
  <si>
    <t>Q2</t>
  </si>
  <si>
    <t>Q3</t>
  </si>
  <si>
    <t>Q4</t>
  </si>
  <si>
    <t>Q5</t>
  </si>
  <si>
    <t>Q6</t>
  </si>
  <si>
    <t>Q7</t>
  </si>
  <si>
    <t>Q8</t>
  </si>
  <si>
    <t>Q9</t>
  </si>
  <si>
    <t>Q10</t>
  </si>
  <si>
    <t>Q11</t>
  </si>
  <si>
    <t>Q12</t>
  </si>
  <si>
    <t>Einnahmen</t>
  </si>
  <si>
    <t>Monatliche Zahlung</t>
  </si>
  <si>
    <t>Ausgaben</t>
  </si>
  <si>
    <t>Fahrrad</t>
  </si>
  <si>
    <t>Branding</t>
  </si>
  <si>
    <t>Service</t>
  </si>
  <si>
    <t>Installation</t>
  </si>
  <si>
    <t>Abo</t>
  </si>
  <si>
    <t>Cash Flow</t>
  </si>
  <si>
    <t>Cash Balance</t>
  </si>
  <si>
    <t>Kosten Details Vertrag</t>
  </si>
  <si>
    <t xml:space="preserve">Abrechnung </t>
  </si>
  <si>
    <t>Vertragswert</t>
  </si>
  <si>
    <t>Procurement</t>
  </si>
  <si>
    <t>Kosten Gesamt</t>
  </si>
  <si>
    <t>Lage</t>
  </si>
  <si>
    <t>Zuschlag</t>
  </si>
  <si>
    <t>Großstadt-Lage</t>
  </si>
  <si>
    <t>Top-Tourismus-Destination</t>
  </si>
  <si>
    <t>Guter Tourismusort</t>
  </si>
  <si>
    <t>Ländliche Lage</t>
  </si>
  <si>
    <t>Regulär</t>
  </si>
  <si>
    <t>Black Out Dates</t>
  </si>
  <si>
    <t>Keine</t>
  </si>
  <si>
    <t>1-3 Wochen</t>
  </si>
  <si>
    <t>4-8 Wochen</t>
  </si>
  <si>
    <t>9-16 Wochen</t>
  </si>
  <si>
    <t>Tripz Anzahlung</t>
  </si>
  <si>
    <t>ohne Sterne</t>
  </si>
  <si>
    <t>1-2 Sterne</t>
  </si>
  <si>
    <t>3 Sterne</t>
  </si>
  <si>
    <t>5 Sterne</t>
  </si>
  <si>
    <t>Egret Pro</t>
  </si>
  <si>
    <t>CHECK!!!</t>
  </si>
  <si>
    <t>CHECK</t>
  </si>
  <si>
    <t>E-Cityrad: VdV AEB400</t>
  </si>
  <si>
    <t>E-Trekkingfahrrad: VdV AEB800</t>
  </si>
  <si>
    <t>Entsorgung</t>
  </si>
  <si>
    <t>Unsere Verkaufspreise Preise für Preisvergleich</t>
  </si>
  <si>
    <t>Gazelle Ultimate C8+ HMB</t>
  </si>
  <si>
    <t>Total netto</t>
  </si>
  <si>
    <t>Kosten brutto</t>
  </si>
  <si>
    <t>Metz E-PACKR 8.0 mit Gepäckkorb</t>
  </si>
  <si>
    <t xml:space="preserve">Hotel VK - neu </t>
  </si>
  <si>
    <t>alt</t>
  </si>
  <si>
    <t>ohne Versicherung</t>
  </si>
  <si>
    <t>Wirelane Light &amp; Charge, Single-Wallbox + TAP</t>
  </si>
  <si>
    <t>Wirelane Light &amp; Charge, Duo-Wallbox + TAP</t>
  </si>
  <si>
    <t>Wirelane Light &amp; Charge, Einzelstele + TAP</t>
  </si>
  <si>
    <t>Wirelane Light &amp; Charge, Doppelstele + TAP</t>
  </si>
  <si>
    <t>Abzug TAP</t>
  </si>
  <si>
    <t>ABZUG TAP für Wirelane Light &amp; Charge</t>
  </si>
  <si>
    <t>Lastenrad Urban Arrow Family</t>
  </si>
  <si>
    <t>Cityrad: VdV AEB400 Kette (kein E-Bike)</t>
  </si>
  <si>
    <t>Cityrad: VdV AEB400 Riemen (kein E-Bike)</t>
  </si>
  <si>
    <t>Bike</t>
  </si>
  <si>
    <t>Insurance (brutto)</t>
  </si>
  <si>
    <t>Versionsverlauf</t>
  </si>
  <si>
    <t>Versionsverlauf hinzugefügt</t>
  </si>
  <si>
    <t>Pricing Eget Pro angepasst</t>
  </si>
  <si>
    <t>Bedingte Formatierung bei "Gesamtkosten über Laufzeit"</t>
  </si>
  <si>
    <t>Wirelane Switch</t>
  </si>
  <si>
    <t>Wirelane-Preise angepasst</t>
  </si>
  <si>
    <t>Router&amp;Switch bei Wirelane extra behandelt</t>
  </si>
  <si>
    <t>Wirelane Router &amp; Setup-Fee Wirelane</t>
  </si>
  <si>
    <t>Compleo ausblenden</t>
  </si>
  <si>
    <t>Sonderversion für Sixt</t>
  </si>
  <si>
    <t>Modell</t>
  </si>
  <si>
    <t>MG 5 (Elektro)</t>
  </si>
  <si>
    <t>Opel Mokka-e</t>
  </si>
  <si>
    <t>BYD Atto 3</t>
  </si>
  <si>
    <t>Tesla Model 3 Long Range</t>
  </si>
  <si>
    <t>BMW iX 40 (Elektro), Audi E-Tron</t>
  </si>
  <si>
    <t>SIXT Code / Vertragslaufzeit</t>
  </si>
  <si>
    <t>CCAE</t>
  </si>
  <si>
    <t>12 Monate</t>
  </si>
  <si>
    <t>SDAC</t>
  </si>
  <si>
    <t>Klasse / Abo Laufzeitrabatt</t>
  </si>
  <si>
    <t>Kombi / Kleiner SUV</t>
  </si>
  <si>
    <t>30% Rabatt</t>
  </si>
  <si>
    <t>kein Rabatt</t>
  </si>
  <si>
    <t>SUV</t>
  </si>
  <si>
    <t>Limousine</t>
  </si>
  <si>
    <t>Premium Limousine/SUV</t>
  </si>
  <si>
    <t>Reichweite</t>
  </si>
  <si>
    <t>320 km</t>
  </si>
  <si>
    <t>420 km</t>
  </si>
  <si>
    <t>567 km</t>
  </si>
  <si>
    <t>422 km</t>
  </si>
  <si>
    <t>ab Preis mit 500 Kilometer</t>
  </si>
  <si>
    <t>Abo + 1.000 Kilometer</t>
  </si>
  <si>
    <t>Abo + 500 Kilometer</t>
  </si>
  <si>
    <t>Abo + 2.000 Kilometer</t>
  </si>
  <si>
    <t>EUR 500 Selbstbeteiligung</t>
  </si>
  <si>
    <t>Innenraum-Schutz</t>
  </si>
  <si>
    <t>Personen-Unfall-Schutz</t>
  </si>
  <si>
    <t>Komfort-Ausstattung</t>
  </si>
  <si>
    <t>Ersatzwagengarantie</t>
  </si>
  <si>
    <t>Preise sind brutto pro Monat</t>
  </si>
  <si>
    <t>Anzahl MG5</t>
  </si>
  <si>
    <t>Gesamtpreis</t>
  </si>
  <si>
    <t>Zusatzfahrer</t>
  </si>
  <si>
    <t>Abo + Zusatzleistungen  - 12 Monate brutto</t>
  </si>
  <si>
    <t>Gesamtkosten</t>
  </si>
  <si>
    <t>Finanzierung: Projektkosten brutto</t>
  </si>
  <si>
    <t>Gesamtvertragswert (brutto)</t>
  </si>
  <si>
    <t>Marge</t>
  </si>
  <si>
    <t>Marge nach Steuern</t>
  </si>
  <si>
    <t>230127_Sixt</t>
  </si>
  <si>
    <t>Sixt-Sheet angefügt</t>
  </si>
  <si>
    <t>UST von Rechnung an Hotel rausgenommen</t>
  </si>
  <si>
    <t>Sixt Abo MG5</t>
  </si>
  <si>
    <t>Sixt Abo Opel Mokka-e</t>
  </si>
  <si>
    <t>Sixt Abo BYD Atto 3</t>
  </si>
  <si>
    <t>Sixt Abo Tesla Model 3 Long Range</t>
  </si>
  <si>
    <t>Sixt Abo Test</t>
  </si>
  <si>
    <t>Abo-Kosten</t>
  </si>
  <si>
    <t>Komfortausstattung</t>
  </si>
  <si>
    <t>Anzahl Zusatzfahrer</t>
  </si>
  <si>
    <t>Schritt 1: Verkauf unverkaufter Zimmer an Beyond Bookings</t>
  </si>
  <si>
    <t>230208_Sixt</t>
  </si>
  <si>
    <t>Preisvergleich</t>
  </si>
  <si>
    <t>Alle Fahrzeuge in Preise Output aufgenommen</t>
  </si>
  <si>
    <t>Gutscheinwert</t>
  </si>
  <si>
    <t>Steuerung über Sterne, die den Gutscheinwert festlegen</t>
  </si>
  <si>
    <t>Finanzierung Rechnung für Dritte</t>
  </si>
  <si>
    <t>230215_Sixt</t>
  </si>
  <si>
    <t>Bugbehebung</t>
  </si>
  <si>
    <t>230309_Sixt</t>
  </si>
  <si>
    <t>Zudem wird generell kein Navi sowie keine Ersatzwagengarantie mehr angeboten.</t>
  </si>
  <si>
    <t>Die Komfortausstattung kann nur noch beim Mokka und dem BYD hinzugebucht werden.</t>
  </si>
  <si>
    <t>Beim Opel Mokka-e und dem BYD haben sich die Preise geändert.</t>
  </si>
  <si>
    <t xml:space="preserve">Gesamtkosten </t>
  </si>
  <si>
    <t>230329_Sixt</t>
  </si>
  <si>
    <t>Ersatzwagengarantie mit 15  Euro wieder aufgenommen</t>
  </si>
  <si>
    <t>Jahre änderbar bei Finanzierungsoption</t>
  </si>
  <si>
    <t>230522_FinanzierungDritter</t>
  </si>
  <si>
    <t>Neuer Dateiname</t>
  </si>
  <si>
    <t>Änderung</t>
  </si>
  <si>
    <t>Test</t>
  </si>
  <si>
    <t>230810_FinanzierungDritter</t>
  </si>
  <si>
    <t>Preisvergleich: Bug behoben bei Mehrwertsteuerberechnung</t>
  </si>
  <si>
    <t>Durchschnittlicher Zimmerpreis (Google-Recherche)</t>
  </si>
  <si>
    <t>Zielpreis (in Roomnights) über Gesamtzeit</t>
  </si>
  <si>
    <t>240124_FinanzierungDritter</t>
  </si>
  <si>
    <t>Alle Produkt außer Rechnung dritter gelöscht</t>
  </si>
  <si>
    <t>Kosten Netto</t>
  </si>
  <si>
    <t>MWST-Wert</t>
  </si>
  <si>
    <t>Beträge</t>
  </si>
  <si>
    <t xml:space="preserve">Steuervorteil </t>
  </si>
  <si>
    <t>Kostenvorteil auf Nettobetrag</t>
  </si>
  <si>
    <t>65% des durchschnittlichen Zimmerpreis</t>
  </si>
  <si>
    <t>Profit inkl. Mehrverkauf</t>
  </si>
  <si>
    <t>Splitting Frühstück pro Zimmer</t>
  </si>
  <si>
    <t xml:space="preserve">Steuerbelastung </t>
  </si>
  <si>
    <t>240226_FinanzierungDritter</t>
  </si>
  <si>
    <t>Preisvergleich Änderung der Mehrwertsteuerberechnung</t>
  </si>
  <si>
    <t>Romantik Hotel am Brühl</t>
  </si>
  <si>
    <t>via Tripz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</si>
</sst>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11">
    <numFmt numFmtId="6" formatCode="#,##0\ &quot;€&quot;;[Red]\-#,##0\ &quot;€&quot;"/>
    <numFmt numFmtId="8" formatCode="#,##0.00\ &quot;€&quot;;[Red]\-#,##0.00\ &quot;€&quot;"/>
    <numFmt numFmtId="44" formatCode="_-* #,##0.00\ &quot;€&quot;_-;\-* #,##0.00\ &quot;€&quot;_-;_-* &quot;-&quot;??\ &quot;€&quot;_-;_-@_-"/>
    <numFmt numFmtId="164" formatCode="_-* #,##0.00\ _€_-;\-* #,##0.00\ _€_-;_-* &quot;-&quot;??\ _€_-;_-@_-"/>
    <numFmt numFmtId="165" formatCode="_-* #,##0\ &quot;€&quot;_-;\-* #,##0\ &quot;€&quot;_-;_-* &quot;-&quot;??\ &quot;€&quot;_-;_-@_-"/>
    <numFmt numFmtId="166" formatCode="_-* #,##0\ _€_-;\-* #,##0\ _€_-;_-* &quot;-&quot;??\ _€_-;_-@_-"/>
    <numFmt numFmtId="167" formatCode="_-* #,##0.0\ _€_-;\-* #,##0.0\ _€_-;_-* &quot;-&quot;??\ _€_-;_-@_-"/>
    <numFmt numFmtId="168" formatCode="_-* #,##0\ [$€-407]_-;\-* #,##0\ [$€-407]_-;_-* &quot;-&quot;??\ [$€-407]_-;_-@_-"/>
    <numFmt numFmtId="169" formatCode="_-* #,##0.00\ [$€-407]_-;\-* #,##0.00\ [$€-407]_-;_-* &quot;-&quot;??\ [$€-407]_-;_-@_-"/>
    <numFmt numFmtId="170" formatCode="#,##0.00_ ;\-#,##0.00\ "/>
    <numFmt numFmtId="171" formatCode="#,##0.00\ &quot;€&quot;"/>
  </numFmts>
  <fonts count="46" x14ac:knownFonts="1"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b/>
      <sz val="11"/>
      <color theme="1"/>
      <name val="Calibri"/>
      <family val="2"/>
      <scheme val="minor"/>
    </font>
    <font>
      <b/>
      <sz val="11"/>
      <color rgb="FF3F3F3F"/>
      <name val="Calibri"/>
      <family val="2"/>
      <scheme val="minor"/>
    </font>
    <font>
      <b/>
      <sz val="11"/>
      <color theme="0"/>
      <name val="Calibri"/>
      <family val="2"/>
      <scheme val="minor"/>
    </font>
    <font>
      <sz val="10"/>
      <name val="MS Sans Serif"/>
    </font>
    <font>
      <sz val="8"/>
      <name val="Calibri"/>
      <family val="2"/>
      <scheme val="minor"/>
    </font>
    <font>
      <sz val="9"/>
      <color indexed="81"/>
      <name val="Segoe UI"/>
      <family val="2"/>
    </font>
    <font>
      <b/>
      <sz val="9"/>
      <color indexed="81"/>
      <name val="Segoe UI"/>
      <family val="2"/>
    </font>
    <font>
      <sz val="9"/>
      <color indexed="81"/>
      <name val="Tahoma"/>
      <family val="2"/>
    </font>
    <font>
      <b/>
      <sz val="9"/>
      <color indexed="81"/>
      <name val="Tahoma"/>
      <family val="2"/>
    </font>
    <font>
      <sz val="11"/>
      <name val="Calibri"/>
      <family val="2"/>
      <scheme val="minor"/>
    </font>
    <font>
      <sz val="11"/>
      <color theme="1"/>
      <name val="Avenir"/>
      <family val="2"/>
    </font>
    <font>
      <sz val="16"/>
      <name val="Avenir"/>
      <family val="2"/>
    </font>
    <font>
      <b/>
      <sz val="12"/>
      <name val="Avenir"/>
      <family val="2"/>
    </font>
    <font>
      <sz val="10"/>
      <name val="Avenir"/>
      <family val="2"/>
    </font>
    <font>
      <b/>
      <sz val="14"/>
      <name val="Avenir"/>
      <family val="2"/>
    </font>
    <font>
      <sz val="11"/>
      <color rgb="FFFF0000"/>
      <name val="Avenir"/>
      <family val="2"/>
    </font>
    <font>
      <b/>
      <sz val="16"/>
      <color theme="1"/>
      <name val="Avenir"/>
      <family val="2"/>
    </font>
    <font>
      <b/>
      <sz val="16"/>
      <color theme="0"/>
      <name val="Avenir"/>
      <family val="2"/>
    </font>
    <font>
      <sz val="11"/>
      <color theme="0"/>
      <name val="Avenir"/>
      <family val="2"/>
    </font>
    <font>
      <b/>
      <sz val="11"/>
      <color theme="0"/>
      <name val="Avenir"/>
      <family val="2"/>
    </font>
    <font>
      <b/>
      <sz val="14"/>
      <color theme="1"/>
      <name val="Avenir"/>
      <family val="2"/>
    </font>
    <font>
      <b/>
      <sz val="12"/>
      <color theme="0"/>
      <name val="Avenir"/>
      <family val="2"/>
    </font>
    <font>
      <b/>
      <sz val="14"/>
      <color theme="0"/>
      <name val="Calibri"/>
      <family val="2"/>
      <scheme val="minor"/>
    </font>
    <font>
      <b/>
      <sz val="10"/>
      <color theme="1"/>
      <name val="Avenir"/>
      <family val="2"/>
    </font>
    <font>
      <sz val="10"/>
      <color theme="1"/>
      <name val="Avenir"/>
      <family val="2"/>
    </font>
    <font>
      <b/>
      <sz val="10"/>
      <name val="Avenir"/>
      <family val="2"/>
    </font>
    <font>
      <i/>
      <sz val="10"/>
      <color theme="1"/>
      <name val="Avenir"/>
      <family val="2"/>
    </font>
    <font>
      <b/>
      <sz val="10"/>
      <color theme="0"/>
      <name val="Avenir"/>
      <family val="2"/>
    </font>
    <font>
      <sz val="10"/>
      <color theme="0"/>
      <name val="Avenir"/>
      <family val="2"/>
    </font>
    <font>
      <i/>
      <sz val="9"/>
      <color theme="1"/>
      <name val="Calibri"/>
      <family val="2"/>
      <scheme val="minor"/>
    </font>
    <font>
      <sz val="26"/>
      <color rgb="FFFF0000"/>
      <name val="Avenir"/>
      <family val="2"/>
    </font>
    <font>
      <sz val="11"/>
      <name val="Avenir"/>
      <family val="2"/>
    </font>
    <font>
      <sz val="11"/>
      <color rgb="FFFF0000"/>
      <name val="Calibri"/>
      <family val="2"/>
      <scheme val="minor"/>
    </font>
    <font>
      <b/>
      <sz val="11"/>
      <color rgb="FFFF0000"/>
      <name val="Calibri"/>
      <family val="2"/>
      <scheme val="minor"/>
    </font>
    <font>
      <sz val="12"/>
      <color rgb="FF000000"/>
      <name val="Calibri"/>
      <family val="2"/>
      <scheme val="minor"/>
    </font>
    <font>
      <b/>
      <sz val="12"/>
      <color rgb="FF000000"/>
      <name val="Calibri"/>
      <family val="2"/>
      <scheme val="minor"/>
    </font>
    <font>
      <i/>
      <sz val="12"/>
      <color rgb="FF000000"/>
      <name val="Calibri"/>
      <family val="2"/>
      <scheme val="minor"/>
    </font>
    <font>
      <i/>
      <sz val="12"/>
      <color rgb="FF375623"/>
      <name val="Calibri"/>
      <family val="2"/>
      <scheme val="minor"/>
    </font>
    <font>
      <i/>
      <sz val="12"/>
      <color rgb="FFFF0000"/>
      <name val="Calibri"/>
      <family val="2"/>
      <scheme val="minor"/>
    </font>
    <font>
      <sz val="12"/>
      <color rgb="FFA6A6A6"/>
      <name val="Calibri"/>
      <family val="2"/>
      <scheme val="minor"/>
    </font>
    <font>
      <i/>
      <sz val="10"/>
      <color rgb="FF000000"/>
      <name val="Calibri"/>
      <family val="2"/>
      <scheme val="minor"/>
    </font>
    <font>
      <sz val="11"/>
      <color theme="1"/>
      <name val="Avenir"/>
      <family val="2"/>
    </font>
    <font>
      <sz val="10"/>
      <name val="Avenir"/>
      <family val="2"/>
    </font>
    <font>
      <b/>
      <sz val="16"/>
      <color theme="3"/>
      <name val="Avenir"/>
      <family val="2"/>
    </font>
  </fonts>
  <fills count="18">
    <fill>
      <patternFill patternType="none"/>
    </fill>
    <fill>
      <patternFill patternType="gray125"/>
    </fill>
    <fill>
      <patternFill patternType="solid">
        <fgColor rgb="FFF2F2F2"/>
      </patternFill>
    </fill>
    <fill>
      <patternFill patternType="solid">
        <fgColor rgb="FFFFFFCC"/>
        <bgColor indexed="64"/>
      </patternFill>
    </fill>
    <fill>
      <patternFill patternType="solid">
        <fgColor theme="0"/>
        <bgColor indexed="64"/>
      </patternFill>
    </fill>
    <fill>
      <patternFill patternType="solid">
        <fgColor theme="8" tint="0.79998168889431442"/>
        <bgColor indexed="64"/>
      </patternFill>
    </fill>
    <fill>
      <patternFill patternType="solid">
        <fgColor theme="9" tint="0.79998168889431442"/>
        <bgColor indexed="64"/>
      </patternFill>
    </fill>
    <fill>
      <patternFill patternType="solid">
        <fgColor theme="5" tint="0.79998168889431442"/>
        <bgColor indexed="64"/>
      </patternFill>
    </fill>
    <fill>
      <patternFill patternType="solid">
        <fgColor theme="0" tint="-0.14999847407452621"/>
        <bgColor indexed="64"/>
      </patternFill>
    </fill>
    <fill>
      <patternFill patternType="solid">
        <fgColor theme="0" tint="-0.249977111117893"/>
        <bgColor indexed="64"/>
      </patternFill>
    </fill>
    <fill>
      <patternFill patternType="solid">
        <fgColor theme="2" tint="-0.499984740745262"/>
        <bgColor indexed="64"/>
      </patternFill>
    </fill>
    <fill>
      <patternFill patternType="solid">
        <fgColor theme="7" tint="0.79998168889431442"/>
        <bgColor indexed="64"/>
      </patternFill>
    </fill>
    <fill>
      <patternFill patternType="solid">
        <fgColor theme="3"/>
        <bgColor indexed="64"/>
      </patternFill>
    </fill>
    <fill>
      <patternFill patternType="solid">
        <fgColor theme="4"/>
        <bgColor indexed="64"/>
      </patternFill>
    </fill>
    <fill>
      <patternFill patternType="solid">
        <fgColor rgb="FF0070C0"/>
        <bgColor indexed="64"/>
      </patternFill>
    </fill>
    <fill>
      <patternFill patternType="solid">
        <fgColor rgb="FFE2EFDA"/>
        <bgColor rgb="FF000000"/>
      </patternFill>
    </fill>
    <fill>
      <patternFill patternType="solid">
        <fgColor rgb="FFFF0000"/>
        <bgColor indexed="64"/>
      </patternFill>
    </fill>
    <fill>
      <patternFill patternType="solid">
        <fgColor rgb="FFFFFF00"/>
        <bgColor indexed="64"/>
      </patternFill>
    </fill>
  </fills>
  <borders count="28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rgb="FF3F3F3F"/>
      </left>
      <right style="thin">
        <color rgb="FF3F3F3F"/>
      </right>
      <top style="thin">
        <color rgb="FF3F3F3F"/>
      </top>
      <bottom style="thin">
        <color rgb="FF3F3F3F"/>
      </bottom>
      <diagonal/>
    </border>
    <border>
      <left/>
      <right/>
      <top style="thin">
        <color indexed="64"/>
      </top>
      <bottom/>
      <diagonal/>
    </border>
    <border>
      <left style="thin">
        <color rgb="FF3F3F3F"/>
      </left>
      <right style="thin">
        <color rgb="FF3F3F3F"/>
      </right>
      <top style="thin">
        <color rgb="FF3F3F3F"/>
      </top>
      <bottom/>
      <diagonal/>
    </border>
    <border>
      <left style="thin">
        <color theme="0"/>
      </left>
      <right style="thin">
        <color theme="0"/>
      </right>
      <top style="thin">
        <color theme="0"/>
      </top>
      <bottom style="thin">
        <color theme="0"/>
      </bottom>
      <diagonal/>
    </border>
    <border>
      <left/>
      <right/>
      <top style="hair">
        <color theme="0" tint="-0.499984740745262"/>
      </top>
      <bottom style="hair">
        <color theme="0" tint="-0.499984740745262"/>
      </bottom>
      <diagonal/>
    </border>
    <border>
      <left/>
      <right/>
      <top style="thin">
        <color theme="0"/>
      </top>
      <bottom/>
      <diagonal/>
    </border>
    <border>
      <left style="thin">
        <color theme="0"/>
      </left>
      <right style="thin">
        <color theme="0"/>
      </right>
      <top/>
      <bottom style="thin">
        <color theme="0"/>
      </bottom>
      <diagonal/>
    </border>
    <border>
      <left/>
      <right/>
      <top/>
      <bottom style="medium">
        <color indexed="64"/>
      </bottom>
      <diagonal/>
    </border>
    <border>
      <left/>
      <right/>
      <top/>
      <bottom style="thin">
        <color indexed="64"/>
      </bottom>
      <diagonal/>
    </border>
    <border>
      <left/>
      <right/>
      <top/>
      <bottom style="hair">
        <color indexed="64"/>
      </bottom>
      <diagonal/>
    </border>
    <border>
      <left/>
      <right/>
      <top style="hair">
        <color auto="1"/>
      </top>
      <bottom style="hair">
        <color auto="1"/>
      </bottom>
      <diagonal/>
    </border>
    <border>
      <left/>
      <right/>
      <top style="hair">
        <color auto="1"/>
      </top>
      <bottom style="medium">
        <color indexed="64"/>
      </bottom>
      <diagonal/>
    </border>
    <border>
      <left style="medium">
        <color indexed="64"/>
      </left>
      <right style="thin">
        <color indexed="64"/>
      </right>
      <top style="medium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dashDotDot">
        <color indexed="64"/>
      </right>
      <top style="thin">
        <color indexed="64"/>
      </top>
      <bottom/>
      <diagonal/>
    </border>
    <border>
      <left style="medium">
        <color indexed="64"/>
      </left>
      <right style="thin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 style="medium">
        <color indexed="64"/>
      </right>
      <top style="thin">
        <color indexed="64"/>
      </top>
      <bottom/>
      <diagonal/>
    </border>
    <border>
      <left/>
      <right style="thin">
        <color indexed="64"/>
      </right>
      <top/>
      <bottom style="thin">
        <color indexed="64"/>
      </bottom>
      <diagonal/>
    </border>
    <border>
      <left/>
      <right style="thin">
        <color indexed="64"/>
      </right>
      <top/>
      <bottom/>
      <diagonal/>
    </border>
    <border>
      <left/>
      <right style="thin">
        <color indexed="64"/>
      </right>
      <top/>
      <bottom style="double">
        <color indexed="64"/>
      </bottom>
      <diagonal/>
    </border>
    <border>
      <left/>
      <right/>
      <top/>
      <bottom style="double">
        <color indexed="64"/>
      </bottom>
      <diagonal/>
    </border>
    <border>
      <left/>
      <right/>
      <top style="medium">
        <color auto="1"/>
      </top>
      <bottom style="thin">
        <color indexed="64"/>
      </bottom>
      <diagonal/>
    </border>
    <border>
      <left/>
      <right/>
      <top style="medium">
        <color auto="1"/>
      </top>
      <bottom style="hair">
        <color auto="1"/>
      </bottom>
      <diagonal/>
    </border>
  </borders>
  <cellStyleXfs count="7">
    <xf numFmtId="0" fontId="0" fillId="0" borderId="0"/>
    <xf numFmtId="44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0" fontId="3" fillId="2" borderId="2" applyNumberFormat="0" applyAlignment="0" applyProtection="0"/>
    <xf numFmtId="164" fontId="1" fillId="0" borderId="0" applyFont="0" applyFill="0" applyBorder="0" applyAlignment="0" applyProtection="0"/>
    <xf numFmtId="0" fontId="5" fillId="0" borderId="0"/>
    <xf numFmtId="44" fontId="1" fillId="0" borderId="0" applyFont="0" applyFill="0" applyBorder="0" applyAlignment="0" applyProtection="0"/>
  </cellStyleXfs>
  <cellXfs count="243">
    <xf numFmtId="0" fontId="0" fillId="0" borderId="0" xfId="0"/>
    <xf numFmtId="0" fontId="0" fillId="0" borderId="0" xfId="0" applyAlignment="1">
      <alignment vertical="top" wrapText="1"/>
    </xf>
    <xf numFmtId="44" fontId="0" fillId="0" borderId="0" xfId="1" applyFont="1"/>
    <xf numFmtId="0" fontId="0" fillId="0" borderId="1" xfId="0" applyBorder="1"/>
    <xf numFmtId="9" fontId="0" fillId="0" borderId="1" xfId="0" applyNumberFormat="1" applyBorder="1"/>
    <xf numFmtId="0" fontId="0" fillId="0" borderId="0" xfId="0" applyAlignment="1">
      <alignment wrapText="1"/>
    </xf>
    <xf numFmtId="44" fontId="0" fillId="0" borderId="0" xfId="1" applyFont="1" applyAlignment="1">
      <alignment wrapText="1"/>
    </xf>
    <xf numFmtId="1" fontId="0" fillId="0" borderId="0" xfId="0" applyNumberFormat="1"/>
    <xf numFmtId="0" fontId="2" fillId="0" borderId="1" xfId="0" applyFont="1" applyBorder="1"/>
    <xf numFmtId="0" fontId="0" fillId="5" borderId="1" xfId="0" applyFill="1" applyBorder="1" applyAlignment="1">
      <alignment vertical="center" wrapText="1"/>
    </xf>
    <xf numFmtId="0" fontId="0" fillId="5" borderId="1" xfId="0" applyFill="1" applyBorder="1" applyAlignment="1">
      <alignment vertical="top" wrapText="1"/>
    </xf>
    <xf numFmtId="44" fontId="0" fillId="5" borderId="1" xfId="1" applyFont="1" applyFill="1" applyBorder="1" applyAlignment="1">
      <alignment vertical="top" wrapText="1"/>
    </xf>
    <xf numFmtId="1" fontId="0" fillId="5" borderId="1" xfId="0" applyNumberFormat="1" applyFill="1" applyBorder="1" applyAlignment="1">
      <alignment vertical="top" wrapText="1"/>
    </xf>
    <xf numFmtId="44" fontId="0" fillId="5" borderId="1" xfId="0" applyNumberFormat="1" applyFill="1" applyBorder="1" applyAlignment="1">
      <alignment vertical="top" wrapText="1"/>
    </xf>
    <xf numFmtId="0" fontId="0" fillId="6" borderId="1" xfId="0" applyFill="1" applyBorder="1" applyAlignment="1">
      <alignment vertical="center" wrapText="1"/>
    </xf>
    <xf numFmtId="0" fontId="0" fillId="6" borderId="1" xfId="0" applyFill="1" applyBorder="1" applyAlignment="1">
      <alignment vertical="top" wrapText="1"/>
    </xf>
    <xf numFmtId="44" fontId="0" fillId="6" borderId="1" xfId="1" applyFont="1" applyFill="1" applyBorder="1" applyAlignment="1">
      <alignment vertical="top" wrapText="1"/>
    </xf>
    <xf numFmtId="1" fontId="0" fillId="6" borderId="1" xfId="0" applyNumberFormat="1" applyFill="1" applyBorder="1" applyAlignment="1">
      <alignment vertical="top" wrapText="1"/>
    </xf>
    <xf numFmtId="44" fontId="0" fillId="6" borderId="1" xfId="0" applyNumberFormat="1" applyFill="1" applyBorder="1" applyAlignment="1">
      <alignment vertical="top" wrapText="1"/>
    </xf>
    <xf numFmtId="0" fontId="0" fillId="7" borderId="1" xfId="0" applyFill="1" applyBorder="1" applyAlignment="1">
      <alignment wrapText="1"/>
    </xf>
    <xf numFmtId="0" fontId="0" fillId="7" borderId="1" xfId="0" applyFill="1" applyBorder="1" applyAlignment="1">
      <alignment vertical="top" wrapText="1"/>
    </xf>
    <xf numFmtId="44" fontId="0" fillId="7" borderId="1" xfId="1" applyFont="1" applyFill="1" applyBorder="1" applyAlignment="1">
      <alignment vertical="top" wrapText="1"/>
    </xf>
    <xf numFmtId="44" fontId="1" fillId="7" borderId="1" xfId="1" applyFont="1" applyFill="1" applyBorder="1" applyAlignment="1">
      <alignment wrapText="1"/>
    </xf>
    <xf numFmtId="1" fontId="1" fillId="7" borderId="1" xfId="1" applyNumberFormat="1" applyFont="1" applyFill="1" applyBorder="1" applyAlignment="1">
      <alignment wrapText="1"/>
    </xf>
    <xf numFmtId="44" fontId="0" fillId="7" borderId="1" xfId="0" applyNumberFormat="1" applyFill="1" applyBorder="1" applyAlignment="1">
      <alignment vertical="top" wrapText="1"/>
    </xf>
    <xf numFmtId="0" fontId="0" fillId="8" borderId="1" xfId="0" applyFill="1" applyBorder="1" applyAlignment="1">
      <alignment wrapText="1"/>
    </xf>
    <xf numFmtId="44" fontId="0" fillId="8" borderId="1" xfId="1" applyFont="1" applyFill="1" applyBorder="1" applyAlignment="1">
      <alignment vertical="top" wrapText="1"/>
    </xf>
    <xf numFmtId="44" fontId="0" fillId="8" borderId="1" xfId="1" applyFont="1" applyFill="1" applyBorder="1" applyAlignment="1">
      <alignment wrapText="1"/>
    </xf>
    <xf numFmtId="1" fontId="0" fillId="8" borderId="1" xfId="0" applyNumberFormat="1" applyFill="1" applyBorder="1" applyAlignment="1">
      <alignment wrapText="1"/>
    </xf>
    <xf numFmtId="1" fontId="0" fillId="8" borderId="1" xfId="1" applyNumberFormat="1" applyFont="1" applyFill="1" applyBorder="1" applyAlignment="1">
      <alignment wrapText="1"/>
    </xf>
    <xf numFmtId="166" fontId="0" fillId="0" borderId="0" xfId="4" applyNumberFormat="1" applyFont="1"/>
    <xf numFmtId="0" fontId="11" fillId="11" borderId="1" xfId="0" applyFont="1" applyFill="1" applyBorder="1" applyAlignment="1">
      <alignment vertical="center" wrapText="1"/>
    </xf>
    <xf numFmtId="0" fontId="11" fillId="11" borderId="1" xfId="0" applyFont="1" applyFill="1" applyBorder="1" applyAlignment="1">
      <alignment vertical="top" wrapText="1"/>
    </xf>
    <xf numFmtId="44" fontId="11" fillId="11" borderId="1" xfId="1" applyFont="1" applyFill="1" applyBorder="1" applyAlignment="1">
      <alignment vertical="top" wrapText="1"/>
    </xf>
    <xf numFmtId="1" fontId="11" fillId="11" borderId="1" xfId="0" applyNumberFormat="1" applyFont="1" applyFill="1" applyBorder="1" applyAlignment="1">
      <alignment vertical="top" wrapText="1"/>
    </xf>
    <xf numFmtId="44" fontId="11" fillId="11" borderId="1" xfId="0" applyNumberFormat="1" applyFont="1" applyFill="1" applyBorder="1" applyAlignment="1">
      <alignment vertical="top" wrapText="1"/>
    </xf>
    <xf numFmtId="165" fontId="0" fillId="5" borderId="1" xfId="1" applyNumberFormat="1" applyFont="1" applyFill="1" applyBorder="1" applyAlignment="1">
      <alignment vertical="top" wrapText="1"/>
    </xf>
    <xf numFmtId="0" fontId="12" fillId="0" borderId="0" xfId="0" applyFont="1"/>
    <xf numFmtId="0" fontId="12" fillId="0" borderId="0" xfId="0" applyFont="1" applyAlignment="1">
      <alignment horizontal="center"/>
    </xf>
    <xf numFmtId="38" fontId="12" fillId="0" borderId="0" xfId="4" applyNumberFormat="1" applyFont="1" applyAlignment="1">
      <alignment horizontal="center"/>
    </xf>
    <xf numFmtId="166" fontId="12" fillId="0" borderId="0" xfId="4" applyNumberFormat="1" applyFont="1" applyAlignment="1">
      <alignment horizontal="left"/>
    </xf>
    <xf numFmtId="0" fontId="13" fillId="0" borderId="0" xfId="5" applyFont="1"/>
    <xf numFmtId="166" fontId="13" fillId="0" borderId="0" xfId="4" applyNumberFormat="1" applyFont="1" applyAlignment="1">
      <alignment horizontal="left"/>
    </xf>
    <xf numFmtId="0" fontId="14" fillId="0" borderId="0" xfId="5" applyFont="1" applyAlignment="1">
      <alignment horizontal="left"/>
    </xf>
    <xf numFmtId="0" fontId="15" fillId="0" borderId="0" xfId="5" applyFont="1"/>
    <xf numFmtId="0" fontId="15" fillId="0" borderId="0" xfId="5" applyFont="1" applyAlignment="1">
      <alignment horizontal="center"/>
    </xf>
    <xf numFmtId="166" fontId="15" fillId="0" borderId="0" xfId="4" applyNumberFormat="1" applyFont="1" applyAlignment="1">
      <alignment horizontal="left"/>
    </xf>
    <xf numFmtId="0" fontId="16" fillId="0" borderId="0" xfId="5" applyFont="1"/>
    <xf numFmtId="0" fontId="12" fillId="0" borderId="1" xfId="0" applyFont="1" applyBorder="1" applyAlignment="1">
      <alignment vertical="top" wrapText="1"/>
    </xf>
    <xf numFmtId="0" fontId="12" fillId="3" borderId="1" xfId="0" applyFont="1" applyFill="1" applyBorder="1" applyAlignment="1" applyProtection="1">
      <alignment vertical="top" wrapText="1"/>
      <protection locked="0"/>
    </xf>
    <xf numFmtId="166" fontId="12" fillId="0" borderId="0" xfId="4" applyNumberFormat="1" applyFont="1" applyBorder="1" applyAlignment="1">
      <alignment horizontal="left" vertical="top" wrapText="1"/>
    </xf>
    <xf numFmtId="166" fontId="12" fillId="0" borderId="0" xfId="4" applyNumberFormat="1" applyFont="1" applyAlignment="1">
      <alignment horizontal="left" vertical="top" wrapText="1"/>
    </xf>
    <xf numFmtId="0" fontId="12" fillId="0" borderId="0" xfId="0" applyFont="1" applyAlignment="1">
      <alignment vertical="center"/>
    </xf>
    <xf numFmtId="165" fontId="17" fillId="4" borderId="0" xfId="1" applyNumberFormat="1" applyFont="1" applyFill="1" applyBorder="1"/>
    <xf numFmtId="9" fontId="12" fillId="3" borderId="1" xfId="0" applyNumberFormat="1" applyFont="1" applyFill="1" applyBorder="1" applyAlignment="1" applyProtection="1">
      <alignment vertical="top" wrapText="1"/>
      <protection locked="0"/>
    </xf>
    <xf numFmtId="9" fontId="12" fillId="0" borderId="0" xfId="0" applyNumberFormat="1" applyFont="1" applyAlignment="1">
      <alignment vertical="top" wrapText="1"/>
    </xf>
    <xf numFmtId="44" fontId="12" fillId="4" borderId="0" xfId="1" applyFont="1" applyFill="1" applyBorder="1"/>
    <xf numFmtId="165" fontId="12" fillId="4" borderId="0" xfId="1" applyNumberFormat="1" applyFont="1" applyFill="1" applyBorder="1"/>
    <xf numFmtId="166" fontId="12" fillId="0" borderId="1" xfId="4" applyNumberFormat="1" applyFont="1" applyBorder="1" applyAlignment="1" applyProtection="1">
      <alignment vertical="top" wrapText="1"/>
      <protection locked="0"/>
    </xf>
    <xf numFmtId="166" fontId="12" fillId="0" borderId="1" xfId="4" applyNumberFormat="1" applyFont="1" applyBorder="1" applyAlignment="1">
      <alignment vertical="top" wrapText="1"/>
    </xf>
    <xf numFmtId="0" fontId="12" fillId="0" borderId="0" xfId="0" applyFont="1" applyAlignment="1">
      <alignment vertical="top" wrapText="1"/>
    </xf>
    <xf numFmtId="0" fontId="12" fillId="0" borderId="0" xfId="0" applyFont="1" applyAlignment="1">
      <alignment horizontal="center" vertical="top" wrapText="1"/>
    </xf>
    <xf numFmtId="0" fontId="18" fillId="9" borderId="5" xfId="0" applyFont="1" applyFill="1" applyBorder="1" applyAlignment="1">
      <alignment horizontal="centerContinuous" vertical="top"/>
    </xf>
    <xf numFmtId="0" fontId="12" fillId="9" borderId="5" xfId="0" applyFont="1" applyFill="1" applyBorder="1" applyAlignment="1">
      <alignment horizontal="centerContinuous" vertical="top" wrapText="1"/>
    </xf>
    <xf numFmtId="9" fontId="12" fillId="9" borderId="5" xfId="0" applyNumberFormat="1" applyFont="1" applyFill="1" applyBorder="1" applyAlignment="1">
      <alignment horizontal="centerContinuous" vertical="top" wrapText="1"/>
    </xf>
    <xf numFmtId="166" fontId="12" fillId="9" borderId="5" xfId="4" applyNumberFormat="1" applyFont="1" applyFill="1" applyBorder="1" applyAlignment="1">
      <alignment horizontal="centerContinuous" vertical="top" wrapText="1"/>
    </xf>
    <xf numFmtId="166" fontId="20" fillId="10" borderId="5" xfId="4" applyNumberFormat="1" applyFont="1" applyFill="1" applyBorder="1" applyAlignment="1">
      <alignment horizontal="centerContinuous" vertical="top" wrapText="1"/>
    </xf>
    <xf numFmtId="166" fontId="19" fillId="10" borderId="5" xfId="4" applyNumberFormat="1" applyFont="1" applyFill="1" applyBorder="1" applyAlignment="1">
      <alignment horizontal="centerContinuous" vertical="center" wrapText="1"/>
    </xf>
    <xf numFmtId="166" fontId="20" fillId="10" borderId="5" xfId="4" applyNumberFormat="1" applyFont="1" applyFill="1" applyBorder="1" applyAlignment="1">
      <alignment horizontal="centerContinuous" vertical="center" wrapText="1"/>
    </xf>
    <xf numFmtId="0" fontId="20" fillId="4" borderId="0" xfId="0" applyFont="1" applyFill="1" applyAlignment="1">
      <alignment horizontal="center"/>
    </xf>
    <xf numFmtId="0" fontId="20" fillId="4" borderId="0" xfId="0" applyFont="1" applyFill="1" applyAlignment="1">
      <alignment horizontal="center" vertical="center"/>
    </xf>
    <xf numFmtId="0" fontId="21" fillId="4" borderId="7" xfId="0" applyFont="1" applyFill="1" applyBorder="1" applyAlignment="1">
      <alignment horizontal="center" vertical="center"/>
    </xf>
    <xf numFmtId="0" fontId="21" fillId="4" borderId="7" xfId="0" applyFont="1" applyFill="1" applyBorder="1" applyAlignment="1">
      <alignment horizontal="center" vertical="center" wrapText="1"/>
    </xf>
    <xf numFmtId="166" fontId="21" fillId="4" borderId="7" xfId="4" applyNumberFormat="1" applyFont="1" applyFill="1" applyBorder="1" applyAlignment="1">
      <alignment horizontal="center" vertical="center" wrapText="1"/>
    </xf>
    <xf numFmtId="166" fontId="21" fillId="4" borderId="0" xfId="4" applyNumberFormat="1" applyFont="1" applyFill="1" applyBorder="1" applyAlignment="1">
      <alignment horizontal="center" vertical="center" wrapText="1"/>
    </xf>
    <xf numFmtId="0" fontId="12" fillId="0" borderId="6" xfId="0" applyFont="1" applyBorder="1" applyAlignment="1">
      <alignment vertical="top" wrapText="1"/>
    </xf>
    <xf numFmtId="0" fontId="12" fillId="0" borderId="6" xfId="0" applyFont="1" applyBorder="1" applyAlignment="1">
      <alignment vertical="center"/>
    </xf>
    <xf numFmtId="166" fontId="12" fillId="0" borderId="6" xfId="4" applyNumberFormat="1" applyFont="1" applyBorder="1" applyAlignment="1">
      <alignment horizontal="left" vertical="top" wrapText="1"/>
    </xf>
    <xf numFmtId="9" fontId="12" fillId="0" borderId="6" xfId="2" applyFont="1" applyBorder="1" applyAlignment="1">
      <alignment vertical="top" wrapText="1"/>
    </xf>
    <xf numFmtId="166" fontId="12" fillId="0" borderId="6" xfId="4" applyNumberFormat="1" applyFont="1" applyBorder="1" applyAlignment="1">
      <alignment vertical="top" wrapText="1"/>
    </xf>
    <xf numFmtId="167" fontId="12" fillId="0" borderId="6" xfId="4" applyNumberFormat="1" applyFont="1" applyBorder="1" applyAlignment="1">
      <alignment vertical="top" wrapText="1"/>
    </xf>
    <xf numFmtId="0" fontId="12" fillId="4" borderId="0" xfId="0" applyFont="1" applyFill="1"/>
    <xf numFmtId="0" fontId="12" fillId="4" borderId="0" xfId="0" applyFont="1" applyFill="1" applyAlignment="1">
      <alignment vertical="center"/>
    </xf>
    <xf numFmtId="0" fontId="12" fillId="4" borderId="0" xfId="0" applyFont="1" applyFill="1" applyAlignment="1">
      <alignment horizontal="center" vertical="center"/>
    </xf>
    <xf numFmtId="0" fontId="12" fillId="4" borderId="0" xfId="0" applyFont="1" applyFill="1" applyAlignment="1">
      <alignment vertical="top" wrapText="1"/>
    </xf>
    <xf numFmtId="166" fontId="12" fillId="4" borderId="0" xfId="4" applyNumberFormat="1" applyFont="1" applyFill="1" applyAlignment="1">
      <alignment horizontal="left" vertical="top" wrapText="1"/>
    </xf>
    <xf numFmtId="9" fontId="12" fillId="4" borderId="0" xfId="2" applyFont="1" applyFill="1" applyAlignment="1">
      <alignment vertical="top" wrapText="1"/>
    </xf>
    <xf numFmtId="0" fontId="22" fillId="0" borderId="3" xfId="0" applyFont="1" applyBorder="1"/>
    <xf numFmtId="1" fontId="22" fillId="0" borderId="3" xfId="4" applyNumberFormat="1" applyFont="1" applyBorder="1" applyAlignment="1">
      <alignment horizontal="center"/>
    </xf>
    <xf numFmtId="166" fontId="22" fillId="0" borderId="3" xfId="4" applyNumberFormat="1" applyFont="1" applyBorder="1"/>
    <xf numFmtId="9" fontId="22" fillId="0" borderId="3" xfId="2" applyFont="1" applyBorder="1"/>
    <xf numFmtId="167" fontId="22" fillId="0" borderId="3" xfId="4" applyNumberFormat="1" applyFont="1" applyBorder="1"/>
    <xf numFmtId="0" fontId="22" fillId="0" borderId="0" xfId="0" applyFont="1"/>
    <xf numFmtId="0" fontId="12" fillId="0" borderId="8" xfId="0" applyFont="1" applyBorder="1" applyAlignment="1">
      <alignment vertical="top" wrapText="1"/>
    </xf>
    <xf numFmtId="0" fontId="24" fillId="12" borderId="0" xfId="0" applyFont="1" applyFill="1" applyAlignment="1">
      <alignment vertical="center"/>
    </xf>
    <xf numFmtId="1" fontId="24" fillId="12" borderId="0" xfId="0" applyNumberFormat="1" applyFont="1" applyFill="1" applyAlignment="1">
      <alignment vertical="center"/>
    </xf>
    <xf numFmtId="0" fontId="25" fillId="0" borderId="0" xfId="0" applyFont="1"/>
    <xf numFmtId="0" fontId="26" fillId="0" borderId="0" xfId="0" applyFont="1"/>
    <xf numFmtId="0" fontId="15" fillId="0" borderId="0" xfId="0" applyFont="1"/>
    <xf numFmtId="0" fontId="15" fillId="0" borderId="9" xfId="0" applyFont="1" applyBorder="1"/>
    <xf numFmtId="0" fontId="27" fillId="0" borderId="0" xfId="0" applyFont="1"/>
    <xf numFmtId="0" fontId="28" fillId="0" borderId="0" xfId="0" applyFont="1"/>
    <xf numFmtId="0" fontId="29" fillId="12" borderId="0" xfId="0" applyFont="1" applyFill="1"/>
    <xf numFmtId="0" fontId="25" fillId="0" borderId="1" xfId="0" applyFont="1" applyBorder="1"/>
    <xf numFmtId="0" fontId="26" fillId="3" borderId="1" xfId="0" applyFont="1" applyFill="1" applyBorder="1"/>
    <xf numFmtId="0" fontId="15" fillId="0" borderId="10" xfId="0" applyFont="1" applyBorder="1"/>
    <xf numFmtId="0" fontId="15" fillId="0" borderId="12" xfId="0" applyFont="1" applyBorder="1"/>
    <xf numFmtId="0" fontId="26" fillId="0" borderId="11" xfId="0" applyFont="1" applyBorder="1"/>
    <xf numFmtId="0" fontId="26" fillId="0" borderId="12" xfId="0" applyFont="1" applyBorder="1"/>
    <xf numFmtId="0" fontId="29" fillId="13" borderId="0" xfId="0" applyFont="1" applyFill="1"/>
    <xf numFmtId="0" fontId="21" fillId="13" borderId="5" xfId="0" applyFont="1" applyFill="1" applyBorder="1" applyAlignment="1">
      <alignment horizontal="center" vertical="center"/>
    </xf>
    <xf numFmtId="0" fontId="21" fillId="13" borderId="5" xfId="0" applyFont="1" applyFill="1" applyBorder="1" applyAlignment="1">
      <alignment horizontal="center" vertical="center" wrapText="1"/>
    </xf>
    <xf numFmtId="166" fontId="21" fillId="13" borderId="5" xfId="4" applyNumberFormat="1" applyFont="1" applyFill="1" applyBorder="1" applyAlignment="1">
      <alignment horizontal="center" vertical="center" wrapText="1"/>
    </xf>
    <xf numFmtId="0" fontId="4" fillId="13" borderId="4" xfId="3" applyFont="1" applyFill="1" applyBorder="1" applyAlignment="1">
      <alignment vertical="top" wrapText="1"/>
    </xf>
    <xf numFmtId="1" fontId="4" fillId="13" borderId="4" xfId="3" applyNumberFormat="1" applyFont="1" applyFill="1" applyBorder="1" applyAlignment="1">
      <alignment vertical="top" wrapText="1"/>
    </xf>
    <xf numFmtId="0" fontId="26" fillId="0" borderId="13" xfId="0" applyFont="1" applyBorder="1"/>
    <xf numFmtId="0" fontId="2" fillId="0" borderId="0" xfId="0" applyFont="1"/>
    <xf numFmtId="0" fontId="0" fillId="0" borderId="0" xfId="0" applyAlignment="1">
      <alignment horizontal="left" indent="1"/>
    </xf>
    <xf numFmtId="0" fontId="0" fillId="12" borderId="0" xfId="0" applyFill="1"/>
    <xf numFmtId="166" fontId="20" fillId="4" borderId="5" xfId="4" applyNumberFormat="1" applyFont="1" applyFill="1" applyBorder="1" applyAlignment="1">
      <alignment horizontal="centerContinuous" vertical="center" wrapText="1"/>
    </xf>
    <xf numFmtId="44" fontId="0" fillId="0" borderId="1" xfId="1" applyFont="1" applyFill="1" applyBorder="1"/>
    <xf numFmtId="44" fontId="0" fillId="0" borderId="1" xfId="1" applyFont="1" applyBorder="1"/>
    <xf numFmtId="0" fontId="0" fillId="12" borderId="0" xfId="0" applyFill="1" applyAlignment="1">
      <alignment horizontal="center"/>
    </xf>
    <xf numFmtId="169" fontId="0" fillId="12" borderId="0" xfId="0" applyNumberFormat="1" applyFill="1" applyAlignment="1">
      <alignment horizontal="center"/>
    </xf>
    <xf numFmtId="0" fontId="2" fillId="0" borderId="0" xfId="0" applyFont="1" applyAlignment="1">
      <alignment horizontal="center"/>
    </xf>
    <xf numFmtId="169" fontId="2" fillId="0" borderId="0" xfId="0" applyNumberFormat="1" applyFont="1" applyAlignment="1">
      <alignment horizontal="center"/>
    </xf>
    <xf numFmtId="169" fontId="0" fillId="0" borderId="0" xfId="0" applyNumberFormat="1" applyAlignment="1">
      <alignment horizontal="center"/>
    </xf>
    <xf numFmtId="0" fontId="0" fillId="0" borderId="0" xfId="0" applyAlignment="1">
      <alignment horizontal="center"/>
    </xf>
    <xf numFmtId="8" fontId="0" fillId="0" borderId="0" xfId="0" applyNumberFormat="1" applyAlignment="1">
      <alignment horizontal="center"/>
    </xf>
    <xf numFmtId="8" fontId="2" fillId="0" borderId="0" xfId="0" applyNumberFormat="1" applyFont="1" applyAlignment="1">
      <alignment horizontal="center"/>
    </xf>
    <xf numFmtId="8" fontId="0" fillId="0" borderId="0" xfId="0" applyNumberFormat="1"/>
    <xf numFmtId="8" fontId="0" fillId="0" borderId="0" xfId="0" applyNumberFormat="1" applyAlignment="1">
      <alignment horizontal="left"/>
    </xf>
    <xf numFmtId="8" fontId="31" fillId="0" borderId="0" xfId="0" applyNumberFormat="1" applyFont="1" applyAlignment="1">
      <alignment horizontal="center"/>
    </xf>
    <xf numFmtId="44" fontId="0" fillId="0" borderId="0" xfId="0" applyNumberFormat="1" applyAlignment="1">
      <alignment horizontal="center"/>
    </xf>
    <xf numFmtId="8" fontId="2" fillId="0" borderId="0" xfId="0" applyNumberFormat="1" applyFont="1"/>
    <xf numFmtId="9" fontId="0" fillId="3" borderId="0" xfId="0" applyNumberFormat="1" applyFill="1"/>
    <xf numFmtId="165" fontId="24" fillId="12" borderId="0" xfId="1" applyNumberFormat="1" applyFont="1" applyFill="1" applyAlignment="1">
      <alignment vertical="center"/>
    </xf>
    <xf numFmtId="165" fontId="0" fillId="0" borderId="0" xfId="1" applyNumberFormat="1" applyFont="1"/>
    <xf numFmtId="165" fontId="0" fillId="0" borderId="0" xfId="1" applyNumberFormat="1" applyFont="1" applyAlignment="1">
      <alignment vertical="top" wrapText="1"/>
    </xf>
    <xf numFmtId="165" fontId="2" fillId="0" borderId="0" xfId="1" applyNumberFormat="1" applyFont="1" applyAlignment="1">
      <alignment wrapText="1"/>
    </xf>
    <xf numFmtId="165" fontId="2" fillId="0" borderId="0" xfId="1" applyNumberFormat="1" applyFont="1" applyAlignment="1">
      <alignment vertical="top" wrapText="1"/>
    </xf>
    <xf numFmtId="165" fontId="0" fillId="0" borderId="0" xfId="1" applyNumberFormat="1" applyFont="1" applyAlignment="1">
      <alignment wrapText="1"/>
    </xf>
    <xf numFmtId="9" fontId="2" fillId="0" borderId="0" xfId="2" applyFont="1" applyAlignment="1">
      <alignment wrapText="1"/>
    </xf>
    <xf numFmtId="14" fontId="12" fillId="3" borderId="1" xfId="0" applyNumberFormat="1" applyFont="1" applyFill="1" applyBorder="1" applyAlignment="1" applyProtection="1">
      <alignment vertical="top" wrapText="1"/>
      <protection locked="0"/>
    </xf>
    <xf numFmtId="0" fontId="32" fillId="0" borderId="0" xfId="5" applyFont="1" applyAlignment="1">
      <alignment horizontal="center"/>
    </xf>
    <xf numFmtId="0" fontId="23" fillId="4" borderId="0" xfId="0" applyFont="1" applyFill="1" applyAlignment="1">
      <alignment vertical="top" wrapText="1"/>
    </xf>
    <xf numFmtId="168" fontId="23" fillId="4" borderId="0" xfId="4" applyNumberFormat="1" applyFont="1" applyFill="1" applyBorder="1" applyAlignment="1">
      <alignment horizontal="left"/>
    </xf>
    <xf numFmtId="44" fontId="11" fillId="8" borderId="1" xfId="0" applyNumberFormat="1" applyFont="1" applyFill="1" applyBorder="1" applyAlignment="1">
      <alignment vertical="top" wrapText="1"/>
    </xf>
    <xf numFmtId="1" fontId="11" fillId="8" borderId="1" xfId="0" applyNumberFormat="1" applyFont="1" applyFill="1" applyBorder="1" applyAlignment="1">
      <alignment vertical="top" wrapText="1"/>
    </xf>
    <xf numFmtId="44" fontId="11" fillId="8" borderId="1" xfId="1" applyFont="1" applyFill="1" applyBorder="1" applyAlignment="1">
      <alignment vertical="top" wrapText="1"/>
    </xf>
    <xf numFmtId="0" fontId="33" fillId="3" borderId="1" xfId="0" applyFont="1" applyFill="1" applyBorder="1" applyAlignment="1">
      <alignment vertical="top" wrapText="1"/>
    </xf>
    <xf numFmtId="0" fontId="12" fillId="0" borderId="14" xfId="0" applyFont="1" applyBorder="1" applyAlignment="1">
      <alignment horizontal="left" vertical="top" wrapText="1"/>
    </xf>
    <xf numFmtId="0" fontId="12" fillId="0" borderId="15" xfId="0" applyFont="1" applyBorder="1" applyAlignment="1">
      <alignment horizontal="left" vertical="top" wrapText="1"/>
    </xf>
    <xf numFmtId="44" fontId="12" fillId="4" borderId="16" xfId="1" applyFont="1" applyFill="1" applyBorder="1" applyProtection="1"/>
    <xf numFmtId="0" fontId="12" fillId="0" borderId="15" xfId="0" applyFont="1" applyBorder="1" applyAlignment="1">
      <alignment horizontal="left" wrapText="1"/>
    </xf>
    <xf numFmtId="0" fontId="12" fillId="0" borderId="18" xfId="0" applyFont="1" applyBorder="1" applyAlignment="1">
      <alignment horizontal="left" vertical="top" wrapText="1"/>
    </xf>
    <xf numFmtId="0" fontId="12" fillId="0" borderId="20" xfId="0" applyFont="1" applyBorder="1" applyAlignment="1">
      <alignment vertical="top" wrapText="1"/>
    </xf>
    <xf numFmtId="9" fontId="12" fillId="4" borderId="21" xfId="0" applyNumberFormat="1" applyFont="1" applyFill="1" applyBorder="1" applyAlignment="1" applyProtection="1">
      <alignment vertical="top" wrapText="1"/>
      <protection locked="0"/>
    </xf>
    <xf numFmtId="1" fontId="12" fillId="3" borderId="1" xfId="0" applyNumberFormat="1" applyFont="1" applyFill="1" applyBorder="1" applyAlignment="1" applyProtection="1">
      <alignment vertical="top" wrapText="1"/>
      <protection locked="0"/>
    </xf>
    <xf numFmtId="1" fontId="12" fillId="3" borderId="6" xfId="0" applyNumberFormat="1" applyFont="1" applyFill="1" applyBorder="1" applyAlignment="1" applyProtection="1">
      <alignment horizontal="center" vertical="center"/>
      <protection locked="0"/>
    </xf>
    <xf numFmtId="44" fontId="0" fillId="7" borderId="1" xfId="0" applyNumberFormat="1" applyFill="1" applyBorder="1" applyAlignment="1">
      <alignment wrapText="1"/>
    </xf>
    <xf numFmtId="44" fontId="12" fillId="0" borderId="0" xfId="2" applyNumberFormat="1" applyFont="1"/>
    <xf numFmtId="166" fontId="26" fillId="0" borderId="0" xfId="0" applyNumberFormat="1" applyFont="1"/>
    <xf numFmtId="44" fontId="34" fillId="6" borderId="1" xfId="1" applyFont="1" applyFill="1" applyBorder="1" applyAlignment="1">
      <alignment vertical="top" wrapText="1"/>
    </xf>
    <xf numFmtId="44" fontId="34" fillId="5" borderId="1" xfId="1" applyFont="1" applyFill="1" applyBorder="1" applyAlignment="1">
      <alignment vertical="top" wrapText="1"/>
    </xf>
    <xf numFmtId="44" fontId="0" fillId="0" borderId="0" xfId="0" applyNumberFormat="1"/>
    <xf numFmtId="0" fontId="17" fillId="0" borderId="0" xfId="0" applyFont="1"/>
    <xf numFmtId="0" fontId="20" fillId="14" borderId="20" xfId="0" applyFont="1" applyFill="1" applyBorder="1" applyAlignment="1">
      <alignment vertical="top" wrapText="1"/>
    </xf>
    <xf numFmtId="44" fontId="12" fillId="0" borderId="16" xfId="1" applyFont="1" applyBorder="1" applyProtection="1"/>
    <xf numFmtId="44" fontId="34" fillId="7" borderId="1" xfId="1" applyFont="1" applyFill="1" applyBorder="1" applyAlignment="1">
      <alignment wrapText="1"/>
    </xf>
    <xf numFmtId="44" fontId="34" fillId="7" borderId="1" xfId="0" applyNumberFormat="1" applyFont="1" applyFill="1" applyBorder="1" applyAlignment="1">
      <alignment wrapText="1"/>
    </xf>
    <xf numFmtId="44" fontId="0" fillId="7" borderId="1" xfId="1" applyFont="1" applyFill="1" applyBorder="1" applyAlignment="1">
      <alignment wrapText="1"/>
    </xf>
    <xf numFmtId="44" fontId="35" fillId="0" borderId="0" xfId="1" applyFont="1" applyAlignment="1">
      <alignment wrapText="1"/>
    </xf>
    <xf numFmtId="0" fontId="36" fillId="0" borderId="23" xfId="0" applyFont="1" applyBorder="1" applyAlignment="1">
      <alignment horizontal="left" vertical="center"/>
    </xf>
    <xf numFmtId="0" fontId="37" fillId="0" borderId="0" xfId="0" applyFont="1" applyAlignment="1">
      <alignment horizontal="center" vertical="center" wrapText="1"/>
    </xf>
    <xf numFmtId="0" fontId="37" fillId="15" borderId="0" xfId="0" applyFont="1" applyFill="1" applyAlignment="1">
      <alignment horizontal="center" vertical="center" wrapText="1"/>
    </xf>
    <xf numFmtId="0" fontId="36" fillId="0" borderId="0" xfId="0" applyFont="1"/>
    <xf numFmtId="0" fontId="36" fillId="0" borderId="22" xfId="0" applyFont="1" applyBorder="1" applyAlignment="1">
      <alignment vertical="center"/>
    </xf>
    <xf numFmtId="0" fontId="38" fillId="0" borderId="10" xfId="0" applyFont="1" applyBorder="1" applyAlignment="1">
      <alignment horizontal="center" vertical="center" wrapText="1"/>
    </xf>
    <xf numFmtId="0" fontId="39" fillId="15" borderId="10" xfId="0" applyFont="1" applyFill="1" applyBorder="1" applyAlignment="1">
      <alignment horizontal="center" vertical="center" wrapText="1"/>
    </xf>
    <xf numFmtId="0" fontId="40" fillId="15" borderId="10" xfId="0" applyFont="1" applyFill="1" applyBorder="1" applyAlignment="1">
      <alignment horizontal="center" vertical="center" wrapText="1"/>
    </xf>
    <xf numFmtId="0" fontId="36" fillId="0" borderId="23" xfId="0" applyFont="1" applyBorder="1"/>
    <xf numFmtId="0" fontId="38" fillId="0" borderId="0" xfId="0" applyFont="1" applyAlignment="1">
      <alignment horizontal="right" vertical="center" wrapText="1"/>
    </xf>
    <xf numFmtId="0" fontId="38" fillId="15" borderId="0" xfId="0" applyFont="1" applyFill="1" applyAlignment="1">
      <alignment horizontal="right" vertical="center" wrapText="1"/>
    </xf>
    <xf numFmtId="6" fontId="36" fillId="0" borderId="0" xfId="0" applyNumberFormat="1" applyFont="1" applyAlignment="1">
      <alignment wrapText="1"/>
    </xf>
    <xf numFmtId="6" fontId="36" fillId="15" borderId="0" xfId="0" applyNumberFormat="1" applyFont="1" applyFill="1" applyAlignment="1">
      <alignment wrapText="1"/>
    </xf>
    <xf numFmtId="0" fontId="36" fillId="0" borderId="0" xfId="0" applyFont="1" applyAlignment="1">
      <alignment wrapText="1"/>
    </xf>
    <xf numFmtId="0" fontId="36" fillId="15" borderId="0" xfId="0" applyFont="1" applyFill="1" applyAlignment="1">
      <alignment wrapText="1"/>
    </xf>
    <xf numFmtId="0" fontId="36" fillId="15" borderId="0" xfId="0" applyFont="1" applyFill="1"/>
    <xf numFmtId="0" fontId="38" fillId="0" borderId="0" xfId="0" applyFont="1"/>
    <xf numFmtId="8" fontId="36" fillId="0" borderId="0" xfId="0" applyNumberFormat="1" applyFont="1" applyAlignment="1">
      <alignment wrapText="1"/>
    </xf>
    <xf numFmtId="8" fontId="36" fillId="15" borderId="0" xfId="0" applyNumberFormat="1" applyFont="1" applyFill="1" applyAlignment="1">
      <alignment wrapText="1"/>
    </xf>
    <xf numFmtId="8" fontId="36" fillId="0" borderId="0" xfId="0" applyNumberFormat="1" applyFont="1"/>
    <xf numFmtId="8" fontId="36" fillId="15" borderId="0" xfId="0" applyNumberFormat="1" applyFont="1" applyFill="1"/>
    <xf numFmtId="0" fontId="41" fillId="0" borderId="23" xfId="0" applyFont="1" applyBorder="1"/>
    <xf numFmtId="8" fontId="41" fillId="0" borderId="0" xfId="0" applyNumberFormat="1" applyFont="1" applyAlignment="1">
      <alignment wrapText="1"/>
    </xf>
    <xf numFmtId="8" fontId="41" fillId="15" borderId="0" xfId="0" applyNumberFormat="1" applyFont="1" applyFill="1" applyAlignment="1">
      <alignment wrapText="1"/>
    </xf>
    <xf numFmtId="8" fontId="41" fillId="0" borderId="0" xfId="0" applyNumberFormat="1" applyFont="1"/>
    <xf numFmtId="8" fontId="41" fillId="15" borderId="0" xfId="0" applyNumberFormat="1" applyFont="1" applyFill="1"/>
    <xf numFmtId="0" fontId="36" fillId="0" borderId="24" xfId="0" applyFont="1" applyBorder="1"/>
    <xf numFmtId="8" fontId="36" fillId="0" borderId="25" xfId="0" applyNumberFormat="1" applyFont="1" applyBorder="1" applyAlignment="1">
      <alignment wrapText="1"/>
    </xf>
    <xf numFmtId="8" fontId="36" fillId="15" borderId="25" xfId="0" applyNumberFormat="1" applyFont="1" applyFill="1" applyBorder="1" applyAlignment="1">
      <alignment wrapText="1"/>
    </xf>
    <xf numFmtId="8" fontId="36" fillId="0" borderId="25" xfId="0" applyNumberFormat="1" applyFont="1" applyBorder="1"/>
    <xf numFmtId="0" fontId="37" fillId="0" borderId="23" xfId="0" applyFont="1" applyBorder="1"/>
    <xf numFmtId="8" fontId="37" fillId="0" borderId="0" xfId="0" applyNumberFormat="1" applyFont="1" applyAlignment="1">
      <alignment wrapText="1"/>
    </xf>
    <xf numFmtId="8" fontId="37" fillId="15" borderId="0" xfId="0" applyNumberFormat="1" applyFont="1" applyFill="1" applyAlignment="1">
      <alignment wrapText="1"/>
    </xf>
    <xf numFmtId="8" fontId="37" fillId="0" borderId="0" xfId="0" applyNumberFormat="1" applyFont="1"/>
    <xf numFmtId="0" fontId="42" fillId="0" borderId="23" xfId="0" applyFont="1" applyBorder="1"/>
    <xf numFmtId="9" fontId="12" fillId="0" borderId="0" xfId="2" applyFont="1" applyAlignment="1">
      <alignment horizontal="left"/>
    </xf>
    <xf numFmtId="44" fontId="12" fillId="0" borderId="0" xfId="1" applyFont="1" applyBorder="1" applyAlignment="1">
      <alignment horizontal="left" vertical="top" wrapText="1"/>
    </xf>
    <xf numFmtId="164" fontId="20" fillId="16" borderId="0" xfId="0" applyNumberFormat="1" applyFont="1" applyFill="1"/>
    <xf numFmtId="0" fontId="43" fillId="0" borderId="6" xfId="0" applyFont="1" applyBorder="1" applyAlignment="1">
      <alignment vertical="top" wrapText="1"/>
    </xf>
    <xf numFmtId="0" fontId="15" fillId="0" borderId="26" xfId="0" applyFont="1" applyBorder="1"/>
    <xf numFmtId="170" fontId="0" fillId="7" borderId="1" xfId="1" applyNumberFormat="1" applyFont="1" applyFill="1" applyBorder="1" applyAlignment="1">
      <alignment vertical="top" wrapText="1"/>
    </xf>
    <xf numFmtId="0" fontId="2" fillId="17" borderId="1" xfId="0" applyFont="1" applyFill="1" applyBorder="1"/>
    <xf numFmtId="0" fontId="1" fillId="7" borderId="1" xfId="1" applyNumberFormat="1" applyFont="1" applyFill="1" applyBorder="1" applyAlignment="1">
      <alignment wrapText="1"/>
    </xf>
    <xf numFmtId="8" fontId="0" fillId="5" borderId="1" xfId="1" applyNumberFormat="1" applyFont="1" applyFill="1" applyBorder="1" applyAlignment="1">
      <alignment vertical="top" wrapText="1"/>
    </xf>
    <xf numFmtId="0" fontId="43" fillId="0" borderId="0" xfId="0" applyFont="1"/>
    <xf numFmtId="0" fontId="44" fillId="0" borderId="0" xfId="5" applyFont="1"/>
    <xf numFmtId="166" fontId="43" fillId="0" borderId="0" xfId="4" applyNumberFormat="1" applyFont="1" applyAlignment="1">
      <alignment horizontal="left"/>
    </xf>
    <xf numFmtId="44" fontId="0" fillId="0" borderId="23" xfId="1" applyFont="1" applyBorder="1"/>
    <xf numFmtId="44" fontId="12" fillId="0" borderId="0" xfId="0" applyNumberFormat="1" applyFont="1"/>
    <xf numFmtId="0" fontId="12" fillId="0" borderId="0" xfId="0" applyFont="1" applyAlignment="1">
      <alignment horizontal="left" vertical="top" wrapText="1"/>
    </xf>
    <xf numFmtId="9" fontId="26" fillId="3" borderId="1" xfId="2" applyFont="1" applyFill="1" applyBorder="1"/>
    <xf numFmtId="0" fontId="45" fillId="0" borderId="0" xfId="5" applyFont="1" applyAlignment="1">
      <alignment horizontal="left" vertical="center"/>
    </xf>
    <xf numFmtId="164" fontId="26" fillId="3" borderId="1" xfId="0" applyNumberFormat="1" applyFont="1" applyFill="1" applyBorder="1"/>
    <xf numFmtId="164" fontId="25" fillId="0" borderId="1" xfId="0" applyNumberFormat="1" applyFont="1" applyBorder="1"/>
    <xf numFmtId="164" fontId="26" fillId="0" borderId="0" xfId="0" applyNumberFormat="1" applyFont="1"/>
    <xf numFmtId="164" fontId="30" fillId="13" borderId="0" xfId="4" applyFont="1" applyFill="1"/>
    <xf numFmtId="164" fontId="26" fillId="0" borderId="12" xfId="4" applyFont="1" applyBorder="1"/>
    <xf numFmtId="164" fontId="26" fillId="0" borderId="27" xfId="4" applyFont="1" applyBorder="1"/>
    <xf numFmtId="164" fontId="26" fillId="0" borderId="0" xfId="4" applyFont="1" applyBorder="1"/>
    <xf numFmtId="164" fontId="15" fillId="0" borderId="9" xfId="0" applyNumberFormat="1" applyFont="1" applyBorder="1"/>
    <xf numFmtId="164" fontId="26" fillId="0" borderId="10" xfId="4" applyFont="1" applyBorder="1"/>
    <xf numFmtId="164" fontId="26" fillId="0" borderId="0" xfId="4" applyFont="1"/>
    <xf numFmtId="164" fontId="26" fillId="0" borderId="9" xfId="4" applyFont="1" applyBorder="1"/>
    <xf numFmtId="164" fontId="25" fillId="0" borderId="0" xfId="4" applyFont="1"/>
    <xf numFmtId="164" fontId="26" fillId="0" borderId="11" xfId="4" applyFont="1" applyBorder="1"/>
    <xf numFmtId="164" fontId="26" fillId="0" borderId="13" xfId="4" applyFont="1" applyBorder="1"/>
    <xf numFmtId="164" fontId="29" fillId="12" borderId="0" xfId="4" applyFont="1" applyFill="1"/>
    <xf numFmtId="164" fontId="26" fillId="0" borderId="0" xfId="2" applyNumberFormat="1" applyFont="1"/>
    <xf numFmtId="44" fontId="12" fillId="3" borderId="19" xfId="1" applyFont="1" applyFill="1" applyBorder="1" applyAlignment="1" applyProtection="1">
      <alignment horizontal="right" indent="3"/>
    </xf>
    <xf numFmtId="171" fontId="20" fillId="14" borderId="17" xfId="4" applyNumberFormat="1" applyFont="1" applyFill="1" applyBorder="1" applyAlignment="1"/>
  </cellXfs>
  <cellStyles count="7">
    <cellStyle name="Ausgabe" xfId="3" builtinId="21"/>
    <cellStyle name="Currency 2" xfId="6" xr:uid="{94310B55-F569-4C3C-A072-5266FA65FF4E}"/>
    <cellStyle name="Komma" xfId="4" builtinId="3"/>
    <cellStyle name="Normal_REVPROJ.XLS" xfId="5" xr:uid="{00000000-0005-0000-0000-000004000000}"/>
    <cellStyle name="Prozent" xfId="2" builtinId="5"/>
    <cellStyle name="Standard" xfId="0" builtinId="0"/>
    <cellStyle name="Währung" xfId="1" builtinId="4"/>
  </cellStyles>
  <dxfs count="12">
    <dxf>
      <fill>
        <patternFill>
          <bgColor rgb="FFFF0000"/>
        </patternFill>
      </fill>
    </dxf>
    <dxf>
      <font>
        <color rgb="FF9C0006"/>
      </font>
      <fill>
        <patternFill>
          <bgColor rgb="FFFFC7CE"/>
        </patternFill>
      </fill>
    </dxf>
    <dxf>
      <font>
        <b/>
        <i val="0"/>
        <strike val="0"/>
        <color theme="0"/>
      </font>
      <fill>
        <patternFill>
          <bgColor rgb="FFC00000"/>
        </patternFill>
      </fill>
    </dxf>
    <dxf>
      <font>
        <color theme="0"/>
      </font>
      <fill>
        <patternFill>
          <bgColor rgb="FF00B050"/>
        </patternFill>
      </fill>
    </dxf>
    <dxf>
      <font>
        <color auto="1"/>
      </font>
      <fill>
        <patternFill>
          <bgColor rgb="FFFFC000"/>
        </patternFill>
      </fill>
    </dxf>
    <dxf>
      <font>
        <color theme="0"/>
      </font>
      <fill>
        <patternFill>
          <bgColor rgb="FF00B050"/>
        </patternFill>
      </fill>
    </dxf>
    <dxf>
      <fill>
        <patternFill>
          <bgColor rgb="FFFFC000"/>
        </patternFill>
      </fill>
    </dxf>
    <dxf>
      <font>
        <color theme="0"/>
      </font>
      <fill>
        <patternFill>
          <bgColor rgb="FFC00000"/>
        </patternFill>
      </fill>
    </dxf>
    <dxf>
      <font>
        <color theme="0"/>
      </font>
      <fill>
        <patternFill>
          <bgColor rgb="FFC00000"/>
        </patternFill>
      </fill>
    </dxf>
    <dxf>
      <font>
        <b/>
        <i val="0"/>
        <strike val="0"/>
        <color theme="0"/>
      </font>
      <fill>
        <patternFill>
          <bgColor rgb="FFC00000"/>
        </patternFill>
      </fill>
    </dxf>
    <dxf>
      <font>
        <color theme="0"/>
      </font>
      <fill>
        <patternFill>
          <bgColor rgb="FF00B050"/>
        </patternFill>
      </fill>
    </dxf>
    <dxf>
      <font>
        <color auto="1"/>
      </font>
      <fill>
        <patternFill>
          <bgColor rgb="FFFFC000"/>
        </patternFill>
      </fill>
    </dxf>
  </dxfs>
  <tableStyles count="0" defaultTableStyle="TableStyleMedium2" defaultPivotStyle="PivotStyleLight16"/>
  <colors>
    <mruColors>
      <color rgb="FFFFFFCC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calcChain" Target="calcChain.xml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microsoft.com/office/2017/10/relationships/person" Target="persons/person.xml"/><Relationship Id="rId17" Type="http://schemas.microsoft.com/office/2006/relationships/vbaProject" Target="vbaProject.bin"/><Relationship Id="rId2" Type="http://schemas.openxmlformats.org/officeDocument/2006/relationships/worksheet" Target="worksheets/sheet2.xml"/><Relationship Id="rId16" Type="http://schemas.openxmlformats.org/officeDocument/2006/relationships/customXml" Target="../customXml/item3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sharedStrings" Target="sharedStrings.xml"/><Relationship Id="rId5" Type="http://schemas.openxmlformats.org/officeDocument/2006/relationships/worksheet" Target="worksheets/sheet5.xml"/><Relationship Id="rId15" Type="http://schemas.openxmlformats.org/officeDocument/2006/relationships/customXml" Target="../customXml/item2.xml"/><Relationship Id="rId10" Type="http://schemas.openxmlformats.org/officeDocument/2006/relationships/styles" Target="styles.xml"/><Relationship Id="rId4" Type="http://schemas.openxmlformats.org/officeDocument/2006/relationships/worksheet" Target="worksheets/sheet4.xml"/><Relationship Id="rId9" Type="http://schemas.openxmlformats.org/officeDocument/2006/relationships/theme" Target="theme/theme1.xml"/><Relationship Id="rId14" Type="http://schemas.openxmlformats.org/officeDocument/2006/relationships/customXml" Target="../customXml/item1.xml"/></Relationships>
</file>

<file path=xl/persons/person.xml><?xml version="1.0" encoding="utf-8"?>
<personList xmlns="http://schemas.microsoft.com/office/spreadsheetml/2018/threadedcomments" xmlns:x="http://schemas.openxmlformats.org/spreadsheetml/2006/main">
  <person displayName="Amir Mozafari" id="{B6CC7CBE-4CAC-42D6-8F77-D53939EB20DB}" userId="Amir Mozafari" providerId="None"/>
  <person displayName="Marvin Billerbeck" id="{B7F5FEDD-A386-4137-B8A9-3E0F8CF599CF}" userId="Marvin Billerbeck" providerId="None"/>
</personList>
</file>

<file path=xl/theme/theme1.xml><?xml version="1.0" encoding="utf-8"?>
<a:theme xmlns:a="http://schemas.openxmlformats.org/drawingml/2006/main" name="Office Theme">
  <a:themeElements>
    <a:clrScheme name="Beyond Bookings">
      <a:dk1>
        <a:srgbClr val="000000"/>
      </a:dk1>
      <a:lt1>
        <a:srgbClr val="FFFFFF"/>
      </a:lt1>
      <a:dk2>
        <a:srgbClr val="005D97"/>
      </a:dk2>
      <a:lt2>
        <a:srgbClr val="5E99BD"/>
      </a:lt2>
      <a:accent1>
        <a:srgbClr val="0EB197"/>
      </a:accent1>
      <a:accent2>
        <a:srgbClr val="5E99BD"/>
      </a:accent2>
      <a:accent3>
        <a:srgbClr val="525252"/>
      </a:accent3>
      <a:accent4>
        <a:srgbClr val="7F7F7F"/>
      </a:accent4>
      <a:accent5>
        <a:srgbClr val="BFBFBF"/>
      </a:accent5>
      <a:accent6>
        <a:srgbClr val="F2F2F2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threadedComments/threadedComment1.xml><?xml version="1.0" encoding="utf-8"?>
<ThreadedComments xmlns="http://schemas.microsoft.com/office/spreadsheetml/2018/threadedcomments" xmlns:x="http://schemas.openxmlformats.org/spreadsheetml/2006/main">
  <threadedComment ref="F15" dT="2020-11-30T15:25:58.46" personId="{B7F5FEDD-A386-4137-B8A9-3E0F8CF599CF}" id="{8F658493-4A63-4F01-B853-012F8BD79807}">
    <text>1925 Anzahlung, 
825 Restwert</text>
  </threadedComment>
  <threadedComment ref="H24" dT="2021-07-19T11:59:43.88" personId="{B7F5FEDD-A386-4137-B8A9-3E0F8CF599CF}" id="{89FDF0AD-65F1-4A2F-927E-CD7E54F4E9EF}">
    <text>Konsistent mit New Motion 750€ Installation je Ladepunkt plus 200€ Begehung plus Versand</text>
  </threadedComment>
  <threadedComment ref="I24" dT="2021-10-29T08:16:17.91" personId="{B7F5FEDD-A386-4137-B8A9-3E0F8CF599CF}" id="{DB711D4B-CE4D-4E03-ADC5-F576783D4CC5}">
    <text>Benchmark B4</text>
  </threadedComment>
  <threadedComment ref="H26" dT="2021-07-19T11:59:43.88" personId="{B7F5FEDD-A386-4137-B8A9-3E0F8CF599CF}" id="{5BE59B5F-5636-481E-9F70-80B28AD59DDD}">
    <text>Konsistent mit New Motion 750€ Installation je Ladepunkt plus 200€ Begehung plus Versand</text>
  </threadedComment>
  <threadedComment ref="I26" dT="2021-10-29T08:16:17.91" personId="{B7F5FEDD-A386-4137-B8A9-3E0F8CF599CF}" id="{72C4A899-5796-4FA0-A98A-71B86466F35B}">
    <text>Benchmark B4</text>
  </threadedComment>
  <threadedComment ref="C38" dT="2022-01-31T12:42:00.94" personId="{B6CC7CBE-4CAC-42D6-8F77-D53939EB20DB}" id="{3472D8AA-A5A2-4F34-9300-AB933B67CF7C}">
    <text>wir haben die produktbezeichnung und den Preis aktualisiert!</text>
  </threadedComment>
  <threadedComment ref="G39" dT="2021-06-14T12:47:59.07" personId="{B7F5FEDD-A386-4137-B8A9-3E0F8CF599CF}" id="{CB16B01C-4E52-439B-BD9A-D5065BA45C16}">
    <text>Kaufmodellpreis inkl Mwst</text>
  </threadedComment>
  <threadedComment ref="G42" dT="2021-06-14T12:48:47.51" personId="{B7F5FEDD-A386-4137-B8A9-3E0F8CF599CF}" id="{F3F4B161-5373-46C4-AD09-85594B2A9133}">
    <text>Kaufmodellpreis inkl Mwst</text>
  </threadedComment>
  <threadedComment ref="G44" dT="2021-02-09T10:31:24.09" personId="{B6CC7CBE-4CAC-42D6-8F77-D53939EB20DB}" id="{233D04D4-2E31-465F-925E-503C34B60A60}">
    <text>Quelle: 
AK inkl. Winterreifen
https://www.renault.de/elektromodelle/twizy/konfigurator/summary.html?conf=https%3A%2F%2Fde.co.rplug.renault.com%2Fc%2FBACH0%2FAi4piSE6Cg</text>
  </threadedComment>
  <threadedComment ref="H44" dT="2021-02-08T12:01:04.41" personId="{B6CC7CBE-4CAC-42D6-8F77-D53939EB20DB}" id="{A68D9F51-9335-4E1D-B9A9-5CCA3CD870F1}">
    <text>Annahme basierend auf: https://www.leasingmarkt.de/ratgeber/leasing-lexikon/ueberfuehrungskosten</text>
  </threadedComment>
  <threadedComment ref="I44" dT="2021-02-08T12:02:20.57" personId="{B6CC7CBE-4CAC-42D6-8F77-D53939EB20DB}" id="{4877B70D-EC1B-47A9-9994-C9DF9CCD8420}">
    <text>Quelle: Wartung + 2 mal Reifenwechsel im Jahr
https://www.autobutler.de/auto/inspektion-wartung-auto-renault/twizy</text>
  </threadedComment>
  <threadedComment ref="N44" dT="2021-02-08T13:42:44.94" personId="{B6CC7CBE-4CAC-42D6-8F77-D53939EB20DB}" id="{75163A11-A03B-4EB3-83B2-B6A9F0AC1FC1}">
    <text>Quelle: 
Vollkasko mit 500€ SB
https://www.4yourfleet.de/renault-twizy.html</text>
  </threadedComment>
</ThreadedComments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comments" Target="../comments1.xml"/><Relationship Id="rId2" Type="http://schemas.openxmlformats.org/officeDocument/2006/relationships/vmlDrawing" Target="../drawings/vmlDrawing1.vml"/><Relationship Id="rId1" Type="http://schemas.openxmlformats.org/officeDocument/2006/relationships/printerSettings" Target="../printerSettings/printerSettings1.bin"/></Relationships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_rels/sheet4.xml.rels><?xml version="1.0" encoding="UTF-8" standalone="yes"?>
<Relationships xmlns="http://schemas.openxmlformats.org/package/2006/relationships"><Relationship Id="rId3" Type="http://schemas.openxmlformats.org/officeDocument/2006/relationships/comments" Target="../comments2.xml"/><Relationship Id="rId2" Type="http://schemas.openxmlformats.org/officeDocument/2006/relationships/vmlDrawing" Target="../drawings/vmlDrawing2.vml"/><Relationship Id="rId1" Type="http://schemas.openxmlformats.org/officeDocument/2006/relationships/printerSettings" Target="../printerSettings/printerSettings3.bin"/><Relationship Id="rId4" Type="http://schemas.microsoft.com/office/2017/10/relationships/threadedComment" Target="../threadedComments/threadedComment1.xml"/></Relationships>
</file>

<file path=xl/worksheets/_rels/sheet6.xml.rels><?xml version="1.0" encoding="UTF-8" standalone="yes"?>
<Relationships xmlns="http://schemas.openxmlformats.org/package/2006/relationships"><Relationship Id="rId3" Type="http://schemas.openxmlformats.org/officeDocument/2006/relationships/comments" Target="../comments3.xml"/><Relationship Id="rId2" Type="http://schemas.openxmlformats.org/officeDocument/2006/relationships/vmlDrawing" Target="../drawings/vmlDrawing3.vml"/><Relationship Id="rId1" Type="http://schemas.openxmlformats.org/officeDocument/2006/relationships/printerSettings" Target="../printerSettings/printerSettings4.bin"/></Relationships>
</file>

<file path=xl/worksheets/_rels/sheet7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5.bin"/></Relationships>
</file>

<file path=xl/worksheets/_rels/sheet8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6.bin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Sheet1">
    <tabColor theme="4"/>
  </sheetPr>
  <dimension ref="A1:AF28"/>
  <sheetViews>
    <sheetView showGridLines="0" tabSelected="1" zoomScaleNormal="70" workbookViewId="0">
      <pane xSplit="3" ySplit="17" topLeftCell="E18" activePane="bottomRight" state="frozen"/>
      <selection pane="topRight" activeCell="D1" sqref="D1"/>
      <selection pane="bottomLeft" activeCell="A15" sqref="A15"/>
      <selection pane="bottomRight" activeCell="G6" sqref="G6"/>
    </sheetView>
  </sheetViews>
  <sheetFormatPr baseColWidth="10" defaultColWidth="10.5546875" defaultRowHeight="15" outlineLevelCol="2" x14ac:dyDescent="0.35"/>
  <cols>
    <col min="1" max="1" width="4.5546875" style="37" customWidth="1"/>
    <col min="2" max="2" width="61.5546875" style="37" bestFit="1" customWidth="1"/>
    <col min="3" max="3" width="29.5546875" style="37" bestFit="1" customWidth="1"/>
    <col min="4" max="4" width="17.44140625" style="38" customWidth="1"/>
    <col min="5" max="5" width="50.109375" style="37" bestFit="1" customWidth="1"/>
    <col min="6" max="6" width="28.5546875" style="37" bestFit="1" customWidth="1"/>
    <col min="7" max="7" width="24.44140625" style="37" customWidth="1" outlineLevel="1"/>
    <col min="8" max="8" width="24.44140625" style="40" customWidth="1" outlineLevel="1"/>
    <col min="9" max="9" width="31.44140625" style="40" customWidth="1" outlineLevel="1"/>
    <col min="10" max="12" width="24.44140625" style="40" customWidth="1" outlineLevel="1"/>
    <col min="13" max="13" width="18.44140625" style="40" customWidth="1" outlineLevel="2"/>
    <col min="14" max="14" width="18" style="40" customWidth="1" outlineLevel="2"/>
    <col min="15" max="15" width="28" style="40" customWidth="1" outlineLevel="2"/>
    <col min="16" max="16" width="28" style="40" customWidth="1" outlineLevel="1"/>
    <col min="17" max="17" width="26.44140625" style="40" customWidth="1" outlineLevel="1"/>
    <col min="18" max="18" width="25" style="40" customWidth="1" outlineLevel="1"/>
    <col min="19" max="19" width="24.44140625" style="37" customWidth="1"/>
    <col min="20" max="20" width="17.44140625" style="37" customWidth="1"/>
    <col min="21" max="21" width="10.5546875" style="37"/>
    <col min="22" max="22" width="17" style="37" customWidth="1"/>
    <col min="23" max="23" width="16.44140625" style="37" customWidth="1"/>
    <col min="24" max="24" width="19" style="37" customWidth="1"/>
    <col min="25" max="25" width="15" style="37" customWidth="1"/>
    <col min="26" max="26" width="18.44140625" style="37" customWidth="1"/>
    <col min="27" max="27" width="17.5546875" style="37" customWidth="1"/>
    <col min="28" max="29" width="15.44140625" style="37" customWidth="1"/>
    <col min="30" max="32" width="10.5546875" style="37"/>
    <col min="33" max="33" width="16.44140625" style="37" customWidth="1"/>
    <col min="34" max="16384" width="10.5546875" style="37"/>
  </cols>
  <sheetData>
    <row r="1" spans="1:32" ht="7.5" customHeight="1" x14ac:dyDescent="0.35">
      <c r="E1" s="161"/>
      <c r="F1" s="39"/>
      <c r="G1" s="39"/>
      <c r="S1" s="39"/>
      <c r="T1" s="39"/>
      <c r="U1" s="38"/>
      <c r="V1" s="38"/>
      <c r="W1" s="38"/>
      <c r="X1" s="38"/>
      <c r="Y1" s="38"/>
    </row>
    <row r="2" spans="1:32" s="41" customFormat="1" ht="22.5" customHeight="1" x14ac:dyDescent="0.8">
      <c r="B2" s="224" t="s">
        <v>0</v>
      </c>
      <c r="D2" s="144"/>
      <c r="K2" s="42"/>
      <c r="L2" s="42"/>
      <c r="M2" s="42"/>
      <c r="N2" s="42"/>
      <c r="O2" s="42"/>
      <c r="P2" s="42"/>
      <c r="Q2" s="42"/>
      <c r="R2" s="42"/>
    </row>
    <row r="3" spans="1:32" s="44" customFormat="1" ht="3.6" customHeight="1" x14ac:dyDescent="0.4">
      <c r="A3" s="43"/>
      <c r="D3" s="45"/>
      <c r="K3" s="46"/>
      <c r="L3" s="46"/>
      <c r="M3" s="46"/>
      <c r="N3" s="46"/>
      <c r="O3" s="46"/>
      <c r="P3" s="46"/>
      <c r="Q3" s="46"/>
      <c r="R3" s="46"/>
    </row>
    <row r="4" spans="1:32" s="44" customFormat="1" ht="15.6" customHeight="1" thickBot="1" x14ac:dyDescent="0.45">
      <c r="A4" s="43"/>
      <c r="B4" s="47" t="s">
        <v>1</v>
      </c>
      <c r="D4" s="45"/>
      <c r="E4" s="47" t="s">
        <v>2</v>
      </c>
      <c r="K4" s="46"/>
      <c r="L4" s="46"/>
      <c r="M4" s="46"/>
      <c r="N4" s="46"/>
      <c r="O4" s="46"/>
      <c r="P4" s="46"/>
      <c r="Q4" s="46"/>
      <c r="R4" s="46"/>
    </row>
    <row r="5" spans="1:32" x14ac:dyDescent="0.35">
      <c r="B5" s="48" t="s">
        <v>3</v>
      </c>
      <c r="C5" s="143">
        <v>45735</v>
      </c>
      <c r="E5" s="151" t="s">
        <v>5</v>
      </c>
      <c r="F5" s="153">
        <v>80</v>
      </c>
      <c r="G5" s="44" t="s">
        <v>297</v>
      </c>
      <c r="H5" s="218"/>
    </row>
    <row r="6" spans="1:32" x14ac:dyDescent="0.35">
      <c r="B6" s="48" t="s">
        <v>4</v>
      </c>
      <c r="C6" s="49" t="s">
        <v>296</v>
      </c>
      <c r="E6" s="152" t="s">
        <v>290</v>
      </c>
      <c r="F6" s="37">
        <f>C12*0.65</f>
        <v>117</v>
      </c>
      <c r="G6" s="217"/>
      <c r="H6" s="217"/>
      <c r="I6" s="217"/>
      <c r="J6" s="217"/>
      <c r="K6" s="217"/>
      <c r="L6" s="217"/>
      <c r="M6" s="217"/>
      <c r="N6" s="217"/>
      <c r="O6" s="217"/>
      <c r="P6" s="217"/>
      <c r="Q6" s="217"/>
      <c r="R6" s="217"/>
    </row>
    <row r="7" spans="1:32" x14ac:dyDescent="0.35">
      <c r="B7" s="48" t="s">
        <v>6</v>
      </c>
      <c r="C7" s="49" t="s">
        <v>7</v>
      </c>
      <c r="E7" s="154" t="s">
        <v>8</v>
      </c>
      <c r="F7" s="210">
        <v>45</v>
      </c>
      <c r="K7" s="50"/>
      <c r="L7" s="50"/>
      <c r="M7" s="51"/>
      <c r="N7" s="51"/>
      <c r="O7" s="51"/>
      <c r="P7" s="51"/>
      <c r="Q7" s="51"/>
      <c r="R7" s="51"/>
      <c r="AC7" s="52"/>
      <c r="AD7" s="52"/>
      <c r="AE7" s="52"/>
      <c r="AF7" s="52"/>
    </row>
    <row r="8" spans="1:32" x14ac:dyDescent="0.35">
      <c r="B8" s="48" t="s">
        <v>9</v>
      </c>
      <c r="C8" s="158">
        <v>47</v>
      </c>
      <c r="E8" s="219"/>
      <c r="F8" s="219"/>
      <c r="G8" s="219"/>
      <c r="H8" s="219"/>
      <c r="I8" s="219"/>
      <c r="J8" s="53"/>
      <c r="K8" s="50"/>
      <c r="L8" s="50"/>
      <c r="M8" s="51"/>
      <c r="N8" s="51"/>
      <c r="O8" s="51"/>
      <c r="P8" s="51"/>
      <c r="Q8" s="51"/>
      <c r="R8" s="51"/>
      <c r="AE8" s="52"/>
      <c r="AF8" s="52"/>
    </row>
    <row r="9" spans="1:32" x14ac:dyDescent="0.35">
      <c r="B9" s="48" t="s">
        <v>10</v>
      </c>
      <c r="C9" s="54">
        <v>0.7</v>
      </c>
      <c r="E9" s="156" t="s">
        <v>246</v>
      </c>
      <c r="F9" s="157">
        <f>IFERROR(J26,"Bitte Produkt auswählen")</f>
        <v>0.3185225569033665</v>
      </c>
      <c r="G9" s="56"/>
      <c r="H9" s="56"/>
      <c r="I9" s="56"/>
      <c r="J9" s="57"/>
      <c r="K9" s="50"/>
      <c r="L9" s="50"/>
      <c r="M9" s="51"/>
      <c r="N9" s="51"/>
      <c r="O9" s="51"/>
      <c r="P9" s="51"/>
      <c r="Q9" s="51"/>
      <c r="R9" s="51"/>
      <c r="AE9" s="52"/>
      <c r="AF9" s="52"/>
    </row>
    <row r="10" spans="1:32" x14ac:dyDescent="0.35">
      <c r="B10" s="48" t="s">
        <v>11</v>
      </c>
      <c r="C10" s="58">
        <f>C8*365*(1-C9)</f>
        <v>5146.5000000000009</v>
      </c>
      <c r="E10" s="152" t="s">
        <v>13</v>
      </c>
      <c r="F10" s="168">
        <f>F5*0.75</f>
        <v>60</v>
      </c>
      <c r="G10" s="56"/>
      <c r="H10" s="56"/>
      <c r="I10" s="56"/>
      <c r="J10" s="57"/>
      <c r="K10" s="50"/>
      <c r="L10" s="50"/>
      <c r="M10" s="51"/>
      <c r="N10" s="51"/>
      <c r="O10" s="51"/>
      <c r="P10" s="51"/>
      <c r="Q10" s="51"/>
      <c r="R10" s="51"/>
      <c r="AE10" s="52"/>
      <c r="AF10" s="52"/>
    </row>
    <row r="11" spans="1:32" ht="15.6" thickBot="1" x14ac:dyDescent="0.4">
      <c r="B11" s="48" t="s">
        <v>12</v>
      </c>
      <c r="C11" s="59">
        <f>IF(C10*0.15&lt;1000,C10*0.15,1000)</f>
        <v>771.97500000000014</v>
      </c>
      <c r="E11" s="167" t="s">
        <v>14</v>
      </c>
      <c r="F11" s="242">
        <f>+I26</f>
        <v>44022</v>
      </c>
      <c r="G11" s="55"/>
      <c r="H11" s="50"/>
      <c r="I11" s="50"/>
      <c r="J11" s="50"/>
      <c r="K11" s="50"/>
      <c r="L11" s="50"/>
      <c r="M11" s="51"/>
      <c r="N11" s="51"/>
      <c r="O11" s="51"/>
      <c r="P11" s="51"/>
      <c r="Q11" s="51"/>
      <c r="R11" s="51"/>
      <c r="AE11" s="52"/>
      <c r="AF11" s="52"/>
    </row>
    <row r="12" spans="1:32" ht="15.6" thickBot="1" x14ac:dyDescent="0.4">
      <c r="B12" s="48" t="s">
        <v>281</v>
      </c>
      <c r="C12" s="158">
        <v>180</v>
      </c>
      <c r="D12" s="61"/>
      <c r="E12" s="155" t="s">
        <v>243</v>
      </c>
      <c r="F12" s="241">
        <v>30000</v>
      </c>
      <c r="G12" s="166"/>
      <c r="H12" s="209"/>
      <c r="I12" s="50"/>
      <c r="J12" s="50"/>
      <c r="K12" s="50"/>
      <c r="L12" s="50"/>
      <c r="M12" s="51"/>
      <c r="N12" s="51"/>
      <c r="O12" s="51"/>
      <c r="P12" s="51"/>
      <c r="Q12" s="51"/>
      <c r="R12" s="51"/>
      <c r="AE12" s="52"/>
      <c r="AF12" s="52"/>
    </row>
    <row r="13" spans="1:32" x14ac:dyDescent="0.35">
      <c r="D13" s="61"/>
      <c r="E13" s="222"/>
      <c r="F13" s="222"/>
      <c r="G13" s="166"/>
      <c r="H13" s="209"/>
      <c r="I13" s="50"/>
      <c r="J13" s="50"/>
      <c r="K13" s="50"/>
      <c r="L13" s="50"/>
      <c r="M13" s="51"/>
      <c r="N13" s="51"/>
      <c r="O13" s="51"/>
      <c r="P13" s="51"/>
      <c r="Q13" s="51"/>
      <c r="R13" s="51"/>
      <c r="AE13" s="52"/>
      <c r="AF13" s="52"/>
    </row>
    <row r="14" spans="1:32" ht="15" customHeight="1" x14ac:dyDescent="0.4">
      <c r="B14" s="150" t="s">
        <v>15</v>
      </c>
      <c r="C14" s="146"/>
      <c r="D14" s="61"/>
      <c r="E14" s="61"/>
      <c r="H14" s="50"/>
      <c r="I14" s="50"/>
      <c r="J14" s="50"/>
      <c r="K14" s="50"/>
      <c r="L14" s="50"/>
      <c r="M14" s="51"/>
      <c r="N14" s="51"/>
      <c r="O14" s="51"/>
      <c r="P14" s="51"/>
      <c r="Q14" s="51"/>
      <c r="R14" s="51"/>
      <c r="AE14" s="52"/>
      <c r="AF14" s="52"/>
    </row>
    <row r="15" spans="1:32" ht="11.1" customHeight="1" x14ac:dyDescent="0.4">
      <c r="B15" s="145"/>
      <c r="C15" s="146"/>
      <c r="D15" s="61"/>
      <c r="E15" s="60"/>
      <c r="F15" s="55"/>
      <c r="G15" s="55"/>
      <c r="H15" s="50"/>
      <c r="I15" s="50"/>
      <c r="J15" s="50"/>
      <c r="K15" s="50"/>
      <c r="L15" s="50"/>
      <c r="M15" s="51"/>
      <c r="N15" s="51"/>
      <c r="O15" s="51"/>
      <c r="P15" s="51"/>
      <c r="Q15" s="51"/>
      <c r="R15" s="51"/>
      <c r="AE15" s="52"/>
      <c r="AF15" s="52"/>
    </row>
    <row r="16" spans="1:32" ht="22.2" hidden="1" x14ac:dyDescent="0.35">
      <c r="B16" s="93"/>
      <c r="C16" s="93"/>
      <c r="D16" s="62" t="s">
        <v>16</v>
      </c>
      <c r="E16" s="63"/>
      <c r="F16" s="64"/>
      <c r="G16" s="64"/>
      <c r="H16" s="65"/>
      <c r="I16" s="65"/>
      <c r="J16" s="63"/>
      <c r="K16" s="66"/>
      <c r="L16" s="67" t="s">
        <v>17</v>
      </c>
      <c r="M16" s="68"/>
      <c r="N16" s="68"/>
      <c r="O16" s="68"/>
      <c r="P16" s="68"/>
      <c r="Q16" s="68"/>
      <c r="R16" s="68"/>
      <c r="S16" s="119"/>
      <c r="AE16" s="52"/>
      <c r="AF16" s="52"/>
    </row>
    <row r="17" spans="2:32" s="69" customFormat="1" ht="30.75" customHeight="1" x14ac:dyDescent="0.35">
      <c r="B17" s="110" t="s">
        <v>18</v>
      </c>
      <c r="C17" s="110" t="s">
        <v>19</v>
      </c>
      <c r="D17" s="110" t="s">
        <v>20</v>
      </c>
      <c r="E17" s="111" t="s">
        <v>282</v>
      </c>
      <c r="F17" s="111" t="s">
        <v>21</v>
      </c>
      <c r="G17" s="112" t="s">
        <v>22</v>
      </c>
      <c r="H17" s="112" t="s">
        <v>291</v>
      </c>
      <c r="I17" s="112" t="s">
        <v>244</v>
      </c>
      <c r="J17" s="111" t="s">
        <v>245</v>
      </c>
      <c r="K17" s="112" t="s">
        <v>24</v>
      </c>
      <c r="L17" s="112" t="s">
        <v>25</v>
      </c>
      <c r="M17" s="112" t="s">
        <v>26</v>
      </c>
      <c r="N17" s="112" t="s">
        <v>27</v>
      </c>
      <c r="O17" s="112" t="s">
        <v>28</v>
      </c>
      <c r="P17" s="112" t="s">
        <v>29</v>
      </c>
      <c r="Q17" s="112" t="s">
        <v>30</v>
      </c>
      <c r="R17" s="112" t="s">
        <v>31</v>
      </c>
      <c r="S17" s="119"/>
      <c r="AE17" s="70"/>
      <c r="AF17" s="70"/>
    </row>
    <row r="18" spans="2:32" s="69" customFormat="1" ht="5.85" customHeight="1" x14ac:dyDescent="0.35">
      <c r="B18" s="71"/>
      <c r="C18" s="71"/>
      <c r="D18" s="71"/>
      <c r="E18" s="72"/>
      <c r="F18" s="72"/>
      <c r="G18" s="73"/>
      <c r="H18" s="73"/>
      <c r="I18" s="73"/>
      <c r="J18" s="72"/>
      <c r="K18" s="73"/>
      <c r="L18" s="74"/>
      <c r="M18" s="73"/>
      <c r="N18" s="73"/>
      <c r="O18" s="73"/>
      <c r="P18" s="73"/>
      <c r="Q18" s="73"/>
      <c r="R18" s="73"/>
      <c r="AE18" s="70"/>
      <c r="AF18" s="70"/>
    </row>
    <row r="19" spans="2:32" ht="16.350000000000001" hidden="1" customHeight="1" x14ac:dyDescent="0.35">
      <c r="B19" s="75" t="s">
        <v>254</v>
      </c>
      <c r="C19" s="76" t="s">
        <v>36</v>
      </c>
      <c r="D19" s="159">
        <v>0</v>
      </c>
      <c r="E19" s="76">
        <f>ROUND(G19/F$7,0)</f>
        <v>0</v>
      </c>
      <c r="F19" s="75">
        <v>1</v>
      </c>
      <c r="G19" s="77">
        <f>Sixt!P19*D19</f>
        <v>0</v>
      </c>
      <c r="H19" s="77">
        <f t="shared" ref="H19:H23" si="0">$E19*$F$10*$F19-$G19</f>
        <v>0</v>
      </c>
      <c r="I19" s="77">
        <f t="shared" ref="I19:I23" si="1">G19+H19</f>
        <v>0</v>
      </c>
      <c r="J19" s="78" t="str">
        <f>IFERROR(H19/(I19),"")</f>
        <v/>
      </c>
      <c r="K19" s="77">
        <f t="shared" ref="K19:K23" si="2">$E19*$F$7*$F19</f>
        <v>0</v>
      </c>
      <c r="L19" s="77">
        <f t="shared" ref="L19" si="3">K19-K19/1.19</f>
        <v>0</v>
      </c>
      <c r="M19" s="77">
        <f t="shared" ref="M19:M23" si="4">G19*1.19-G19</f>
        <v>0</v>
      </c>
      <c r="N19" s="77">
        <f t="shared" ref="N19:N24" si="5">(($F$10/0.8*0.2*0.19)*E19)</f>
        <v>0</v>
      </c>
      <c r="O19" s="77">
        <f t="shared" ref="O19:O23" si="6">L19-M19-N19</f>
        <v>0</v>
      </c>
      <c r="P19" s="79">
        <f t="shared" ref="P19:P23" si="7">IFERROR($H19-L19,"")</f>
        <v>0</v>
      </c>
      <c r="Q19" s="78" t="str">
        <f t="shared" ref="Q19:Q23" si="8">IFERROR(($H19-L19)/$I19,"")</f>
        <v/>
      </c>
      <c r="R19" s="80" t="str">
        <f t="shared" ref="R19:R21" si="9">IFERROR((1-Q19)*F19,"")</f>
        <v/>
      </c>
    </row>
    <row r="20" spans="2:32" ht="16.350000000000001" hidden="1" customHeight="1" x14ac:dyDescent="0.35">
      <c r="B20" s="75" t="s">
        <v>250</v>
      </c>
      <c r="C20" s="76" t="s">
        <v>36</v>
      </c>
      <c r="D20" s="159">
        <v>0</v>
      </c>
      <c r="E20" s="76">
        <f>ROUND(G20/F$7,0)</f>
        <v>0</v>
      </c>
      <c r="F20" s="75">
        <v>1</v>
      </c>
      <c r="G20" s="77">
        <f>Sixt!D19*D20</f>
        <v>0</v>
      </c>
      <c r="H20" s="77">
        <f t="shared" si="0"/>
        <v>0</v>
      </c>
      <c r="I20" s="77">
        <f t="shared" si="1"/>
        <v>0</v>
      </c>
      <c r="J20" s="78" t="str">
        <f>IFERROR(H20/(I20),"")</f>
        <v/>
      </c>
      <c r="K20" s="77">
        <f t="shared" si="2"/>
        <v>0</v>
      </c>
      <c r="L20" s="77">
        <f t="shared" ref="L20:L21" si="10">K20-K20/1.19</f>
        <v>0</v>
      </c>
      <c r="M20" s="77">
        <f t="shared" ref="M20:M21" si="11">G20*1.19-G20</f>
        <v>0</v>
      </c>
      <c r="N20" s="77">
        <f t="shared" si="5"/>
        <v>0</v>
      </c>
      <c r="O20" s="77">
        <f t="shared" ref="O20:O21" si="12">L20-M20-N20</f>
        <v>0</v>
      </c>
      <c r="P20" s="79">
        <f t="shared" ref="P20:P21" si="13">IFERROR($H20-L20,"")</f>
        <v>0</v>
      </c>
      <c r="Q20" s="78" t="str">
        <f t="shared" ref="Q20:Q21" si="14">IFERROR(($H20-L20)/$I20,"")</f>
        <v/>
      </c>
      <c r="R20" s="80" t="str">
        <f t="shared" si="9"/>
        <v/>
      </c>
    </row>
    <row r="21" spans="2:32" ht="16.350000000000001" hidden="1" customHeight="1" x14ac:dyDescent="0.35">
      <c r="B21" s="75" t="s">
        <v>251</v>
      </c>
      <c r="C21" s="76" t="s">
        <v>36</v>
      </c>
      <c r="D21" s="159">
        <v>0</v>
      </c>
      <c r="E21" s="76">
        <f t="shared" ref="E21:E23" si="15">ROUND(G21/F$7,0)</f>
        <v>0</v>
      </c>
      <c r="F21" s="75">
        <v>1</v>
      </c>
      <c r="G21" s="77">
        <f>Sixt!G19*D21</f>
        <v>0</v>
      </c>
      <c r="H21" s="77">
        <f t="shared" si="0"/>
        <v>0</v>
      </c>
      <c r="I21" s="77">
        <f t="shared" si="1"/>
        <v>0</v>
      </c>
      <c r="J21" s="78" t="str">
        <f t="shared" ref="J21:J24" si="16">IFERROR(H21/(I21),"")</f>
        <v/>
      </c>
      <c r="K21" s="77">
        <f t="shared" si="2"/>
        <v>0</v>
      </c>
      <c r="L21" s="77">
        <f t="shared" si="10"/>
        <v>0</v>
      </c>
      <c r="M21" s="77">
        <f t="shared" si="11"/>
        <v>0</v>
      </c>
      <c r="N21" s="77">
        <f t="shared" si="5"/>
        <v>0</v>
      </c>
      <c r="O21" s="77">
        <f t="shared" si="12"/>
        <v>0</v>
      </c>
      <c r="P21" s="79">
        <f t="shared" si="13"/>
        <v>0</v>
      </c>
      <c r="Q21" s="78" t="str">
        <f t="shared" si="14"/>
        <v/>
      </c>
      <c r="R21" s="80" t="str">
        <f t="shared" si="9"/>
        <v/>
      </c>
    </row>
    <row r="22" spans="2:32" ht="16.350000000000001" hidden="1" customHeight="1" x14ac:dyDescent="0.35">
      <c r="B22" s="211" t="s">
        <v>252</v>
      </c>
      <c r="C22" s="76" t="s">
        <v>36</v>
      </c>
      <c r="D22" s="159">
        <v>0</v>
      </c>
      <c r="E22" s="76">
        <f t="shared" si="15"/>
        <v>0</v>
      </c>
      <c r="F22" s="75">
        <v>1</v>
      </c>
      <c r="G22" s="77">
        <f>Sixt!J19*D22</f>
        <v>0</v>
      </c>
      <c r="H22" s="77">
        <f t="shared" si="0"/>
        <v>0</v>
      </c>
      <c r="I22" s="77">
        <f t="shared" si="1"/>
        <v>0</v>
      </c>
      <c r="J22" s="78" t="str">
        <f t="shared" si="16"/>
        <v/>
      </c>
      <c r="K22" s="77">
        <f t="shared" si="2"/>
        <v>0</v>
      </c>
      <c r="L22" s="77">
        <f t="shared" ref="L22" si="17">K22-K22/1.19</f>
        <v>0</v>
      </c>
      <c r="M22" s="77">
        <f t="shared" ref="M22" si="18">G22*1.19-G22</f>
        <v>0</v>
      </c>
      <c r="N22" s="77">
        <f t="shared" si="5"/>
        <v>0</v>
      </c>
      <c r="O22" s="77">
        <f t="shared" ref="O22" si="19">L22-M22-N22</f>
        <v>0</v>
      </c>
      <c r="P22" s="79">
        <f t="shared" ref="P22" si="20">IFERROR($H22-L22,"")</f>
        <v>0</v>
      </c>
      <c r="Q22" s="78" t="str">
        <f t="shared" ref="Q22" si="21">IFERROR(($H22-L22)/$I22,"")</f>
        <v/>
      </c>
      <c r="R22" s="80" t="str">
        <f t="shared" ref="R22" si="22">IFERROR((1-Q22)*F22,"")</f>
        <v/>
      </c>
    </row>
    <row r="23" spans="2:32" ht="15.9" hidden="1" customHeight="1" x14ac:dyDescent="0.35">
      <c r="B23" s="75" t="s">
        <v>253</v>
      </c>
      <c r="C23" s="76" t="s">
        <v>36</v>
      </c>
      <c r="D23" s="159">
        <v>0</v>
      </c>
      <c r="E23" s="76">
        <f t="shared" si="15"/>
        <v>0</v>
      </c>
      <c r="F23" s="75">
        <v>1</v>
      </c>
      <c r="G23" s="77">
        <f>Sixt!M19*D23</f>
        <v>0</v>
      </c>
      <c r="H23" s="77">
        <f t="shared" si="0"/>
        <v>0</v>
      </c>
      <c r="I23" s="77">
        <f t="shared" si="1"/>
        <v>0</v>
      </c>
      <c r="J23" s="78" t="str">
        <f t="shared" si="16"/>
        <v/>
      </c>
      <c r="K23" s="77">
        <f t="shared" si="2"/>
        <v>0</v>
      </c>
      <c r="L23" s="77">
        <f t="shared" ref="L23" si="23">K23-K23/1.19</f>
        <v>0</v>
      </c>
      <c r="M23" s="77">
        <f t="shared" si="4"/>
        <v>0</v>
      </c>
      <c r="N23" s="77">
        <f t="shared" si="5"/>
        <v>0</v>
      </c>
      <c r="O23" s="77">
        <f t="shared" si="6"/>
        <v>0</v>
      </c>
      <c r="P23" s="79">
        <f t="shared" si="7"/>
        <v>0</v>
      </c>
      <c r="Q23" s="78" t="str">
        <f t="shared" si="8"/>
        <v/>
      </c>
      <c r="R23" s="80" t="str">
        <f t="shared" ref="R23" si="24">IFERROR((1-Q23)*F23,"")</f>
        <v/>
      </c>
    </row>
    <row r="24" spans="2:32" ht="15.9" customHeight="1" x14ac:dyDescent="0.35">
      <c r="B24" s="75" t="s">
        <v>264</v>
      </c>
      <c r="C24" s="76" t="s">
        <v>32</v>
      </c>
      <c r="D24" s="159">
        <v>1</v>
      </c>
      <c r="E24" s="76">
        <f>ROUND(G24/F$7,0)</f>
        <v>667</v>
      </c>
      <c r="F24" s="76">
        <v>3</v>
      </c>
      <c r="G24" s="77">
        <f>F12*D24</f>
        <v>30000</v>
      </c>
      <c r="H24" s="77">
        <f>$E24*$F$10*1.1-$G24</f>
        <v>14022</v>
      </c>
      <c r="I24" s="77">
        <f>G24+H24</f>
        <v>44022</v>
      </c>
      <c r="J24" s="78">
        <f t="shared" si="16"/>
        <v>0.3185225569033665</v>
      </c>
      <c r="K24" s="77">
        <v>0</v>
      </c>
      <c r="L24" s="77">
        <v>0</v>
      </c>
      <c r="M24" s="77">
        <f>G24*1.19-G24</f>
        <v>5700</v>
      </c>
      <c r="N24" s="77">
        <f t="shared" si="5"/>
        <v>1900.95</v>
      </c>
      <c r="O24" s="77">
        <f>L24-M24-N24</f>
        <v>-7600.95</v>
      </c>
      <c r="P24" s="79">
        <f>IFERROR($H24-L24,"")</f>
        <v>14022</v>
      </c>
      <c r="Q24" s="78">
        <f>IFERROR(($H24-L24)/$I24,"")</f>
        <v>0.3185225569033665</v>
      </c>
      <c r="R24" s="80">
        <f>IFERROR((1-Q24)*F24,"")</f>
        <v>2.0444323292899007</v>
      </c>
    </row>
    <row r="25" spans="2:32" s="81" customFormat="1" x14ac:dyDescent="0.35">
      <c r="C25" s="82"/>
      <c r="D25" s="83"/>
      <c r="E25" s="82"/>
      <c r="F25" s="84"/>
      <c r="G25" s="85"/>
      <c r="H25" s="85"/>
      <c r="I25" s="85"/>
      <c r="J25" s="86"/>
      <c r="K25" s="85"/>
      <c r="L25" s="85"/>
      <c r="M25" s="85"/>
      <c r="N25" s="85"/>
      <c r="O25" s="85"/>
      <c r="P25" s="85"/>
      <c r="Q25" s="85"/>
      <c r="R25" s="85"/>
    </row>
    <row r="26" spans="2:32" s="92" customFormat="1" ht="18.600000000000001" x14ac:dyDescent="0.4">
      <c r="B26" s="87" t="s">
        <v>50</v>
      </c>
      <c r="C26" s="87"/>
      <c r="D26" s="88">
        <f>SUBTOTAL(9,D19:D24)</f>
        <v>1</v>
      </c>
      <c r="E26" s="89">
        <f>SUBTOTAL(9,E19:E24)</f>
        <v>667</v>
      </c>
      <c r="F26" s="89"/>
      <c r="G26" s="89">
        <f>SUBTOTAL(9,G19:G24)</f>
        <v>30000</v>
      </c>
      <c r="H26" s="89">
        <f>SUBTOTAL(9,H19:H24)</f>
        <v>14022</v>
      </c>
      <c r="I26" s="89">
        <f>SUBTOTAL(9,I19:I24)</f>
        <v>44022</v>
      </c>
      <c r="J26" s="90">
        <f>H26/I26</f>
        <v>0.3185225569033665</v>
      </c>
      <c r="K26" s="89">
        <f t="shared" ref="K26:P26" si="25">SUBTOTAL(9,K19:K24)</f>
        <v>0</v>
      </c>
      <c r="L26" s="89">
        <f t="shared" si="25"/>
        <v>0</v>
      </c>
      <c r="M26" s="89">
        <f t="shared" si="25"/>
        <v>5700</v>
      </c>
      <c r="N26" s="89">
        <f t="shared" si="25"/>
        <v>1900.95</v>
      </c>
      <c r="O26" s="89">
        <f t="shared" si="25"/>
        <v>-7600.95</v>
      </c>
      <c r="P26" s="89">
        <f t="shared" si="25"/>
        <v>14022</v>
      </c>
      <c r="Q26" s="90">
        <f>($H26-L26)/$I26</f>
        <v>0.3185225569033665</v>
      </c>
      <c r="R26" s="91">
        <f>IFERROR((1-Q26)*F26,"")</f>
        <v>0</v>
      </c>
    </row>
    <row r="27" spans="2:32" x14ac:dyDescent="0.35">
      <c r="E27" s="221" t="str">
        <f>"Das enspricht "&amp;TEXT(E26/(C10),"0,0%") &amp; " des Leerstands p.a. über 3 Jahre."</f>
        <v>Das enspricht 13,0% des Leerstands p.a. über 3 Jahre.</v>
      </c>
      <c r="H27" s="208"/>
    </row>
    <row r="28" spans="2:32" x14ac:dyDescent="0.35">
      <c r="H28" s="208"/>
      <c r="I28" s="208"/>
    </row>
  </sheetData>
  <autoFilter ref="B17:M24" xr:uid="{00000000-0009-0000-0000-000000000000}"/>
  <conditionalFormatting sqref="C19:C23">
    <cfRule type="cellIs" dxfId="11" priority="39" operator="equal">
      <formula>"Verfügbar als Firmenwagen"</formula>
    </cfRule>
    <cfRule type="cellIs" dxfId="10" priority="40" operator="equal">
      <formula>"Verfügbar"</formula>
    </cfRule>
    <cfRule type="cellIs" dxfId="9" priority="41" operator="equal">
      <formula>"Nicht verfügbar"</formula>
    </cfRule>
  </conditionalFormatting>
  <conditionalFormatting sqref="F9">
    <cfRule type="containsText" dxfId="8" priority="19" operator="containsText" text="Bitte Produkt auswählen">
      <formula>NOT(ISERROR(SEARCH("Bitte Produkt auswählen",F9)))</formula>
    </cfRule>
    <cfRule type="cellIs" dxfId="7" priority="26" operator="lessThan">
      <formula>0.195</formula>
    </cfRule>
    <cfRule type="cellIs" dxfId="6" priority="27" operator="lessThan">
      <formula>0.295</formula>
    </cfRule>
    <cfRule type="cellIs" dxfId="5" priority="29" operator="greaterThanOrEqual">
      <formula>0.295</formula>
    </cfRule>
  </conditionalFormatting>
  <conditionalFormatting sqref="C24">
    <cfRule type="cellIs" dxfId="4" priority="13" operator="equal">
      <formula>"Verfügbar als Firmenwagen"</formula>
    </cfRule>
    <cfRule type="cellIs" dxfId="3" priority="14" operator="equal">
      <formula>"Verfügbar"</formula>
    </cfRule>
    <cfRule type="cellIs" dxfId="2" priority="15" operator="equal">
      <formula>"Nicht verfügbar"</formula>
    </cfRule>
  </conditionalFormatting>
  <conditionalFormatting sqref="G26">
    <cfRule type="cellIs" dxfId="1" priority="5" operator="greaterThan">
      <formula>50000</formula>
    </cfRule>
  </conditionalFormatting>
  <conditionalFormatting sqref="F12">
    <cfRule type="cellIs" dxfId="0" priority="1" operator="greaterThan">
      <formula>50000</formula>
    </cfRule>
  </conditionalFormatting>
  <dataValidations count="1">
    <dataValidation type="list" allowBlank="1" showInputMessage="1" showErrorMessage="1" sqref="C7" xr:uid="{00000000-0002-0000-0000-000000000000}">
      <formula1>"1-2 Sterne, 3 Sterne, 4 Sterne, 5 Sterne"</formula1>
    </dataValidation>
  </dataValidations>
  <pageMargins left="0.7" right="0.7" top="0.78740157499999996" bottom="0.78740157499999996" header="0.3" footer="0.3"/>
  <pageSetup orientation="portrait" r:id="rId1"/>
  <legacyDrawing r:id="rId2"/>
  <extLst>
    <ext xmlns:x14="http://schemas.microsoft.com/office/spreadsheetml/2009/9/main" uri="{CCE6A557-97BC-4b89-ADB6-D9C93CAAB3DF}">
      <x14:dataValidations xmlns:xm="http://schemas.microsoft.com/office/excel/2006/main" count="1">
        <x14:dataValidation type="list" allowBlank="1" showInputMessage="1" showErrorMessage="1" xr:uid="{00000000-0002-0000-0000-000002000000}">
          <x14:formula1>
            <xm:f>Annahmen!$B$12:$B$15</xm:f>
          </x14:formula1>
          <xm:sqref>C16</xm:sqref>
        </x14:dataValidation>
      </x14:dataValidations>
    </ext>
  </extLst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639AF583-2323-496F-B87E-3A835B3F3C3C}">
  <sheetPr>
    <tabColor theme="4"/>
  </sheetPr>
  <dimension ref="A1:P21"/>
  <sheetViews>
    <sheetView workbookViewId="0"/>
  </sheetViews>
  <sheetFormatPr baseColWidth="10" defaultRowHeight="14.4" x14ac:dyDescent="0.3"/>
  <cols>
    <col min="1" max="1" width="43.109375" bestFit="1" customWidth="1"/>
    <col min="2" max="2" width="10.88671875" hidden="1" customWidth="1"/>
    <col min="3" max="3" width="11.88671875" bestFit="1" customWidth="1"/>
    <col min="5" max="5" width="0" hidden="1" customWidth="1"/>
    <col min="8" max="8" width="0" hidden="1" customWidth="1"/>
    <col min="10" max="10" width="13.44140625" customWidth="1"/>
    <col min="11" max="11" width="0" hidden="1" customWidth="1"/>
    <col min="13" max="13" width="13.44140625" customWidth="1"/>
    <col min="14" max="14" width="0" hidden="1" customWidth="1"/>
    <col min="16" max="16" width="11.88671875" bestFit="1" customWidth="1"/>
  </cols>
  <sheetData>
    <row r="1" spans="1:16" ht="62.4" x14ac:dyDescent="0.3">
      <c r="A1" s="173" t="s">
        <v>206</v>
      </c>
      <c r="B1" s="174" t="s">
        <v>207</v>
      </c>
      <c r="C1" s="174"/>
      <c r="D1" s="175" t="s">
        <v>207</v>
      </c>
      <c r="E1" s="174" t="s">
        <v>208</v>
      </c>
      <c r="F1" s="174"/>
      <c r="G1" s="175" t="s">
        <v>208</v>
      </c>
      <c r="H1" s="174" t="s">
        <v>209</v>
      </c>
      <c r="I1" s="174"/>
      <c r="J1" s="175" t="s">
        <v>209</v>
      </c>
      <c r="K1" s="174" t="s">
        <v>210</v>
      </c>
      <c r="L1" s="174"/>
      <c r="M1" s="175" t="s">
        <v>210</v>
      </c>
      <c r="N1" s="174" t="s">
        <v>211</v>
      </c>
      <c r="O1" s="174"/>
      <c r="P1" s="175" t="s">
        <v>278</v>
      </c>
    </row>
    <row r="2" spans="1:16" ht="15.6" x14ac:dyDescent="0.3">
      <c r="A2" s="173" t="s">
        <v>212</v>
      </c>
      <c r="B2" s="174" t="s">
        <v>213</v>
      </c>
      <c r="C2" s="174"/>
      <c r="D2" s="175" t="s">
        <v>214</v>
      </c>
      <c r="E2" s="174" t="s">
        <v>213</v>
      </c>
      <c r="F2" s="174"/>
      <c r="G2" s="175" t="s">
        <v>214</v>
      </c>
      <c r="H2" s="174"/>
      <c r="I2" s="174"/>
      <c r="J2" s="175" t="s">
        <v>214</v>
      </c>
      <c r="K2" s="174" t="s">
        <v>215</v>
      </c>
      <c r="L2" s="174"/>
      <c r="M2" s="175" t="s">
        <v>214</v>
      </c>
      <c r="N2" s="174"/>
      <c r="O2" s="174"/>
      <c r="P2" s="175" t="s">
        <v>214</v>
      </c>
    </row>
    <row r="3" spans="1:16" ht="46.8" x14ac:dyDescent="0.3">
      <c r="A3" s="177" t="s">
        <v>216</v>
      </c>
      <c r="B3" s="178" t="s">
        <v>217</v>
      </c>
      <c r="C3" s="178" t="s">
        <v>238</v>
      </c>
      <c r="D3" s="179" t="s">
        <v>218</v>
      </c>
      <c r="E3" s="178" t="s">
        <v>217</v>
      </c>
      <c r="F3" s="178"/>
      <c r="G3" s="180" t="s">
        <v>219</v>
      </c>
      <c r="H3" s="178" t="s">
        <v>220</v>
      </c>
      <c r="I3" s="178"/>
      <c r="J3" s="180" t="s">
        <v>219</v>
      </c>
      <c r="K3" s="178" t="s">
        <v>221</v>
      </c>
      <c r="L3" s="178"/>
      <c r="M3" s="179" t="s">
        <v>218</v>
      </c>
      <c r="N3" s="178" t="s">
        <v>222</v>
      </c>
      <c r="O3" s="178"/>
      <c r="P3" s="179"/>
    </row>
    <row r="4" spans="1:16" ht="15.6" x14ac:dyDescent="0.3">
      <c r="A4" s="181" t="s">
        <v>223</v>
      </c>
      <c r="B4" s="182" t="s">
        <v>224</v>
      </c>
      <c r="C4" s="182"/>
      <c r="D4" s="183" t="s">
        <v>224</v>
      </c>
      <c r="E4" s="182" t="s">
        <v>224</v>
      </c>
      <c r="F4" s="182"/>
      <c r="G4" s="183" t="s">
        <v>224</v>
      </c>
      <c r="H4" s="182" t="s">
        <v>225</v>
      </c>
      <c r="I4" s="182"/>
      <c r="J4" s="183" t="s">
        <v>225</v>
      </c>
      <c r="K4" s="182" t="s">
        <v>226</v>
      </c>
      <c r="L4" s="182"/>
      <c r="M4" s="183" t="s">
        <v>226</v>
      </c>
      <c r="N4" s="182" t="s">
        <v>227</v>
      </c>
      <c r="O4" s="182"/>
      <c r="P4" s="183"/>
    </row>
    <row r="5" spans="1:16" ht="15.6" x14ac:dyDescent="0.3">
      <c r="A5" s="181" t="s">
        <v>228</v>
      </c>
      <c r="B5" s="184">
        <v>499</v>
      </c>
      <c r="C5" s="184"/>
      <c r="D5" s="185">
        <v>399</v>
      </c>
      <c r="E5" s="184">
        <v>499</v>
      </c>
      <c r="F5" s="184"/>
      <c r="G5" s="185">
        <v>499</v>
      </c>
      <c r="H5" s="184">
        <v>649</v>
      </c>
      <c r="I5" s="184"/>
      <c r="J5" s="185">
        <v>649</v>
      </c>
      <c r="K5" s="184">
        <v>899</v>
      </c>
      <c r="L5" s="184"/>
      <c r="M5" s="185">
        <v>629</v>
      </c>
      <c r="N5" s="184">
        <v>1099</v>
      </c>
      <c r="O5" s="184"/>
      <c r="P5" s="185"/>
    </row>
    <row r="6" spans="1:16" ht="15.6" x14ac:dyDescent="0.3">
      <c r="A6" s="181"/>
      <c r="B6" s="186"/>
      <c r="C6" s="186"/>
      <c r="D6" s="187"/>
      <c r="E6" s="186"/>
      <c r="F6" s="186"/>
      <c r="G6" s="187"/>
      <c r="H6" s="176"/>
      <c r="I6" s="176"/>
      <c r="J6" s="188"/>
      <c r="K6" s="176"/>
      <c r="L6" s="176"/>
      <c r="M6" s="188"/>
      <c r="N6" s="189"/>
      <c r="O6" s="176"/>
      <c r="P6" s="188"/>
    </row>
    <row r="7" spans="1:16" ht="15.6" x14ac:dyDescent="0.3">
      <c r="A7" s="181" t="s">
        <v>229</v>
      </c>
      <c r="B7" s="190">
        <v>563.99</v>
      </c>
      <c r="C7" s="159">
        <v>1</v>
      </c>
      <c r="D7" s="191">
        <v>463.98</v>
      </c>
      <c r="E7" s="190">
        <v>563.99</v>
      </c>
      <c r="F7" s="159">
        <v>1</v>
      </c>
      <c r="G7" s="191">
        <v>533.99</v>
      </c>
      <c r="H7" s="192">
        <v>713.99</v>
      </c>
      <c r="I7" s="159">
        <v>1</v>
      </c>
      <c r="J7" s="193">
        <v>613.99</v>
      </c>
      <c r="K7" s="192">
        <v>963.98</v>
      </c>
      <c r="L7" s="159">
        <v>1</v>
      </c>
      <c r="M7" s="193">
        <v>693.98</v>
      </c>
      <c r="N7" s="192">
        <v>1188.99</v>
      </c>
      <c r="O7" s="159"/>
      <c r="P7" s="193"/>
    </row>
    <row r="8" spans="1:16" ht="15.6" x14ac:dyDescent="0.3">
      <c r="A8" s="194" t="s">
        <v>230</v>
      </c>
      <c r="B8" s="195">
        <v>499</v>
      </c>
      <c r="C8" s="159"/>
      <c r="D8" s="196">
        <v>399</v>
      </c>
      <c r="E8" s="195">
        <v>499</v>
      </c>
      <c r="F8" s="159"/>
      <c r="G8" s="196">
        <v>469</v>
      </c>
      <c r="H8" s="197">
        <v>649</v>
      </c>
      <c r="I8" s="159"/>
      <c r="J8" s="198">
        <v>549</v>
      </c>
      <c r="K8" s="197">
        <v>899</v>
      </c>
      <c r="L8" s="159"/>
      <c r="M8" s="198">
        <v>629</v>
      </c>
      <c r="N8" s="197">
        <v>1099</v>
      </c>
      <c r="O8" s="159"/>
      <c r="P8" s="198"/>
    </row>
    <row r="9" spans="1:16" ht="15.6" x14ac:dyDescent="0.3">
      <c r="A9" s="194" t="s">
        <v>231</v>
      </c>
      <c r="B9" s="195">
        <v>648.99</v>
      </c>
      <c r="C9" s="159"/>
      <c r="D9" s="196">
        <v>548.98</v>
      </c>
      <c r="E9" s="195">
        <v>648.99</v>
      </c>
      <c r="F9" s="159"/>
      <c r="G9" s="196">
        <v>618.99</v>
      </c>
      <c r="H9" s="197">
        <v>798.99</v>
      </c>
      <c r="I9" s="159"/>
      <c r="J9" s="198">
        <v>698.99</v>
      </c>
      <c r="K9" s="197">
        <v>1048.99</v>
      </c>
      <c r="L9" s="159"/>
      <c r="M9" s="198">
        <v>778.99</v>
      </c>
      <c r="N9" s="197">
        <v>1278.99</v>
      </c>
      <c r="O9" s="159"/>
      <c r="P9" s="198"/>
    </row>
    <row r="10" spans="1:16" ht="15.6" x14ac:dyDescent="0.3">
      <c r="A10" s="181" t="s">
        <v>232</v>
      </c>
      <c r="B10" s="190">
        <v>89.99</v>
      </c>
      <c r="C10" s="159">
        <v>1</v>
      </c>
      <c r="D10" s="191">
        <v>89.99</v>
      </c>
      <c r="E10" s="190">
        <v>89.99</v>
      </c>
      <c r="F10" s="159">
        <v>1</v>
      </c>
      <c r="G10" s="191">
        <v>89.99</v>
      </c>
      <c r="H10" s="192">
        <v>89.99</v>
      </c>
      <c r="I10" s="159">
        <v>1</v>
      </c>
      <c r="J10" s="193">
        <v>89.99</v>
      </c>
      <c r="K10" s="192">
        <v>109.99</v>
      </c>
      <c r="L10" s="159">
        <v>1</v>
      </c>
      <c r="M10" s="193">
        <v>109.99</v>
      </c>
      <c r="N10" s="192">
        <v>129.97999999999999</v>
      </c>
      <c r="O10" s="159"/>
      <c r="P10" s="193"/>
    </row>
    <row r="11" spans="1:16" ht="15.6" x14ac:dyDescent="0.3">
      <c r="A11" s="181" t="s">
        <v>233</v>
      </c>
      <c r="B11" s="190">
        <v>29.99</v>
      </c>
      <c r="C11" s="159">
        <v>1</v>
      </c>
      <c r="D11" s="191">
        <v>29.99</v>
      </c>
      <c r="E11" s="190">
        <v>29.99</v>
      </c>
      <c r="F11" s="159">
        <v>1</v>
      </c>
      <c r="G11" s="191">
        <v>29.99</v>
      </c>
      <c r="H11" s="192">
        <v>29.99</v>
      </c>
      <c r="I11" s="159">
        <v>1</v>
      </c>
      <c r="J11" s="193">
        <v>29.99</v>
      </c>
      <c r="K11" s="192">
        <v>29.99</v>
      </c>
      <c r="L11" s="159">
        <v>1</v>
      </c>
      <c r="M11" s="193">
        <v>29.99</v>
      </c>
      <c r="N11" s="192">
        <v>29.99</v>
      </c>
      <c r="O11" s="159"/>
      <c r="P11" s="193"/>
    </row>
    <row r="12" spans="1:16" ht="15.6" x14ac:dyDescent="0.3">
      <c r="A12" s="181" t="s">
        <v>234</v>
      </c>
      <c r="B12" s="190">
        <v>9.98</v>
      </c>
      <c r="C12" s="159">
        <v>1</v>
      </c>
      <c r="D12" s="191">
        <v>9.98</v>
      </c>
      <c r="E12" s="190">
        <v>9.98</v>
      </c>
      <c r="F12" s="159">
        <v>1</v>
      </c>
      <c r="G12" s="191">
        <v>9.98</v>
      </c>
      <c r="H12" s="192">
        <v>9.98</v>
      </c>
      <c r="I12" s="159">
        <v>1</v>
      </c>
      <c r="J12" s="193">
        <v>9.98</v>
      </c>
      <c r="K12" s="192">
        <v>9.98</v>
      </c>
      <c r="L12" s="159">
        <v>1</v>
      </c>
      <c r="M12" s="193">
        <v>9.98</v>
      </c>
      <c r="N12" s="192">
        <v>9.98</v>
      </c>
      <c r="O12" s="159"/>
      <c r="P12" s="193"/>
    </row>
    <row r="13" spans="1:16" ht="15.6" x14ac:dyDescent="0.3">
      <c r="A13" s="181" t="s">
        <v>235</v>
      </c>
      <c r="B13" s="190">
        <v>29.99</v>
      </c>
      <c r="C13" s="159"/>
      <c r="D13" s="191"/>
      <c r="E13" s="190">
        <v>29.99</v>
      </c>
      <c r="F13" s="159">
        <v>1</v>
      </c>
      <c r="G13" s="191">
        <v>29.99</v>
      </c>
      <c r="H13" s="192">
        <v>29.99</v>
      </c>
      <c r="I13" s="159">
        <v>1</v>
      </c>
      <c r="J13" s="193">
        <v>29.99</v>
      </c>
      <c r="K13" s="192">
        <v>29.99</v>
      </c>
      <c r="L13" s="159"/>
      <c r="M13" s="193"/>
      <c r="N13" s="192">
        <v>29.99</v>
      </c>
      <c r="O13" s="159"/>
      <c r="P13" s="193"/>
    </row>
    <row r="14" spans="1:16" ht="15.6" x14ac:dyDescent="0.3">
      <c r="A14" s="181" t="s">
        <v>236</v>
      </c>
      <c r="B14" s="190">
        <v>14.98</v>
      </c>
      <c r="C14" s="159">
        <v>1</v>
      </c>
      <c r="D14" s="191">
        <v>15</v>
      </c>
      <c r="E14" s="190">
        <v>14.98</v>
      </c>
      <c r="F14" s="159">
        <v>1</v>
      </c>
      <c r="G14" s="191">
        <v>15</v>
      </c>
      <c r="H14" s="192">
        <v>14.98</v>
      </c>
      <c r="I14" s="159">
        <v>1</v>
      </c>
      <c r="J14" s="193">
        <v>15</v>
      </c>
      <c r="K14" s="192">
        <v>14.98</v>
      </c>
      <c r="L14" s="159">
        <v>1</v>
      </c>
      <c r="M14" s="193">
        <v>15</v>
      </c>
      <c r="N14" s="192">
        <v>14.98</v>
      </c>
      <c r="O14" s="159"/>
      <c r="P14" s="193"/>
    </row>
    <row r="15" spans="1:16" ht="16.2" thickBot="1" x14ac:dyDescent="0.35">
      <c r="A15" s="199" t="s">
        <v>240</v>
      </c>
      <c r="B15" s="200">
        <v>59.97</v>
      </c>
      <c r="C15" s="159">
        <v>3</v>
      </c>
      <c r="D15" s="201">
        <v>19.989999999999998</v>
      </c>
      <c r="E15" s="200">
        <v>59.97</v>
      </c>
      <c r="F15" s="159">
        <v>3</v>
      </c>
      <c r="G15" s="201">
        <v>19.989999999999998</v>
      </c>
      <c r="H15" s="202">
        <v>59.97</v>
      </c>
      <c r="I15" s="159">
        <v>3</v>
      </c>
      <c r="J15" s="201">
        <v>19.989999999999998</v>
      </c>
      <c r="K15" s="202">
        <v>59.97</v>
      </c>
      <c r="L15" s="159">
        <v>3</v>
      </c>
      <c r="M15" s="201">
        <v>19.989999999999998</v>
      </c>
      <c r="N15" s="202">
        <v>59.97</v>
      </c>
      <c r="O15" s="159"/>
      <c r="P15" s="201"/>
    </row>
    <row r="16" spans="1:16" ht="16.2" thickTop="1" x14ac:dyDescent="0.3">
      <c r="A16" s="181"/>
      <c r="B16" s="186"/>
      <c r="C16" s="186"/>
      <c r="D16" s="187"/>
      <c r="E16" s="186"/>
      <c r="F16" s="186"/>
      <c r="G16" s="187"/>
      <c r="H16" s="176"/>
      <c r="I16" s="176"/>
      <c r="J16" s="188"/>
      <c r="K16" s="176"/>
      <c r="L16" s="176"/>
      <c r="M16" s="188"/>
      <c r="N16" s="176"/>
      <c r="O16" s="176"/>
      <c r="P16" s="188"/>
    </row>
    <row r="17" spans="1:16" ht="15.6" x14ac:dyDescent="0.3">
      <c r="A17" s="203" t="s">
        <v>239</v>
      </c>
      <c r="B17" s="204"/>
      <c r="C17" s="204"/>
      <c r="D17" s="205">
        <f>SUMPRODUCT(C7:C15,D7:D15)</f>
        <v>668.91000000000008</v>
      </c>
      <c r="E17" s="204"/>
      <c r="F17" s="204"/>
      <c r="G17" s="205">
        <f>SUMPRODUCT(F7:F15,G7:G15)</f>
        <v>768.91000000000008</v>
      </c>
      <c r="H17" s="206"/>
      <c r="I17" s="206"/>
      <c r="J17" s="205">
        <f>SUMPRODUCT(I7:I15,J7:J15)</f>
        <v>848.91000000000008</v>
      </c>
      <c r="K17" s="206"/>
      <c r="L17" s="206"/>
      <c r="M17" s="205">
        <f>SUMPRODUCT(L7:L15,M7:M15)</f>
        <v>918.91000000000008</v>
      </c>
      <c r="N17" s="206"/>
      <c r="O17" s="176"/>
      <c r="P17" s="205">
        <f>SUMPRODUCT(O7:O15,P7:P15)</f>
        <v>0</v>
      </c>
    </row>
    <row r="18" spans="1:16" ht="15.6" x14ac:dyDescent="0.3">
      <c r="A18" s="207" t="s">
        <v>237</v>
      </c>
      <c r="B18" s="186"/>
      <c r="C18" s="186"/>
      <c r="D18" s="190"/>
      <c r="E18" s="186"/>
      <c r="F18" s="186"/>
      <c r="G18" s="186"/>
      <c r="H18" s="176"/>
      <c r="I18" s="176"/>
      <c r="J18" s="176"/>
      <c r="K18" s="176"/>
      <c r="L18" s="176"/>
      <c r="M18" s="176"/>
      <c r="N18" s="176"/>
      <c r="O18" s="176"/>
    </row>
    <row r="19" spans="1:16" ht="15.6" x14ac:dyDescent="0.3">
      <c r="A19" s="203" t="s">
        <v>241</v>
      </c>
      <c r="B19" s="186"/>
      <c r="C19" s="186"/>
      <c r="D19" s="204">
        <f>D17*12</f>
        <v>8026.920000000001</v>
      </c>
      <c r="E19" s="186"/>
      <c r="F19" s="186"/>
      <c r="G19" s="204">
        <f>G17*12</f>
        <v>9226.9200000000019</v>
      </c>
      <c r="H19" s="176"/>
      <c r="I19" s="176"/>
      <c r="J19" s="204">
        <f>J17*12</f>
        <v>10186.920000000002</v>
      </c>
      <c r="K19" s="176"/>
      <c r="L19" s="176"/>
      <c r="M19" s="204">
        <f>M17*12</f>
        <v>11026.920000000002</v>
      </c>
      <c r="N19" s="176"/>
      <c r="O19" s="176"/>
      <c r="P19" s="204">
        <f>P17*12</f>
        <v>0</v>
      </c>
    </row>
    <row r="20" spans="1:16" ht="15.6" x14ac:dyDescent="0.3">
      <c r="A20" s="203" t="s">
        <v>242</v>
      </c>
      <c r="B20" s="204"/>
      <c r="C20" s="204">
        <f>SUM(C19:O19)</f>
        <v>38467.680000000008</v>
      </c>
      <c r="D20" s="204"/>
      <c r="E20" s="186"/>
      <c r="F20" s="186"/>
      <c r="G20" s="204"/>
      <c r="H20" s="176"/>
      <c r="I20" s="176"/>
      <c r="J20" s="204"/>
      <c r="K20" s="176"/>
      <c r="L20" s="176"/>
      <c r="M20" s="204"/>
      <c r="N20" s="176"/>
      <c r="O20" s="176"/>
    </row>
    <row r="21" spans="1:16" ht="15.6" x14ac:dyDescent="0.3">
      <c r="A21" s="176"/>
      <c r="B21" s="186"/>
      <c r="C21" s="186"/>
      <c r="D21" s="186"/>
      <c r="E21" s="186"/>
      <c r="F21" s="186"/>
      <c r="G21" s="186"/>
      <c r="H21" s="176"/>
      <c r="I21" s="176"/>
      <c r="J21" s="176"/>
      <c r="K21" s="176"/>
      <c r="L21" s="176"/>
      <c r="M21" s="176"/>
      <c r="N21" s="176"/>
      <c r="O21" s="176"/>
    </row>
  </sheetData>
  <pageMargins left="0.7" right="0.7" top="0.78740157499999996" bottom="0.78740157499999996" header="0.3" footer="0.3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3B74D32A-3E1A-48BD-B1A6-8FA666CC655E}">
  <sheetPr codeName="Sheet2">
    <tabColor theme="4"/>
  </sheetPr>
  <dimension ref="B2:K37"/>
  <sheetViews>
    <sheetView showGridLines="0" workbookViewId="0">
      <selection activeCell="C4" sqref="C4"/>
    </sheetView>
  </sheetViews>
  <sheetFormatPr baseColWidth="10" defaultColWidth="8.5546875" defaultRowHeight="14.4" x14ac:dyDescent="0.35"/>
  <cols>
    <col min="1" max="1" width="3" style="97" customWidth="1"/>
    <col min="2" max="2" width="41" style="97" bestFit="1" customWidth="1"/>
    <col min="3" max="3" width="37.44140625" style="234" bestFit="1" customWidth="1"/>
    <col min="4" max="5" width="8.5546875" style="97"/>
    <col min="6" max="6" width="11.88671875" style="97" bestFit="1" customWidth="1"/>
    <col min="7" max="16384" width="8.5546875" style="97"/>
  </cols>
  <sheetData>
    <row r="2" spans="2:11" x14ac:dyDescent="0.35">
      <c r="B2" s="103" t="s">
        <v>51</v>
      </c>
      <c r="C2" s="225">
        <v>25</v>
      </c>
    </row>
    <row r="3" spans="2:11" x14ac:dyDescent="0.35">
      <c r="B3" s="103" t="s">
        <v>52</v>
      </c>
      <c r="C3" s="225">
        <v>45</v>
      </c>
    </row>
    <row r="4" spans="2:11" x14ac:dyDescent="0.35">
      <c r="B4" s="103" t="s">
        <v>53</v>
      </c>
      <c r="C4" s="226">
        <f>+C3-C2</f>
        <v>20</v>
      </c>
    </row>
    <row r="5" spans="2:11" ht="6" customHeight="1" x14ac:dyDescent="0.35">
      <c r="C5" s="227"/>
    </row>
    <row r="6" spans="2:11" x14ac:dyDescent="0.35">
      <c r="B6" s="103" t="s">
        <v>54</v>
      </c>
      <c r="C6" s="225" t="s">
        <v>264</v>
      </c>
    </row>
    <row r="7" spans="2:11" x14ac:dyDescent="0.35">
      <c r="B7" s="103" t="s">
        <v>55</v>
      </c>
      <c r="C7" s="226">
        <f>IFERROR(INDEX('Preise Output'!$B$19:$E$24,MATCH(Preisvergleich!$C$6,'Preise Output'!$B$19:$B$24,0),4)/INDEX('Preise Output'!$B$19:$E$24,MATCH(Preisvergleich!$C$6,'Preise Output'!$B$19:$B$24,0),3),"--")</f>
        <v>667</v>
      </c>
    </row>
    <row r="9" spans="2:11" x14ac:dyDescent="0.35">
      <c r="B9" s="109" t="s">
        <v>56</v>
      </c>
      <c r="C9" s="228"/>
    </row>
    <row r="11" spans="2:11" ht="15" thickBot="1" x14ac:dyDescent="0.4">
      <c r="B11" s="106" t="s">
        <v>255</v>
      </c>
      <c r="C11" s="229">
        <f>C12</f>
        <v>25210.084033613446</v>
      </c>
    </row>
    <row r="12" spans="2:11" x14ac:dyDescent="0.35">
      <c r="B12" s="212" t="s">
        <v>285</v>
      </c>
      <c r="C12" s="230">
        <f>F13+F14</f>
        <v>25210.084033613446</v>
      </c>
      <c r="E12" s="97" t="s">
        <v>286</v>
      </c>
      <c r="F12" s="97" t="s">
        <v>287</v>
      </c>
    </row>
    <row r="13" spans="2:11" x14ac:dyDescent="0.35">
      <c r="B13" s="98" t="str">
        <f>"Mehrwertsteuer " &amp; TEXT(E13,"0%")</f>
        <v>Mehrwertsteuer 7%</v>
      </c>
      <c r="C13" s="231">
        <f>E13*F13</f>
        <v>0</v>
      </c>
      <c r="E13" s="223">
        <v>7.0000000000000007E-2</v>
      </c>
      <c r="F13" s="104">
        <v>0</v>
      </c>
    </row>
    <row r="14" spans="2:11" ht="15" thickBot="1" x14ac:dyDescent="0.4">
      <c r="B14" s="99" t="str">
        <f>"Mehrwertsteuer " &amp; TEXT(E14,"0%")</f>
        <v>Mehrwertsteuer 19%</v>
      </c>
      <c r="C14" s="232">
        <f>F14*E14</f>
        <v>4789.9159663865548</v>
      </c>
      <c r="E14" s="223">
        <v>0.19</v>
      </c>
      <c r="F14" s="162">
        <f>(F18-F13*(1+E13))/(1+E14)</f>
        <v>25210.084033613446</v>
      </c>
    </row>
    <row r="15" spans="2:11" hidden="1" x14ac:dyDescent="0.35">
      <c r="B15" s="105" t="s">
        <v>61</v>
      </c>
      <c r="C15" s="233"/>
      <c r="K15" s="162"/>
    </row>
    <row r="16" spans="2:11" hidden="1" x14ac:dyDescent="0.35">
      <c r="B16" s="98" t="s">
        <v>179</v>
      </c>
      <c r="D16" s="162"/>
    </row>
    <row r="17" spans="2:8" ht="15" hidden="1" thickBot="1" x14ac:dyDescent="0.4">
      <c r="B17" s="99" t="s">
        <v>62</v>
      </c>
      <c r="C17" s="235"/>
      <c r="D17" s="97" t="s">
        <v>184</v>
      </c>
    </row>
    <row r="18" spans="2:8" x14ac:dyDescent="0.35">
      <c r="B18" s="100" t="s">
        <v>180</v>
      </c>
      <c r="C18" s="236">
        <f>SUM(C12:C14)</f>
        <v>30000</v>
      </c>
      <c r="F18" s="97">
        <f>'Preise Output'!G26</f>
        <v>30000</v>
      </c>
    </row>
    <row r="21" spans="2:8" x14ac:dyDescent="0.35">
      <c r="B21" s="109" t="s">
        <v>63</v>
      </c>
      <c r="C21" s="228"/>
    </row>
    <row r="22" spans="2:8" ht="6.75" customHeight="1" x14ac:dyDescent="0.35"/>
    <row r="23" spans="2:8" x14ac:dyDescent="0.35">
      <c r="B23" s="101" t="s">
        <v>258</v>
      </c>
    </row>
    <row r="24" spans="2:8" x14ac:dyDescent="0.35">
      <c r="B24" s="107" t="str">
        <f>C7&amp;" "&amp;"Gutscheine"&amp;" "&amp;"x"&amp;" "&amp;ROUND('Preise Output'!F7,2)&amp;"€"&amp;" "&amp;"je"&amp;" "&amp;"Gutschein"</f>
        <v>667 Gutscheine x 45€ je Gutschein</v>
      </c>
      <c r="C24" s="237">
        <f>IFERROR(C7*'Preise Output'!$F$7,"--")</f>
        <v>30015</v>
      </c>
    </row>
    <row r="25" spans="2:8" x14ac:dyDescent="0.35">
      <c r="B25" s="97" t="str">
        <f>"Das enspricht "&amp;TEXT('Preise Output'!E26/('Preise Output'!C10),"0,0%") &amp; " des Leerstands p.a."</f>
        <v>Das enspricht 13,0% des Leerstands p.a.</v>
      </c>
      <c r="C25" s="231"/>
      <c r="E25" s="97" t="s">
        <v>286</v>
      </c>
      <c r="F25" s="97" t="s">
        <v>287</v>
      </c>
    </row>
    <row r="26" spans="2:8" x14ac:dyDescent="0.35">
      <c r="B26" s="98" t="str">
        <f>"Mehrwertsteuer " &amp; TEXT(E26,"0%")</f>
        <v>Mehrwertsteuer 7%</v>
      </c>
      <c r="C26" s="234">
        <f>IFERROR(F26*E26,"--")</f>
        <v>1867.6000000000001</v>
      </c>
      <c r="E26" s="223">
        <v>7.0000000000000007E-2</v>
      </c>
      <c r="F26" s="162">
        <f>C24-F27</f>
        <v>26680</v>
      </c>
    </row>
    <row r="27" spans="2:8" ht="15" thickBot="1" x14ac:dyDescent="0.4">
      <c r="B27" s="99" t="str">
        <f>"Mehrwertsteuer " &amp; TEXT(E27,"0%")</f>
        <v>Mehrwertsteuer 19%</v>
      </c>
      <c r="C27" s="234">
        <f>IFERROR(F27*E27,"--")</f>
        <v>633.65</v>
      </c>
      <c r="E27" s="223">
        <v>0.19</v>
      </c>
      <c r="F27" s="162">
        <f>G27*C7</f>
        <v>3335</v>
      </c>
      <c r="G27" s="104">
        <v>5</v>
      </c>
      <c r="H27" s="97" t="s">
        <v>292</v>
      </c>
    </row>
    <row r="30" spans="2:8" x14ac:dyDescent="0.35">
      <c r="B30" s="96" t="s">
        <v>64</v>
      </c>
    </row>
    <row r="31" spans="2:8" x14ac:dyDescent="0.35">
      <c r="B31" s="107" t="str">
        <f>C4&amp;"€"&amp;" "&amp;"je"&amp;" "&amp;"Gutschein"&amp;" "&amp;"x"&amp;" "&amp;C7&amp;" "&amp;"Roomnights"</f>
        <v>20€ je Gutschein x 667 Roomnights</v>
      </c>
      <c r="C31" s="237">
        <f>C7*C4</f>
        <v>13340</v>
      </c>
    </row>
    <row r="32" spans="2:8" x14ac:dyDescent="0.35">
      <c r="B32" s="108" t="s">
        <v>293</v>
      </c>
      <c r="C32" s="229">
        <f>C26+C27</f>
        <v>2501.25</v>
      </c>
    </row>
    <row r="33" spans="2:3" ht="15" thickBot="1" x14ac:dyDescent="0.4">
      <c r="B33" s="115" t="s">
        <v>288</v>
      </c>
      <c r="C33" s="238">
        <f>-(C13+C14)</f>
        <v>-4789.9159663865548</v>
      </c>
    </row>
    <row r="34" spans="2:3" x14ac:dyDescent="0.35">
      <c r="B34" s="96" t="s">
        <v>271</v>
      </c>
      <c r="C34" s="236">
        <f>SUM(C31:C33)</f>
        <v>11051.334033613446</v>
      </c>
    </row>
    <row r="36" spans="2:3" x14ac:dyDescent="0.35">
      <c r="B36" s="102" t="s">
        <v>65</v>
      </c>
      <c r="C36" s="239">
        <f>C12-C34</f>
        <v>14158.75</v>
      </c>
    </row>
    <row r="37" spans="2:3" x14ac:dyDescent="0.35">
      <c r="B37" s="97" t="s">
        <v>289</v>
      </c>
      <c r="C37" s="240">
        <f>C36/C12</f>
        <v>0.56163041666666669</v>
      </c>
    </row>
  </sheetData>
  <dataConsolidate/>
  <dataValidations disablePrompts="1" count="1">
    <dataValidation type="whole" showInputMessage="1" showErrorMessage="1" errorTitle="Nicht im Angebot enthalten" error="Dieses Produkt ist im Angebot nicht ausgewählt worden. Bitte die richtige Anzahl an Produkten auf dem Tab &quot;Preise Output&quot; angeben" sqref="C7" xr:uid="{2A3B4113-4447-40CA-85DE-F2D2A7C9E96E}">
      <formula1>1</formula1>
      <formula2>1000</formula2>
    </dataValidation>
  </dataValidations>
  <pageMargins left="0.7" right="0.7" top="0.75" bottom="0.75" header="0.3" footer="0.3"/>
  <pageSetup paperSize="9" orientation="portrait" r:id="rId1"/>
  <extLst>
    <ext xmlns:x14="http://schemas.microsoft.com/office/spreadsheetml/2009/9/main" uri="{CCE6A557-97BC-4b89-ADB6-D9C93CAAB3DF}">
      <x14:dataValidations xmlns:xm="http://schemas.microsoft.com/office/excel/2006/main" disablePrompts="1" count="1">
        <x14:dataValidation type="list" showInputMessage="1" showErrorMessage="1" xr:uid="{BE6E83AE-2B59-4F59-9722-C607DE02B814}">
          <x14:formula1>
            <xm:f>'Preise Output'!$B$19:$B$24</xm:f>
          </x14:formula1>
          <xm:sqref>C6</xm:sqref>
        </x14:dataValidation>
      </x14:dataValidations>
    </ext>
  </extLst>
</worksheet>
</file>

<file path=xl/worksheets/sheet4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sheetPr codeName="Sheet3">
    <tabColor rgb="FFFFC000"/>
  </sheetPr>
  <dimension ref="B2:T200"/>
  <sheetViews>
    <sheetView showGridLines="0" zoomScale="80" zoomScaleNormal="80" workbookViewId="0">
      <pane xSplit="3" ySplit="4" topLeftCell="G6" activePane="bottomRight" state="frozen"/>
      <selection pane="topRight" activeCell="B28" sqref="B28"/>
      <selection pane="bottomLeft" activeCell="B28" sqref="B28"/>
      <selection pane="bottomRight" activeCell="G17" sqref="G17"/>
    </sheetView>
  </sheetViews>
  <sheetFormatPr baseColWidth="10" defaultColWidth="10.5546875" defaultRowHeight="14.4" x14ac:dyDescent="0.3"/>
  <cols>
    <col min="1" max="1" width="7.44140625" customWidth="1"/>
    <col min="2" max="2" width="21.44140625" customWidth="1"/>
    <col min="3" max="3" width="42" customWidth="1"/>
    <col min="4" max="5" width="24.5546875" customWidth="1"/>
    <col min="6" max="6" width="24.44140625" customWidth="1"/>
    <col min="7" max="7" width="20" customWidth="1"/>
    <col min="8" max="8" width="17.44140625" customWidth="1"/>
    <col min="9" max="12" width="20.44140625" customWidth="1"/>
    <col min="13" max="13" width="18.44140625" customWidth="1"/>
    <col min="14" max="14" width="13.44140625" bestFit="1" customWidth="1"/>
    <col min="15" max="15" width="13.44140625" customWidth="1"/>
    <col min="16" max="16" width="19.44140625" customWidth="1"/>
    <col min="17" max="17" width="20" style="7" customWidth="1"/>
    <col min="18" max="18" width="14.44140625" customWidth="1"/>
    <col min="19" max="19" width="15.44140625" customWidth="1"/>
    <col min="20" max="20" width="12" bestFit="1" customWidth="1"/>
  </cols>
  <sheetData>
    <row r="2" spans="2:19" s="94" customFormat="1" ht="24" customHeight="1" x14ac:dyDescent="0.3">
      <c r="B2" s="94" t="s">
        <v>66</v>
      </c>
      <c r="Q2" s="95"/>
    </row>
    <row r="3" spans="2:19" x14ac:dyDescent="0.3">
      <c r="N3" t="s">
        <v>61</v>
      </c>
      <c r="O3" t="s">
        <v>172</v>
      </c>
    </row>
    <row r="4" spans="2:19" s="1" customFormat="1" ht="43.2" x14ac:dyDescent="0.3">
      <c r="B4" s="113" t="s">
        <v>6</v>
      </c>
      <c r="C4" s="113" t="s">
        <v>54</v>
      </c>
      <c r="D4" s="113" t="s">
        <v>70</v>
      </c>
      <c r="E4" s="113" t="s">
        <v>71</v>
      </c>
      <c r="F4" s="113" t="s">
        <v>257</v>
      </c>
      <c r="G4" s="113" t="s">
        <v>255</v>
      </c>
      <c r="H4" s="113" t="s">
        <v>240</v>
      </c>
      <c r="I4" s="113" t="s">
        <v>256</v>
      </c>
      <c r="J4" s="113"/>
      <c r="K4" s="113" t="s">
        <v>236</v>
      </c>
      <c r="L4" s="113" t="s">
        <v>61</v>
      </c>
      <c r="M4" s="113" t="s">
        <v>79</v>
      </c>
      <c r="N4" s="113" t="s">
        <v>195</v>
      </c>
      <c r="O4" s="113" t="s">
        <v>176</v>
      </c>
      <c r="P4" s="113" t="s">
        <v>21</v>
      </c>
      <c r="Q4" s="114" t="s">
        <v>22</v>
      </c>
      <c r="R4" s="113" t="s">
        <v>81</v>
      </c>
      <c r="S4" s="113" t="s">
        <v>82</v>
      </c>
    </row>
    <row r="5" spans="2:19" s="1" customFormat="1" x14ac:dyDescent="0.3">
      <c r="B5" s="9" t="s">
        <v>83</v>
      </c>
      <c r="C5" s="10" t="s">
        <v>174</v>
      </c>
      <c r="D5" s="10" t="s">
        <v>84</v>
      </c>
      <c r="E5" s="10"/>
      <c r="F5" s="11">
        <v>0</v>
      </c>
      <c r="G5" s="36">
        <f>1784*1.07+50</f>
        <v>1958.88</v>
      </c>
      <c r="H5" s="11">
        <f>125</f>
        <v>125</v>
      </c>
      <c r="I5" s="11">
        <f t="shared" ref="I5:I9" si="0">99+100</f>
        <v>199</v>
      </c>
      <c r="J5" s="11">
        <f t="shared" ref="J5:J9" si="1">79*3</f>
        <v>237</v>
      </c>
      <c r="K5" s="11">
        <v>59</v>
      </c>
      <c r="L5" s="11"/>
      <c r="M5" s="11">
        <v>0</v>
      </c>
      <c r="N5" s="11">
        <v>65</v>
      </c>
      <c r="O5" s="11">
        <v>100</v>
      </c>
      <c r="P5" s="12">
        <v>3</v>
      </c>
      <c r="Q5" s="13">
        <f>G5+H5+K5+I5*(P5-1)+N5*P5+J5*P5+O5</f>
        <v>3546.88</v>
      </c>
      <c r="R5" s="13">
        <f>Q5/P5</f>
        <v>1182.2933333333333</v>
      </c>
      <c r="S5" s="10"/>
    </row>
    <row r="6" spans="2:19" s="1" customFormat="1" x14ac:dyDescent="0.3">
      <c r="B6" s="9" t="s">
        <v>83</v>
      </c>
      <c r="C6" s="10" t="s">
        <v>175</v>
      </c>
      <c r="D6" s="10" t="s">
        <v>84</v>
      </c>
      <c r="E6" s="10"/>
      <c r="F6" s="11">
        <v>0</v>
      </c>
      <c r="G6" s="36">
        <f>1916*1.07+50</f>
        <v>2100.1200000000003</v>
      </c>
      <c r="H6" s="11">
        <f>125</f>
        <v>125</v>
      </c>
      <c r="I6" s="11">
        <f t="shared" si="0"/>
        <v>199</v>
      </c>
      <c r="J6" s="11">
        <f t="shared" si="1"/>
        <v>237</v>
      </c>
      <c r="K6" s="11">
        <v>59</v>
      </c>
      <c r="L6" s="11"/>
      <c r="M6" s="11">
        <v>0</v>
      </c>
      <c r="N6" s="11">
        <v>74</v>
      </c>
      <c r="O6" s="11">
        <v>100</v>
      </c>
      <c r="P6" s="12">
        <v>3</v>
      </c>
      <c r="Q6" s="13">
        <f>G6+H6+K6+I6*(P6-1)+N6*P6+J6*P6+O6</f>
        <v>3715.1200000000003</v>
      </c>
      <c r="R6" s="13">
        <f>Q6/P6</f>
        <v>1238.3733333333334</v>
      </c>
      <c r="S6" s="10"/>
    </row>
    <row r="7" spans="2:19" s="1" customFormat="1" x14ac:dyDescent="0.3">
      <c r="B7" s="9" t="s">
        <v>83</v>
      </c>
      <c r="C7" s="10" t="s">
        <v>181</v>
      </c>
      <c r="D7" s="10" t="s">
        <v>84</v>
      </c>
      <c r="E7" s="10"/>
      <c r="F7" s="11">
        <v>0</v>
      </c>
      <c r="G7" s="36">
        <f>2280*1.07+85</f>
        <v>2524.6000000000004</v>
      </c>
      <c r="H7" s="11">
        <v>125</v>
      </c>
      <c r="I7" s="11">
        <f t="shared" si="0"/>
        <v>199</v>
      </c>
      <c r="J7" s="11">
        <f t="shared" si="1"/>
        <v>237</v>
      </c>
      <c r="K7" s="11">
        <v>59</v>
      </c>
      <c r="L7" s="11"/>
      <c r="M7" s="11">
        <v>0</v>
      </c>
      <c r="N7" s="11">
        <v>77</v>
      </c>
      <c r="O7" s="11">
        <v>100</v>
      </c>
      <c r="P7" s="12">
        <v>3</v>
      </c>
      <c r="Q7" s="13">
        <f>G7+H7+K7+I7*(P7-1)+N7*P7+J7*P7+O7</f>
        <v>4148.6000000000004</v>
      </c>
      <c r="R7" s="13">
        <f>Q7/P7</f>
        <v>1382.8666666666668</v>
      </c>
      <c r="S7" s="10"/>
    </row>
    <row r="8" spans="2:19" s="1" customFormat="1" x14ac:dyDescent="0.3">
      <c r="B8" s="9" t="s">
        <v>83</v>
      </c>
      <c r="C8" s="10" t="s">
        <v>178</v>
      </c>
      <c r="D8" s="10" t="s">
        <v>84</v>
      </c>
      <c r="E8" s="10"/>
      <c r="F8" s="11">
        <v>0</v>
      </c>
      <c r="G8" s="36">
        <f>2095*1.07</f>
        <v>2241.65</v>
      </c>
      <c r="H8" s="11">
        <f>125</f>
        <v>125</v>
      </c>
      <c r="I8" s="11">
        <f t="shared" si="0"/>
        <v>199</v>
      </c>
      <c r="J8" s="11">
        <f t="shared" si="1"/>
        <v>237</v>
      </c>
      <c r="K8" s="11">
        <v>64</v>
      </c>
      <c r="L8" s="11"/>
      <c r="M8" s="11"/>
      <c r="N8" s="11">
        <v>92</v>
      </c>
      <c r="O8" s="11">
        <v>100</v>
      </c>
      <c r="P8" s="12">
        <v>3</v>
      </c>
      <c r="Q8" s="13">
        <f>G8+H8+K8+I8*(P8-1)+N8*P8+J8*P8+O8</f>
        <v>3915.65</v>
      </c>
      <c r="R8" s="13">
        <f>Q8/P8</f>
        <v>1305.2166666666667</v>
      </c>
      <c r="S8" s="10"/>
    </row>
    <row r="9" spans="2:19" s="1" customFormat="1" x14ac:dyDescent="0.3">
      <c r="B9" s="9" t="s">
        <v>83</v>
      </c>
      <c r="C9" s="10" t="s">
        <v>33</v>
      </c>
      <c r="D9" s="10"/>
      <c r="E9" s="10"/>
      <c r="F9" s="11">
        <v>0</v>
      </c>
      <c r="G9" s="36">
        <f>1700*1.07</f>
        <v>1819</v>
      </c>
      <c r="H9" s="11">
        <v>125</v>
      </c>
      <c r="I9" s="11">
        <f t="shared" si="0"/>
        <v>199</v>
      </c>
      <c r="J9" s="11">
        <f t="shared" si="1"/>
        <v>237</v>
      </c>
      <c r="K9" s="11">
        <v>69</v>
      </c>
      <c r="L9" s="11"/>
      <c r="M9" s="11"/>
      <c r="N9" s="11">
        <v>65</v>
      </c>
      <c r="O9" s="11">
        <v>100</v>
      </c>
      <c r="P9" s="12">
        <v>3</v>
      </c>
      <c r="Q9" s="13">
        <f>G9+H9+K9+I9*(P9-1)+N9*P9+J9*P9+O9</f>
        <v>3417</v>
      </c>
      <c r="R9" s="13">
        <f>Q9/P9</f>
        <v>1139</v>
      </c>
      <c r="S9" s="10"/>
    </row>
    <row r="10" spans="2:19" s="1" customFormat="1" x14ac:dyDescent="0.3">
      <c r="B10" s="14" t="s">
        <v>85</v>
      </c>
      <c r="C10" s="15" t="s">
        <v>171</v>
      </c>
      <c r="D10" s="15" t="s">
        <v>84</v>
      </c>
      <c r="E10" s="15"/>
      <c r="F10" s="16">
        <v>0</v>
      </c>
      <c r="G10" s="16">
        <f>1229*1.07</f>
        <v>1315.03</v>
      </c>
      <c r="H10" s="16">
        <v>35</v>
      </c>
      <c r="I10" s="163">
        <v>199</v>
      </c>
      <c r="J10" s="16">
        <v>0</v>
      </c>
      <c r="K10" s="11">
        <v>56</v>
      </c>
      <c r="L10" s="11"/>
      <c r="M10" s="16">
        <v>0</v>
      </c>
      <c r="N10" s="16">
        <v>120</v>
      </c>
      <c r="O10" s="11">
        <v>100</v>
      </c>
      <c r="P10" s="17">
        <v>3</v>
      </c>
      <c r="Q10" s="18">
        <f>G10+H10+K10+I10*(P10-1)+N10*P10+O10</f>
        <v>2264.0299999999997</v>
      </c>
      <c r="R10" s="18">
        <f t="shared" ref="R10:R24" si="2">Q10/P10</f>
        <v>754.67666666666662</v>
      </c>
      <c r="S10" s="15"/>
    </row>
    <row r="11" spans="2:19" s="1" customFormat="1" ht="15" x14ac:dyDescent="0.3">
      <c r="B11" s="14" t="s">
        <v>85</v>
      </c>
      <c r="C11" s="75" t="s">
        <v>254</v>
      </c>
      <c r="D11" s="15" t="s">
        <v>84</v>
      </c>
      <c r="E11" s="15"/>
      <c r="F11" s="16">
        <v>0</v>
      </c>
      <c r="G11" s="16"/>
      <c r="H11" s="16">
        <v>35</v>
      </c>
      <c r="I11" s="16">
        <v>0</v>
      </c>
      <c r="J11" s="16">
        <v>0</v>
      </c>
      <c r="K11" s="11">
        <v>56</v>
      </c>
      <c r="L11" s="11"/>
      <c r="M11" s="16">
        <v>0</v>
      </c>
      <c r="N11" s="16">
        <v>120</v>
      </c>
      <c r="O11" s="11">
        <v>100</v>
      </c>
      <c r="P11" s="17">
        <v>3</v>
      </c>
      <c r="Q11" s="18">
        <f>G11+H11+K11+I11*(P11-1)+N11*P11+O11</f>
        <v>551</v>
      </c>
      <c r="R11" s="18">
        <f t="shared" si="2"/>
        <v>183.66666666666666</v>
      </c>
      <c r="S11" s="15"/>
    </row>
    <row r="12" spans="2:19" s="5" customFormat="1" ht="15" x14ac:dyDescent="0.3">
      <c r="B12" s="19" t="s">
        <v>86</v>
      </c>
      <c r="C12" s="75" t="s">
        <v>250</v>
      </c>
      <c r="D12" s="20" t="s">
        <v>84</v>
      </c>
      <c r="E12" s="20"/>
      <c r="F12" s="213">
        <f>Sixt!C15/SUM(Sixt!C7:C9)</f>
        <v>3</v>
      </c>
      <c r="G12" s="22">
        <f>(SUMPRODUCT(Sixt!C7:C9,Sixt!D7:D9)/SUM(Sixt!C7:C9))*12/1.19</f>
        <v>4678.7899159663866</v>
      </c>
      <c r="H12" s="22">
        <f>(Sixt!C15*Sixt!D15/SUM(Sixt!C7:C9))*12/1.19</f>
        <v>604.73949579831935</v>
      </c>
      <c r="I12" s="22">
        <f>(Sixt!C13*Sixt!D13/SUM(Sixt!C7:C9))*12/1.19</f>
        <v>0</v>
      </c>
      <c r="J12" s="22"/>
      <c r="K12" s="22"/>
      <c r="L12" s="22">
        <f>((Sixt!C11*Sixt!D11+Sixt!C12*Sixt!D12+Sixt!C10*Sixt!D10)/SUM(Sixt!C7:C9))*12/1.19</f>
        <v>1310.5210084033613</v>
      </c>
      <c r="M12" s="22"/>
      <c r="N12" s="22"/>
      <c r="O12" s="22"/>
      <c r="P12" s="23">
        <v>3</v>
      </c>
      <c r="Q12" s="24">
        <f>G12+H12+I12*(P12-1)+M12*P12+L12*P12</f>
        <v>9215.09243697479</v>
      </c>
      <c r="R12" s="24">
        <f t="shared" ref="R12:R13" si="3">Q12/P12</f>
        <v>3071.6974789915967</v>
      </c>
      <c r="S12" s="19"/>
    </row>
    <row r="13" spans="2:19" s="5" customFormat="1" ht="15" x14ac:dyDescent="0.3">
      <c r="B13" s="19" t="s">
        <v>86</v>
      </c>
      <c r="C13" s="75" t="s">
        <v>251</v>
      </c>
      <c r="D13" s="20" t="s">
        <v>84</v>
      </c>
      <c r="E13" s="20"/>
      <c r="F13" s="21">
        <f>Sixt!F15/SUM(Sixt!F7:F9)</f>
        <v>3</v>
      </c>
      <c r="G13" s="22">
        <f>SUMPRODUCT(Sixt!F7:F9,Sixt!G7:G9)/SUM(Sixt!F7:F9)*12/1.19</f>
        <v>5384.7731092436979</v>
      </c>
      <c r="H13" s="215">
        <f>(Sixt!F15*Sixt!G15/SUM(Sixt!F7:F9))*12/1.19</f>
        <v>604.73949579831935</v>
      </c>
      <c r="I13" s="215">
        <f>(Sixt!F13*Sixt!G13/SUM(Sixt!F7:F9))*12/1.19</f>
        <v>302.42016806722688</v>
      </c>
      <c r="J13" s="215"/>
      <c r="K13" s="22"/>
      <c r="L13" s="22">
        <f>((Sixt!F11*Sixt!G11+Sixt!F12*Sixt!G12+Sixt!F10*Sixt!G10)/SUM(Sixt!F7:F9))*12/1.19</f>
        <v>1310.5210084033613</v>
      </c>
      <c r="M13" s="22"/>
      <c r="N13" s="22"/>
      <c r="O13" s="22"/>
      <c r="P13" s="23">
        <v>3</v>
      </c>
      <c r="Q13" s="24">
        <f>G13+H13+I13*(P13-1)+M13*P13+L13*P13</f>
        <v>10525.915966386554</v>
      </c>
      <c r="R13" s="24">
        <f t="shared" si="3"/>
        <v>3508.6386554621845</v>
      </c>
      <c r="S13" s="19"/>
    </row>
    <row r="14" spans="2:19" s="1" customFormat="1" ht="15" x14ac:dyDescent="0.3">
      <c r="B14" s="9" t="s">
        <v>58</v>
      </c>
      <c r="C14" s="211" t="s">
        <v>252</v>
      </c>
      <c r="D14" s="10"/>
      <c r="E14" s="10"/>
      <c r="F14" s="11">
        <f>Sixt!I15/SUM(Sixt!I7:I9)</f>
        <v>3</v>
      </c>
      <c r="G14" s="36">
        <f>SUMPRODUCT(Sixt!I7:I9,Sixt!J7:J9)/SUM(Sixt!I7:I9)*12/1.19</f>
        <v>6191.4957983193281</v>
      </c>
      <c r="H14" s="216">
        <f>(Sixt!I15*Sixt!J15/SUM(Sixt!I7:I9))*12/1.19</f>
        <v>604.73949579831935</v>
      </c>
      <c r="I14" s="216">
        <f>(Sixt!I13*Sixt!J13/SUM(Sixt!I7:I9))*12/1.19</f>
        <v>302.42016806722688</v>
      </c>
      <c r="J14" s="216"/>
      <c r="K14" s="11"/>
      <c r="L14" s="216">
        <f>((Sixt!I11*Sixt!J11+Sixt!I12*Sixt!J12+Sixt!I10*Sixt!J10)/SUM(Sixt!I7:I9))*12/1.19</f>
        <v>1310.5210084033613</v>
      </c>
      <c r="M14" s="11"/>
      <c r="N14" s="11"/>
      <c r="O14" s="11"/>
      <c r="P14" s="12">
        <v>3</v>
      </c>
      <c r="Q14" s="13">
        <f>G14+H14+K14+I14*(P14-1)+N14*P14+J14*P14+O14</f>
        <v>7401.0756302521013</v>
      </c>
      <c r="R14" s="13">
        <f>Q14/P14</f>
        <v>2467.0252100840339</v>
      </c>
      <c r="S14" s="10"/>
    </row>
    <row r="15" spans="2:19" s="1" customFormat="1" ht="15" x14ac:dyDescent="0.3">
      <c r="B15" s="9" t="s">
        <v>87</v>
      </c>
      <c r="C15" s="75" t="s">
        <v>253</v>
      </c>
      <c r="D15" s="10" t="s">
        <v>84</v>
      </c>
      <c r="E15" s="10"/>
      <c r="F15" s="11">
        <f>Sixt!L15/SUM(Sixt!L7:L9)</f>
        <v>3</v>
      </c>
      <c r="G15" s="36">
        <f>SUMPRODUCT(Sixt!L7:L9,Sixt!M7:M9)/SUM(Sixt!L7:L9)*12/1.19</f>
        <v>6998.1176470588243</v>
      </c>
      <c r="H15" s="216">
        <f>(Sixt!L15*Sixt!M15/SUM(Sixt!L7:L9))*12/1.19</f>
        <v>604.73949579831935</v>
      </c>
      <c r="I15" s="216">
        <f>(Sixt!L13*Sixt!M13/SUM(Sixt!L7:L9))*12/1.19</f>
        <v>0</v>
      </c>
      <c r="J15" s="216"/>
      <c r="K15" s="216"/>
      <c r="L15" s="216">
        <f>((Sixt!L11*Sixt!M11+Sixt!L12*Sixt!M12+Sixt!L10*Sixt!M10)/SUM(Sixt!L7:L9))*12/1.19</f>
        <v>1512.2016806722688</v>
      </c>
      <c r="M15" s="11"/>
      <c r="N15" s="11"/>
      <c r="O15" s="11"/>
      <c r="P15" s="12">
        <v>3</v>
      </c>
      <c r="Q15" s="13">
        <f>F15+G15*12*P15+H15+I15*2+(N15+J15)*P15+K15+O15</f>
        <v>252539.97478991596</v>
      </c>
      <c r="R15" s="13">
        <f t="shared" ref="R15:R16" si="4">Q15/P15</f>
        <v>84179.991596638647</v>
      </c>
      <c r="S15" s="10"/>
    </row>
    <row r="16" spans="2:19" s="1" customFormat="1" x14ac:dyDescent="0.3">
      <c r="B16" s="31" t="s">
        <v>87</v>
      </c>
      <c r="C16" s="32" t="s">
        <v>264</v>
      </c>
      <c r="D16" s="32" t="s">
        <v>84</v>
      </c>
      <c r="E16" s="32"/>
      <c r="F16" s="33"/>
      <c r="G16" s="33">
        <f>Q16</f>
        <v>25210.084033613446</v>
      </c>
      <c r="H16" s="33"/>
      <c r="I16" s="33"/>
      <c r="J16" s="33"/>
      <c r="K16" s="33"/>
      <c r="L16" s="33"/>
      <c r="M16" s="33"/>
      <c r="N16" s="33"/>
      <c r="O16" s="33"/>
      <c r="P16" s="148">
        <f>'Preise Output'!F24</f>
        <v>3</v>
      </c>
      <c r="Q16" s="147">
        <f>'Preise Output'!F12/1.19</f>
        <v>25210.084033613446</v>
      </c>
      <c r="R16" s="35">
        <f t="shared" si="4"/>
        <v>8403.361344537816</v>
      </c>
      <c r="S16" s="32"/>
    </row>
    <row r="17" spans="2:19" s="5" customFormat="1" x14ac:dyDescent="0.3">
      <c r="B17" s="9" t="s">
        <v>83</v>
      </c>
      <c r="C17" s="25" t="s">
        <v>191</v>
      </c>
      <c r="D17" s="32" t="s">
        <v>84</v>
      </c>
      <c r="E17" s="25"/>
      <c r="F17" s="26">
        <v>0</v>
      </c>
      <c r="G17" s="27">
        <f>5781.51+175</f>
        <v>5956.51</v>
      </c>
      <c r="H17" s="27">
        <v>240</v>
      </c>
      <c r="I17" s="27">
        <v>350</v>
      </c>
      <c r="J17" s="27">
        <f>3*150</f>
        <v>450</v>
      </c>
      <c r="K17" s="11">
        <v>59</v>
      </c>
      <c r="L17" s="27"/>
      <c r="M17" s="27">
        <v>0</v>
      </c>
      <c r="N17" s="27">
        <f>732.24/3</f>
        <v>244.08</v>
      </c>
      <c r="O17" s="27">
        <v>0</v>
      </c>
      <c r="P17" s="28">
        <v>3</v>
      </c>
      <c r="Q17" s="13">
        <f>G17+H17+K17+I17*(P17-1)+N17*P17+J17*P17+O17</f>
        <v>9037.75</v>
      </c>
      <c r="R17" s="26">
        <f t="shared" ref="R17" si="5">Q17/P17</f>
        <v>3012.5833333333335</v>
      </c>
      <c r="S17" s="27"/>
    </row>
    <row r="18" spans="2:19" s="5" customFormat="1" x14ac:dyDescent="0.3">
      <c r="B18" s="25" t="s">
        <v>194</v>
      </c>
      <c r="C18" s="25" t="s">
        <v>192</v>
      </c>
      <c r="D18" s="32" t="s">
        <v>84</v>
      </c>
      <c r="E18" s="25"/>
      <c r="F18" s="26">
        <v>0</v>
      </c>
      <c r="G18" s="27">
        <f>679.5+50</f>
        <v>729.5</v>
      </c>
      <c r="H18" s="27">
        <v>125</v>
      </c>
      <c r="I18" s="27">
        <f>50+99</f>
        <v>149</v>
      </c>
      <c r="J18" s="27">
        <f>79*3</f>
        <v>237</v>
      </c>
      <c r="K18" s="11">
        <v>59</v>
      </c>
      <c r="L18" s="27"/>
      <c r="M18" s="27">
        <v>0</v>
      </c>
      <c r="N18" s="27">
        <f>186.57/3</f>
        <v>62.19</v>
      </c>
      <c r="O18" s="27">
        <v>100</v>
      </c>
      <c r="P18" s="28">
        <v>3</v>
      </c>
      <c r="Q18" s="13">
        <f>G18+H18+K18+I18*(P18-1)+N18*P18+J18*P18+O18</f>
        <v>2209.0699999999997</v>
      </c>
      <c r="R18" s="13">
        <f>Q18/P18</f>
        <v>736.35666666666657</v>
      </c>
      <c r="S18" s="27"/>
    </row>
    <row r="19" spans="2:19" s="5" customFormat="1" x14ac:dyDescent="0.3">
      <c r="B19" s="25" t="s">
        <v>194</v>
      </c>
      <c r="C19" s="25" t="s">
        <v>193</v>
      </c>
      <c r="D19" s="32" t="s">
        <v>84</v>
      </c>
      <c r="E19" s="25"/>
      <c r="F19" s="26">
        <v>0</v>
      </c>
      <c r="G19" s="27">
        <f>795.6+50</f>
        <v>845.6</v>
      </c>
      <c r="H19" s="27">
        <v>125</v>
      </c>
      <c r="I19" s="27">
        <f>50+99</f>
        <v>149</v>
      </c>
      <c r="J19" s="27">
        <f>79*3</f>
        <v>237</v>
      </c>
      <c r="K19" s="11">
        <v>59</v>
      </c>
      <c r="L19" s="27"/>
      <c r="M19" s="27">
        <v>0</v>
      </c>
      <c r="N19" s="27">
        <f>186.57/3</f>
        <v>62.19</v>
      </c>
      <c r="O19" s="27">
        <v>100</v>
      </c>
      <c r="P19" s="28">
        <v>3</v>
      </c>
      <c r="Q19" s="13">
        <f>G19+H19+K19+I19*(P19-1)+N19*P19+J19*P19+O19</f>
        <v>2325.17</v>
      </c>
      <c r="R19" s="13">
        <f>Q19/P19</f>
        <v>775.05666666666673</v>
      </c>
      <c r="S19" s="27"/>
    </row>
    <row r="20" spans="2:19" s="5" customFormat="1" x14ac:dyDescent="0.3">
      <c r="B20" s="19" t="s">
        <v>86</v>
      </c>
      <c r="C20" s="25" t="s">
        <v>203</v>
      </c>
      <c r="D20" s="20" t="s">
        <v>84</v>
      </c>
      <c r="E20" s="25"/>
      <c r="F20" s="26">
        <v>0</v>
      </c>
      <c r="G20" s="169">
        <f>G47*(1-0.27)</f>
        <v>291.96350000000001</v>
      </c>
      <c r="H20" s="27">
        <f>30</f>
        <v>30</v>
      </c>
      <c r="I20" s="27"/>
      <c r="J20" s="27"/>
      <c r="K20" s="27"/>
      <c r="L20" s="27"/>
      <c r="M20" s="27">
        <v>0</v>
      </c>
      <c r="N20" s="27"/>
      <c r="O20" s="27"/>
      <c r="P20" s="28">
        <v>3</v>
      </c>
      <c r="Q20" s="24">
        <f>G20+H20+I20*(P20-1)+M20*(P20)+L20*P20+K20</f>
        <v>321.96350000000001</v>
      </c>
      <c r="R20" s="26">
        <f t="shared" si="2"/>
        <v>107.32116666666667</v>
      </c>
      <c r="S20" s="27"/>
    </row>
    <row r="21" spans="2:19" s="5" customFormat="1" x14ac:dyDescent="0.3">
      <c r="B21" s="19" t="s">
        <v>86</v>
      </c>
      <c r="C21" s="25" t="s">
        <v>200</v>
      </c>
      <c r="D21" s="20" t="s">
        <v>84</v>
      </c>
      <c r="E21" s="25"/>
      <c r="F21" s="26">
        <v>0</v>
      </c>
      <c r="G21" s="169">
        <f>G48*(1-0.27)</f>
        <v>124.06349999999999</v>
      </c>
      <c r="H21" s="27"/>
      <c r="I21" s="27"/>
      <c r="J21" s="27"/>
      <c r="K21" s="27"/>
      <c r="L21" s="27"/>
      <c r="M21" s="27">
        <v>0</v>
      </c>
      <c r="N21" s="27"/>
      <c r="O21" s="27"/>
      <c r="P21" s="28">
        <v>3</v>
      </c>
      <c r="Q21" s="24">
        <f>G21+H21+I21*(P21-1)+M21*(P21)+L21*P21+K21</f>
        <v>124.06349999999999</v>
      </c>
      <c r="R21" s="26">
        <f t="shared" ref="R21" si="6">Q21/P21</f>
        <v>41.354499999999994</v>
      </c>
      <c r="S21" s="27"/>
    </row>
    <row r="22" spans="2:19" s="5" customFormat="1" x14ac:dyDescent="0.3">
      <c r="B22" s="25" t="s">
        <v>189</v>
      </c>
      <c r="C22" s="25" t="s">
        <v>190</v>
      </c>
      <c r="D22" s="20" t="s">
        <v>84</v>
      </c>
      <c r="E22" s="25"/>
      <c r="F22" s="26"/>
      <c r="G22" s="22">
        <f>G49*(1-10%)</f>
        <v>-1439.9550000000002</v>
      </c>
      <c r="H22" s="27"/>
      <c r="I22" s="27"/>
      <c r="J22" s="27"/>
      <c r="K22" s="27"/>
      <c r="L22" s="27"/>
      <c r="M22" s="27"/>
      <c r="N22" s="27"/>
      <c r="O22" s="27"/>
      <c r="P22" s="28">
        <v>3</v>
      </c>
      <c r="Q22" s="24">
        <f>G22+H22+I22*(P22-1)+M22*P22+L22*P22+K22</f>
        <v>-1439.9550000000002</v>
      </c>
      <c r="R22" s="24">
        <f t="shared" si="2"/>
        <v>-479.98500000000007</v>
      </c>
      <c r="S22" s="27"/>
    </row>
    <row r="23" spans="2:19" s="5" customFormat="1" x14ac:dyDescent="0.3">
      <c r="B23" s="19" t="s">
        <v>86</v>
      </c>
      <c r="C23" s="19" t="s">
        <v>185</v>
      </c>
      <c r="D23" s="20" t="s">
        <v>84</v>
      </c>
      <c r="E23" s="20"/>
      <c r="F23" s="21"/>
      <c r="G23" s="22">
        <f>G50*(1-27%)-G49*0.17</f>
        <v>3775.9184999999998</v>
      </c>
      <c r="H23" s="22">
        <f>750+90</f>
        <v>840</v>
      </c>
      <c r="I23" s="171">
        <f>20*2+35</f>
        <v>75</v>
      </c>
      <c r="J23" s="22"/>
      <c r="K23" s="169">
        <v>0</v>
      </c>
      <c r="L23" s="22"/>
      <c r="M23" s="22">
        <f>9.95*12</f>
        <v>119.39999999999999</v>
      </c>
      <c r="N23" s="22"/>
      <c r="O23" s="22"/>
      <c r="P23" s="23">
        <v>3</v>
      </c>
      <c r="Q23" s="24">
        <f>G23+H23+I23*(P23-1)+M23*(P23-1)+L23*P23+K23</f>
        <v>5004.7184999999999</v>
      </c>
      <c r="R23" s="24">
        <f t="shared" si="2"/>
        <v>1668.2394999999999</v>
      </c>
      <c r="S23" s="19"/>
    </row>
    <row r="24" spans="2:19" s="5" customFormat="1" x14ac:dyDescent="0.3">
      <c r="B24" s="19" t="s">
        <v>86</v>
      </c>
      <c r="C24" s="19" t="s">
        <v>186</v>
      </c>
      <c r="D24" s="20" t="s">
        <v>84</v>
      </c>
      <c r="E24" s="20"/>
      <c r="F24" s="21"/>
      <c r="G24" s="22">
        <f>G51*(1-27%)-G49*0.17</f>
        <v>5819.9184999999998</v>
      </c>
      <c r="H24" s="22">
        <f>750*2+180</f>
        <v>1680</v>
      </c>
      <c r="I24" s="171">
        <f>I23*2</f>
        <v>150</v>
      </c>
      <c r="J24" s="22"/>
      <c r="K24" s="169">
        <v>0</v>
      </c>
      <c r="L24" s="22"/>
      <c r="M24" s="22">
        <f>9.95*12*2</f>
        <v>238.79999999999998</v>
      </c>
      <c r="N24" s="22"/>
      <c r="O24" s="22"/>
      <c r="P24" s="23">
        <v>3</v>
      </c>
      <c r="Q24" s="24">
        <f t="shared" ref="Q24:Q26" si="7">G24+H24+I24*(P24-1)+M24*(P24-1)+L24*P24+K24</f>
        <v>8277.5185000000001</v>
      </c>
      <c r="R24" s="24">
        <f t="shared" si="2"/>
        <v>2759.1728333333335</v>
      </c>
      <c r="S24" s="19"/>
    </row>
    <row r="25" spans="2:19" s="5" customFormat="1" x14ac:dyDescent="0.3">
      <c r="B25" s="19" t="s">
        <v>86</v>
      </c>
      <c r="C25" s="19" t="s">
        <v>187</v>
      </c>
      <c r="D25" s="20" t="s">
        <v>84</v>
      </c>
      <c r="E25" s="20"/>
      <c r="F25" s="21"/>
      <c r="G25" s="22">
        <f>G52*(1-27%)-G49*0.17</f>
        <v>3921.9184999999998</v>
      </c>
      <c r="H25" s="22">
        <f>750+90</f>
        <v>840</v>
      </c>
      <c r="I25" s="171">
        <f>20*2+35</f>
        <v>75</v>
      </c>
      <c r="J25" s="22"/>
      <c r="K25" s="169">
        <v>0</v>
      </c>
      <c r="L25" s="22"/>
      <c r="M25" s="22">
        <f t="shared" ref="M25" si="8">9.95*12</f>
        <v>119.39999999999999</v>
      </c>
      <c r="N25" s="22"/>
      <c r="O25" s="22"/>
      <c r="P25" s="23">
        <v>3</v>
      </c>
      <c r="Q25" s="24">
        <f t="shared" si="7"/>
        <v>5150.7184999999999</v>
      </c>
      <c r="R25" s="24">
        <f t="shared" ref="R25:R26" si="9">Q25/P25</f>
        <v>1716.9061666666666</v>
      </c>
      <c r="S25" s="19"/>
    </row>
    <row r="26" spans="2:19" s="5" customFormat="1" x14ac:dyDescent="0.3">
      <c r="B26" s="19" t="s">
        <v>86</v>
      </c>
      <c r="C26" s="19" t="s">
        <v>188</v>
      </c>
      <c r="D26" s="20" t="s">
        <v>84</v>
      </c>
      <c r="E26" s="20"/>
      <c r="F26" s="21"/>
      <c r="G26" s="22">
        <f>G53*(1-27%)-G49*0.17</f>
        <v>5965.9184999999998</v>
      </c>
      <c r="H26" s="22">
        <f>750*2+180</f>
        <v>1680</v>
      </c>
      <c r="I26" s="171">
        <f>I25*2</f>
        <v>150</v>
      </c>
      <c r="J26" s="22"/>
      <c r="K26" s="169">
        <v>0</v>
      </c>
      <c r="L26" s="22"/>
      <c r="M26" s="22">
        <f>9.95*12*2</f>
        <v>238.79999999999998</v>
      </c>
      <c r="N26" s="22"/>
      <c r="O26" s="22"/>
      <c r="P26" s="23">
        <v>3</v>
      </c>
      <c r="Q26" s="24">
        <f t="shared" si="7"/>
        <v>8423.5185000000001</v>
      </c>
      <c r="R26" s="24">
        <f t="shared" si="9"/>
        <v>2807.8395</v>
      </c>
      <c r="S26" s="19"/>
    </row>
    <row r="27" spans="2:19" s="5" customFormat="1" x14ac:dyDescent="0.3">
      <c r="F27" s="172"/>
      <c r="G27" s="172"/>
      <c r="H27" s="6"/>
      <c r="I27" s="6"/>
      <c r="J27" s="6"/>
      <c r="K27" s="6"/>
      <c r="L27" s="6"/>
      <c r="M27" s="6"/>
      <c r="N27" s="6"/>
      <c r="O27" s="6"/>
      <c r="Q27" s="6"/>
      <c r="R27" s="6"/>
      <c r="S27" s="6"/>
    </row>
    <row r="28" spans="2:19" s="5" customFormat="1" x14ac:dyDescent="0.3">
      <c r="F28" s="6"/>
      <c r="G28" s="6"/>
      <c r="H28" s="6"/>
      <c r="I28" s="6"/>
      <c r="J28" s="6"/>
      <c r="K28" s="6"/>
      <c r="L28" s="6"/>
      <c r="M28" s="6"/>
      <c r="N28" s="6"/>
      <c r="O28" s="6"/>
      <c r="Q28" s="6"/>
      <c r="R28" s="6"/>
      <c r="S28" s="6"/>
    </row>
    <row r="29" spans="2:19" s="94" customFormat="1" ht="24" customHeight="1" x14ac:dyDescent="0.3">
      <c r="B29" s="94" t="s">
        <v>177</v>
      </c>
      <c r="Q29" s="95"/>
    </row>
    <row r="30" spans="2:19" x14ac:dyDescent="0.3">
      <c r="F30" s="2"/>
      <c r="G30" s="2"/>
      <c r="H30" s="2"/>
      <c r="I30" s="2"/>
      <c r="J30" s="2"/>
      <c r="K30" s="2"/>
      <c r="L30" s="2"/>
      <c r="M30" s="2"/>
      <c r="N30" s="2"/>
      <c r="O30" s="2"/>
      <c r="Q30" s="2"/>
      <c r="R30" s="2"/>
      <c r="S30" s="2"/>
    </row>
    <row r="31" spans="2:19" x14ac:dyDescent="0.3">
      <c r="F31" s="2"/>
      <c r="G31" s="2"/>
      <c r="H31" s="2"/>
      <c r="I31" s="2"/>
      <c r="J31" s="2"/>
      <c r="K31" s="2"/>
      <c r="L31" s="2"/>
      <c r="M31" s="2"/>
      <c r="N31" s="2"/>
      <c r="O31" s="2" t="s">
        <v>173</v>
      </c>
      <c r="Q31" s="2"/>
      <c r="R31" s="2"/>
      <c r="S31" s="2"/>
    </row>
    <row r="32" spans="2:19" s="1" customFormat="1" ht="28.8" x14ac:dyDescent="0.3">
      <c r="B32" s="113" t="s">
        <v>6</v>
      </c>
      <c r="C32" s="113" t="s">
        <v>54</v>
      </c>
      <c r="D32" s="113" t="s">
        <v>70</v>
      </c>
      <c r="E32" s="113" t="s">
        <v>71</v>
      </c>
      <c r="F32" s="113" t="str">
        <f t="shared" ref="F32:I32" si="10">F4</f>
        <v>Anzahl Zusatzfahrer</v>
      </c>
      <c r="G32" s="113" t="str">
        <f t="shared" si="10"/>
        <v>Abo-Kosten</v>
      </c>
      <c r="H32" s="113" t="str">
        <f t="shared" si="10"/>
        <v>Zusatzfahrer</v>
      </c>
      <c r="I32" s="113" t="str">
        <f t="shared" si="10"/>
        <v>Komfortausstattung</v>
      </c>
      <c r="J32" s="113"/>
      <c r="K32" s="113" t="str">
        <f>K4</f>
        <v>Ersatzwagengarantie</v>
      </c>
      <c r="L32" s="113" t="str">
        <f>L4</f>
        <v>Versicherung</v>
      </c>
      <c r="M32" s="113" t="s">
        <v>59</v>
      </c>
      <c r="N32" s="113" t="s">
        <v>61</v>
      </c>
      <c r="O32" s="113" t="s">
        <v>176</v>
      </c>
      <c r="P32" s="113" t="s">
        <v>21</v>
      </c>
      <c r="Q32" s="114" t="s">
        <v>22</v>
      </c>
      <c r="R32" s="113" t="s">
        <v>81</v>
      </c>
      <c r="S32" s="113" t="s">
        <v>82</v>
      </c>
    </row>
    <row r="33" spans="2:19" x14ac:dyDescent="0.3">
      <c r="B33" s="9" t="s">
        <v>83</v>
      </c>
      <c r="C33" s="10" t="s">
        <v>174</v>
      </c>
      <c r="D33" s="10" t="s">
        <v>84</v>
      </c>
      <c r="E33" s="10"/>
      <c r="F33" s="11">
        <v>0</v>
      </c>
      <c r="G33" s="36">
        <v>2783</v>
      </c>
      <c r="H33" s="11">
        <v>0</v>
      </c>
      <c r="I33" s="11">
        <v>0</v>
      </c>
      <c r="J33" s="11">
        <f>40*12</f>
        <v>480</v>
      </c>
      <c r="K33" s="11">
        <v>100</v>
      </c>
      <c r="L33" s="11"/>
      <c r="M33" s="11">
        <v>0</v>
      </c>
      <c r="N33" s="11">
        <f>11.5*12</f>
        <v>138</v>
      </c>
      <c r="O33" s="11">
        <v>100</v>
      </c>
      <c r="P33" s="12">
        <v>3</v>
      </c>
      <c r="Q33" s="13">
        <f>G33+H33+K33+(SUM(N33,J33)*3+I33*2)</f>
        <v>4737</v>
      </c>
      <c r="R33" s="13">
        <f>Q33/P33</f>
        <v>1579</v>
      </c>
      <c r="S33" s="10"/>
    </row>
    <row r="34" spans="2:19" x14ac:dyDescent="0.3">
      <c r="B34" s="9" t="s">
        <v>83</v>
      </c>
      <c r="C34" s="10" t="s">
        <v>175</v>
      </c>
      <c r="D34" s="10" t="s">
        <v>84</v>
      </c>
      <c r="E34" s="10"/>
      <c r="F34" s="11">
        <v>0</v>
      </c>
      <c r="G34" s="36">
        <v>2963</v>
      </c>
      <c r="H34" s="11">
        <v>0</v>
      </c>
      <c r="I34" s="11">
        <v>0</v>
      </c>
      <c r="J34" s="11">
        <f t="shared" ref="J34:J37" si="11">40*12</f>
        <v>480</v>
      </c>
      <c r="K34" s="11">
        <v>100</v>
      </c>
      <c r="L34" s="11"/>
      <c r="M34" s="11">
        <v>0</v>
      </c>
      <c r="N34" s="11">
        <f>11.5*12</f>
        <v>138</v>
      </c>
      <c r="O34" s="11">
        <v>100</v>
      </c>
      <c r="P34" s="12">
        <v>3</v>
      </c>
      <c r="Q34" s="13">
        <f>G34+H34+K34+(SUM(N34,J34)*3+I34*2)</f>
        <v>4917</v>
      </c>
      <c r="R34" s="13">
        <f t="shared" ref="R34:R41" si="12">Q34/P34</f>
        <v>1639</v>
      </c>
      <c r="S34" s="10"/>
    </row>
    <row r="35" spans="2:19" x14ac:dyDescent="0.3">
      <c r="B35" s="9" t="s">
        <v>83</v>
      </c>
      <c r="C35" s="10" t="s">
        <v>181</v>
      </c>
      <c r="D35" s="10" t="s">
        <v>84</v>
      </c>
      <c r="E35" s="10"/>
      <c r="F35" s="11">
        <v>0</v>
      </c>
      <c r="G35" s="36">
        <v>3472</v>
      </c>
      <c r="H35" s="11">
        <v>0</v>
      </c>
      <c r="I35" s="11">
        <v>0</v>
      </c>
      <c r="J35" s="11">
        <f t="shared" si="11"/>
        <v>480</v>
      </c>
      <c r="K35" s="11">
        <v>100</v>
      </c>
      <c r="L35" s="11"/>
      <c r="M35" s="11">
        <v>0</v>
      </c>
      <c r="N35" s="11">
        <f>13*12</f>
        <v>156</v>
      </c>
      <c r="O35" s="11">
        <v>100</v>
      </c>
      <c r="P35" s="12">
        <v>3</v>
      </c>
      <c r="Q35" s="13">
        <f>G35+H35+K35+(SUM(N35,J35)*3+I35*2)</f>
        <v>5480</v>
      </c>
      <c r="R35" s="13">
        <f t="shared" si="12"/>
        <v>1826.6666666666667</v>
      </c>
      <c r="S35" s="10"/>
    </row>
    <row r="36" spans="2:19" x14ac:dyDescent="0.3">
      <c r="B36" s="9" t="s">
        <v>83</v>
      </c>
      <c r="C36" s="10" t="s">
        <v>178</v>
      </c>
      <c r="D36" s="10" t="s">
        <v>84</v>
      </c>
      <c r="E36" s="10"/>
      <c r="F36" s="11">
        <v>0</v>
      </c>
      <c r="G36" s="36">
        <v>2992</v>
      </c>
      <c r="H36" s="11">
        <v>0</v>
      </c>
      <c r="I36" s="11">
        <v>0</v>
      </c>
      <c r="J36" s="11">
        <f t="shared" si="11"/>
        <v>480</v>
      </c>
      <c r="K36" s="11">
        <v>100</v>
      </c>
      <c r="L36" s="11"/>
      <c r="M36" s="11">
        <v>0</v>
      </c>
      <c r="N36" s="11">
        <f>11.5*12</f>
        <v>138</v>
      </c>
      <c r="O36" s="11">
        <v>100</v>
      </c>
      <c r="P36" s="12">
        <v>3</v>
      </c>
      <c r="Q36" s="13">
        <f>G36+H36+K36+(SUM(N36,J36)*3+I36*2)</f>
        <v>4946</v>
      </c>
      <c r="R36" s="13">
        <f t="shared" si="12"/>
        <v>1648.6666666666667</v>
      </c>
      <c r="S36" s="10"/>
    </row>
    <row r="37" spans="2:19" x14ac:dyDescent="0.3">
      <c r="B37" s="9" t="s">
        <v>83</v>
      </c>
      <c r="C37" s="10" t="s">
        <v>33</v>
      </c>
      <c r="D37" s="10" t="s">
        <v>84</v>
      </c>
      <c r="E37" s="10"/>
      <c r="F37" s="11">
        <v>0</v>
      </c>
      <c r="G37" s="36">
        <v>2389</v>
      </c>
      <c r="H37" s="11">
        <v>0</v>
      </c>
      <c r="I37" s="11">
        <v>0</v>
      </c>
      <c r="J37" s="11">
        <f t="shared" si="11"/>
        <v>480</v>
      </c>
      <c r="K37" s="11">
        <v>100</v>
      </c>
      <c r="L37" s="11"/>
      <c r="M37" s="11">
        <v>0</v>
      </c>
      <c r="N37" s="11">
        <f>9.5*12</f>
        <v>114</v>
      </c>
      <c r="O37" s="11">
        <v>100</v>
      </c>
      <c r="P37" s="12">
        <v>3</v>
      </c>
      <c r="Q37" s="13">
        <f>G37+H37+K37+(SUM(N37,J37)*3+I37*2)</f>
        <v>4271</v>
      </c>
      <c r="R37" s="13">
        <f t="shared" si="12"/>
        <v>1423.6666666666667</v>
      </c>
      <c r="S37" s="10"/>
    </row>
    <row r="38" spans="2:19" x14ac:dyDescent="0.3">
      <c r="B38" s="14" t="s">
        <v>85</v>
      </c>
      <c r="C38" s="15" t="s">
        <v>171</v>
      </c>
      <c r="D38" s="15" t="s">
        <v>84</v>
      </c>
      <c r="E38" s="15"/>
      <c r="F38" s="16">
        <v>0</v>
      </c>
      <c r="G38" s="36">
        <v>1672</v>
      </c>
      <c r="H38" s="16">
        <v>0</v>
      </c>
      <c r="I38" s="11">
        <v>0</v>
      </c>
      <c r="J38" s="164">
        <v>200</v>
      </c>
      <c r="K38" s="16">
        <v>100</v>
      </c>
      <c r="L38" s="16"/>
      <c r="M38" s="16">
        <v>0</v>
      </c>
      <c r="N38" s="16">
        <v>120</v>
      </c>
      <c r="O38" s="11">
        <v>100</v>
      </c>
      <c r="P38" s="17">
        <v>3</v>
      </c>
      <c r="Q38" s="18">
        <f>G38+K38+N38*3+I38*2</f>
        <v>2132</v>
      </c>
      <c r="R38" s="13">
        <f t="shared" si="12"/>
        <v>710.66666666666663</v>
      </c>
      <c r="S38" s="15"/>
    </row>
    <row r="39" spans="2:19" ht="15" x14ac:dyDescent="0.3">
      <c r="B39" s="14" t="s">
        <v>85</v>
      </c>
      <c r="C39" s="75" t="s">
        <v>254</v>
      </c>
      <c r="D39" s="15" t="s">
        <v>84</v>
      </c>
      <c r="E39" s="15"/>
      <c r="F39" s="16">
        <v>0</v>
      </c>
      <c r="G39" s="16">
        <f t="shared" ref="G39:G46" si="13">G11</f>
        <v>0</v>
      </c>
      <c r="H39" s="16">
        <v>0</v>
      </c>
      <c r="I39" s="11"/>
      <c r="J39" s="16"/>
      <c r="K39" s="16"/>
      <c r="L39" s="16"/>
      <c r="M39" s="16">
        <v>0</v>
      </c>
      <c r="N39" s="16">
        <v>120</v>
      </c>
      <c r="O39" s="11">
        <v>100</v>
      </c>
      <c r="P39" s="17">
        <v>1</v>
      </c>
      <c r="Q39" s="18">
        <f>G39+K39+N39*3+I39*2</f>
        <v>360</v>
      </c>
      <c r="R39" s="13">
        <f t="shared" si="12"/>
        <v>360</v>
      </c>
      <c r="S39" s="15"/>
    </row>
    <row r="40" spans="2:19" ht="15" x14ac:dyDescent="0.3">
      <c r="B40" s="19" t="s">
        <v>86</v>
      </c>
      <c r="C40" s="75" t="s">
        <v>250</v>
      </c>
      <c r="D40" s="20" t="s">
        <v>84</v>
      </c>
      <c r="E40" s="20"/>
      <c r="F40" s="16">
        <f t="shared" ref="F40" si="14">F12</f>
        <v>3</v>
      </c>
      <c r="G40" s="16">
        <f t="shared" si="13"/>
        <v>4678.7899159663866</v>
      </c>
      <c r="H40" s="16">
        <f t="shared" ref="H40:L43" si="15">H12</f>
        <v>604.73949579831935</v>
      </c>
      <c r="I40" s="16">
        <f t="shared" si="15"/>
        <v>0</v>
      </c>
      <c r="J40" s="16"/>
      <c r="K40" s="16"/>
      <c r="L40" s="16">
        <f t="shared" si="15"/>
        <v>1310.5210084033613</v>
      </c>
      <c r="M40" s="22">
        <v>0</v>
      </c>
      <c r="N40" s="22"/>
      <c r="O40" s="22"/>
      <c r="P40" s="23">
        <v>1</v>
      </c>
      <c r="Q40" s="24">
        <f>G40+H40+I40*(P40-1)+M40*P40+L40*P40</f>
        <v>6594.0504201680678</v>
      </c>
      <c r="R40" s="13">
        <f t="shared" si="12"/>
        <v>6594.0504201680678</v>
      </c>
      <c r="S40" s="19"/>
    </row>
    <row r="41" spans="2:19" ht="15" x14ac:dyDescent="0.3">
      <c r="B41" s="19" t="s">
        <v>86</v>
      </c>
      <c r="C41" s="75" t="s">
        <v>251</v>
      </c>
      <c r="D41" s="20" t="s">
        <v>84</v>
      </c>
      <c r="E41" s="20"/>
      <c r="F41" s="16">
        <f t="shared" ref="F41:F46" si="16">F13</f>
        <v>3</v>
      </c>
      <c r="G41" s="16">
        <f t="shared" si="13"/>
        <v>5384.7731092436979</v>
      </c>
      <c r="H41" s="16">
        <f t="shared" si="15"/>
        <v>604.73949579831935</v>
      </c>
      <c r="I41" s="16">
        <f t="shared" si="15"/>
        <v>302.42016806722688</v>
      </c>
      <c r="J41" s="16"/>
      <c r="K41" s="16"/>
      <c r="L41" s="16">
        <f t="shared" si="15"/>
        <v>1310.5210084033613</v>
      </c>
      <c r="M41" s="22">
        <v>0</v>
      </c>
      <c r="N41" s="22"/>
      <c r="O41" s="22"/>
      <c r="P41" s="23">
        <v>1</v>
      </c>
      <c r="Q41" s="24">
        <f>G41+H41+I41*(P41-1)+M41*P41+L41*P41</f>
        <v>7300.0336134453792</v>
      </c>
      <c r="R41" s="13">
        <f t="shared" si="12"/>
        <v>7300.0336134453792</v>
      </c>
      <c r="S41" s="19"/>
    </row>
    <row r="42" spans="2:19" ht="15" x14ac:dyDescent="0.3">
      <c r="B42" s="31" t="s">
        <v>87</v>
      </c>
      <c r="C42" s="211" t="s">
        <v>252</v>
      </c>
      <c r="D42" s="32" t="s">
        <v>84</v>
      </c>
      <c r="E42" s="32"/>
      <c r="F42" s="16">
        <f t="shared" si="16"/>
        <v>3</v>
      </c>
      <c r="G42" s="16">
        <f t="shared" si="13"/>
        <v>6191.4957983193281</v>
      </c>
      <c r="H42" s="16">
        <f t="shared" si="15"/>
        <v>604.73949579831935</v>
      </c>
      <c r="I42" s="16">
        <f t="shared" si="15"/>
        <v>302.42016806722688</v>
      </c>
      <c r="J42" s="16"/>
      <c r="K42" s="16"/>
      <c r="L42" s="16">
        <f t="shared" si="15"/>
        <v>1310.5210084033613</v>
      </c>
      <c r="M42" s="33">
        <v>0</v>
      </c>
      <c r="N42" s="33"/>
      <c r="O42" s="33"/>
      <c r="P42" s="34">
        <v>1</v>
      </c>
      <c r="Q42" s="24">
        <f>G42+H42+I42*(P42-1)+M42*P42+L42*P42</f>
        <v>8106.7563025210093</v>
      </c>
      <c r="R42" s="13">
        <f t="shared" ref="R42" si="17">Q42/P42</f>
        <v>8106.7563025210093</v>
      </c>
      <c r="S42" s="32"/>
    </row>
    <row r="43" spans="2:19" s="1" customFormat="1" ht="15" x14ac:dyDescent="0.3">
      <c r="B43" s="31" t="s">
        <v>87</v>
      </c>
      <c r="C43" s="75" t="s">
        <v>253</v>
      </c>
      <c r="D43" s="32" t="s">
        <v>84</v>
      </c>
      <c r="E43" s="32"/>
      <c r="F43" s="16">
        <f t="shared" si="16"/>
        <v>3</v>
      </c>
      <c r="G43" s="16">
        <f t="shared" si="13"/>
        <v>6998.1176470588243</v>
      </c>
      <c r="H43" s="16">
        <f t="shared" si="15"/>
        <v>604.73949579831935</v>
      </c>
      <c r="I43" s="16">
        <f t="shared" si="15"/>
        <v>0</v>
      </c>
      <c r="J43" s="16"/>
      <c r="K43" s="16"/>
      <c r="L43" s="16">
        <f t="shared" si="15"/>
        <v>1512.2016806722688</v>
      </c>
      <c r="M43" s="149"/>
      <c r="N43" s="149"/>
      <c r="O43" s="149"/>
      <c r="P43" s="148">
        <v>1</v>
      </c>
      <c r="Q43" s="149">
        <f>G43*P43</f>
        <v>6998.1176470588243</v>
      </c>
      <c r="R43" s="35">
        <f>Q43/P43</f>
        <v>6998.1176470588243</v>
      </c>
      <c r="S43" s="32"/>
    </row>
    <row r="44" spans="2:19" x14ac:dyDescent="0.3">
      <c r="B44" s="9" t="s">
        <v>83</v>
      </c>
      <c r="C44" s="32" t="s">
        <v>264</v>
      </c>
      <c r="D44" s="10" t="s">
        <v>84</v>
      </c>
      <c r="E44" s="25"/>
      <c r="F44" s="16">
        <f t="shared" si="16"/>
        <v>0</v>
      </c>
      <c r="G44" s="16">
        <f t="shared" si="13"/>
        <v>25210.084033613446</v>
      </c>
      <c r="H44" s="16">
        <f t="shared" ref="H44:I46" si="18">H16</f>
        <v>0</v>
      </c>
      <c r="I44" s="16">
        <f t="shared" si="18"/>
        <v>0</v>
      </c>
      <c r="J44" s="27"/>
      <c r="K44" s="27">
        <v>500</v>
      </c>
      <c r="L44" s="27"/>
      <c r="M44" s="27"/>
      <c r="N44" s="27">
        <f>40*12</f>
        <v>480</v>
      </c>
      <c r="O44" s="27"/>
      <c r="P44" s="28">
        <v>3</v>
      </c>
      <c r="Q44" s="26">
        <f t="shared" ref="Q44:Q54" si="19">F44+G44+H44+(I44+N44)*P44</f>
        <v>26650.084033613446</v>
      </c>
      <c r="R44" s="26"/>
      <c r="S44" s="27"/>
    </row>
    <row r="45" spans="2:19" x14ac:dyDescent="0.3">
      <c r="B45" s="25" t="s">
        <v>194</v>
      </c>
      <c r="C45" s="25" t="s">
        <v>192</v>
      </c>
      <c r="D45" s="32" t="s">
        <v>84</v>
      </c>
      <c r="E45" s="25"/>
      <c r="F45" s="16">
        <f t="shared" si="16"/>
        <v>0</v>
      </c>
      <c r="G45" s="16">
        <f t="shared" si="13"/>
        <v>5956.51</v>
      </c>
      <c r="H45" s="16">
        <f t="shared" si="18"/>
        <v>240</v>
      </c>
      <c r="I45" s="16">
        <f t="shared" si="18"/>
        <v>350</v>
      </c>
      <c r="J45" s="27">
        <f>35*12</f>
        <v>420</v>
      </c>
      <c r="K45" s="27">
        <v>100</v>
      </c>
      <c r="L45" s="27"/>
      <c r="M45" s="27"/>
      <c r="N45" s="27">
        <f>6.6*12</f>
        <v>79.199999999999989</v>
      </c>
      <c r="O45" s="27">
        <v>100</v>
      </c>
      <c r="P45" s="28">
        <v>3</v>
      </c>
      <c r="Q45" s="13">
        <f>G45+H45+K45+(SUM(N45,J45)*3+I45*2)</f>
        <v>8494.11</v>
      </c>
      <c r="R45" s="13">
        <f>Q45/P45</f>
        <v>2831.3700000000003</v>
      </c>
      <c r="S45" s="27"/>
    </row>
    <row r="46" spans="2:19" x14ac:dyDescent="0.3">
      <c r="B46" s="25" t="s">
        <v>194</v>
      </c>
      <c r="C46" s="25" t="s">
        <v>193</v>
      </c>
      <c r="D46" s="32" t="s">
        <v>84</v>
      </c>
      <c r="E46" s="25"/>
      <c r="F46" s="16">
        <f t="shared" si="16"/>
        <v>0</v>
      </c>
      <c r="G46" s="16">
        <f t="shared" si="13"/>
        <v>729.5</v>
      </c>
      <c r="H46" s="16">
        <f t="shared" si="18"/>
        <v>125</v>
      </c>
      <c r="I46" s="16">
        <f t="shared" si="18"/>
        <v>149</v>
      </c>
      <c r="J46" s="27">
        <f>35*12</f>
        <v>420</v>
      </c>
      <c r="K46" s="27">
        <v>100</v>
      </c>
      <c r="L46" s="27"/>
      <c r="M46" s="27"/>
      <c r="N46" s="27">
        <f>8*12</f>
        <v>96</v>
      </c>
      <c r="O46" s="27">
        <v>100</v>
      </c>
      <c r="P46" s="28">
        <v>3</v>
      </c>
      <c r="Q46" s="13">
        <f>G46+H46+K46+(SUM(N46,J46)*3+I46*2)</f>
        <v>2800.5</v>
      </c>
      <c r="R46" s="13">
        <f>Q46/P46</f>
        <v>933.5</v>
      </c>
      <c r="S46" s="27"/>
    </row>
    <row r="47" spans="2:19" x14ac:dyDescent="0.3">
      <c r="B47" s="19" t="s">
        <v>86</v>
      </c>
      <c r="C47" s="25" t="s">
        <v>203</v>
      </c>
      <c r="D47" s="32" t="s">
        <v>84</v>
      </c>
      <c r="E47" s="25"/>
      <c r="F47" s="26">
        <v>0</v>
      </c>
      <c r="G47" s="169">
        <f>399.95</f>
        <v>399.95</v>
      </c>
      <c r="H47" s="27">
        <v>30</v>
      </c>
      <c r="I47" s="27"/>
      <c r="J47" s="27"/>
      <c r="K47" s="27"/>
      <c r="L47" s="27"/>
      <c r="M47" s="27"/>
      <c r="N47" s="27"/>
      <c r="O47" s="27"/>
      <c r="P47" s="28">
        <v>3</v>
      </c>
      <c r="Q47" s="24">
        <f>G47+H47+I47*(P47-1)+M47*P47+L47*P47</f>
        <v>429.95</v>
      </c>
      <c r="R47" s="13">
        <f>Q47/P47</f>
        <v>143.31666666666666</v>
      </c>
      <c r="S47" s="27"/>
    </row>
    <row r="48" spans="2:19" x14ac:dyDescent="0.3">
      <c r="B48" s="19" t="s">
        <v>86</v>
      </c>
      <c r="C48" s="25" t="s">
        <v>200</v>
      </c>
      <c r="D48" s="32" t="s">
        <v>84</v>
      </c>
      <c r="E48" s="25"/>
      <c r="F48" s="26">
        <v>0</v>
      </c>
      <c r="G48" s="27">
        <f>169.95</f>
        <v>169.95</v>
      </c>
      <c r="H48" s="27"/>
      <c r="I48" s="27"/>
      <c r="J48" s="27"/>
      <c r="K48" s="27"/>
      <c r="L48" s="27"/>
      <c r="M48" s="27"/>
      <c r="N48" s="27"/>
      <c r="O48" s="27"/>
      <c r="P48" s="28">
        <v>3</v>
      </c>
      <c r="Q48" s="26">
        <f t="shared" si="19"/>
        <v>169.95</v>
      </c>
      <c r="R48" s="13">
        <f>Q48/P48</f>
        <v>56.65</v>
      </c>
      <c r="S48" s="27"/>
    </row>
    <row r="49" spans="2:20" x14ac:dyDescent="0.3">
      <c r="B49" s="25" t="s">
        <v>189</v>
      </c>
      <c r="C49" s="25" t="s">
        <v>190</v>
      </c>
      <c r="D49" s="25"/>
      <c r="E49" s="25"/>
      <c r="F49" s="26"/>
      <c r="G49" s="27">
        <f>-1599.95</f>
        <v>-1599.95</v>
      </c>
      <c r="H49" s="27"/>
      <c r="I49" s="27"/>
      <c r="J49" s="27"/>
      <c r="K49" s="27"/>
      <c r="L49" s="27"/>
      <c r="M49" s="27"/>
      <c r="N49" s="27"/>
      <c r="O49" s="27"/>
      <c r="P49" s="28"/>
      <c r="Q49" s="26"/>
      <c r="R49" s="26"/>
      <c r="S49" s="27"/>
    </row>
    <row r="50" spans="2:20" x14ac:dyDescent="0.3">
      <c r="B50" s="19" t="s">
        <v>86</v>
      </c>
      <c r="C50" s="19" t="s">
        <v>185</v>
      </c>
      <c r="D50" s="19"/>
      <c r="E50" s="19"/>
      <c r="F50" s="19">
        <v>0</v>
      </c>
      <c r="G50" s="22">
        <f>(3199.95+1599.95)</f>
        <v>4799.8999999999996</v>
      </c>
      <c r="H50" s="160">
        <f t="shared" ref="H50:I53" si="20">H23</f>
        <v>840</v>
      </c>
      <c r="I50" s="170">
        <f t="shared" si="20"/>
        <v>75</v>
      </c>
      <c r="J50" s="160">
        <f t="shared" ref="J50:L51" si="21">J23*1.19</f>
        <v>0</v>
      </c>
      <c r="K50" s="170">
        <f>K23</f>
        <v>0</v>
      </c>
      <c r="L50" s="160">
        <f t="shared" si="21"/>
        <v>0</v>
      </c>
      <c r="M50" s="160">
        <f>19.95*12</f>
        <v>239.39999999999998</v>
      </c>
      <c r="N50" s="160">
        <f t="shared" ref="N50:O51" si="22">N23</f>
        <v>0</v>
      </c>
      <c r="O50" s="160">
        <f t="shared" si="22"/>
        <v>0</v>
      </c>
      <c r="P50" s="19">
        <v>3</v>
      </c>
      <c r="Q50" s="24">
        <f>G50+H50+I50*(P50-1)+M50*(P50-1)+L50*P50</f>
        <v>6268.7</v>
      </c>
      <c r="R50" s="160">
        <f>Q50/P50</f>
        <v>2089.5666666666666</v>
      </c>
      <c r="S50" s="19"/>
    </row>
    <row r="51" spans="2:20" x14ac:dyDescent="0.3">
      <c r="B51" s="19" t="s">
        <v>86</v>
      </c>
      <c r="C51" s="19" t="s">
        <v>186</v>
      </c>
      <c r="D51" s="19"/>
      <c r="E51" s="19"/>
      <c r="F51" s="19">
        <v>0</v>
      </c>
      <c r="G51" s="22">
        <f>(5999.95+1599.95)</f>
        <v>7599.9</v>
      </c>
      <c r="H51" s="160">
        <f t="shared" si="20"/>
        <v>1680</v>
      </c>
      <c r="I51" s="170">
        <f t="shared" si="20"/>
        <v>150</v>
      </c>
      <c r="J51" s="160">
        <f t="shared" si="21"/>
        <v>0</v>
      </c>
      <c r="K51" s="170">
        <f>K24</f>
        <v>0</v>
      </c>
      <c r="L51" s="160">
        <f t="shared" si="21"/>
        <v>0</v>
      </c>
      <c r="M51" s="160">
        <f>19.95*12*2</f>
        <v>478.79999999999995</v>
      </c>
      <c r="N51" s="160">
        <f t="shared" si="22"/>
        <v>0</v>
      </c>
      <c r="O51" s="160">
        <f t="shared" si="22"/>
        <v>0</v>
      </c>
      <c r="P51" s="19">
        <v>3</v>
      </c>
      <c r="Q51" s="24">
        <f t="shared" ref="Q51:Q53" si="23">G51+H51+I51*(P51-1)+M51*(P51-1)+L51*P51</f>
        <v>10537.5</v>
      </c>
      <c r="R51" s="160">
        <f t="shared" ref="R51:R53" si="24">Q51/P51</f>
        <v>3512.5</v>
      </c>
      <c r="S51" s="19"/>
      <c r="T51" s="165"/>
    </row>
    <row r="52" spans="2:20" x14ac:dyDescent="0.3">
      <c r="B52" s="19" t="s">
        <v>86</v>
      </c>
      <c r="C52" s="19" t="s">
        <v>187</v>
      </c>
      <c r="D52" s="19"/>
      <c r="E52" s="25"/>
      <c r="F52" s="19">
        <v>0</v>
      </c>
      <c r="G52" s="27">
        <f>(3399.95+1599.95)</f>
        <v>4999.8999999999996</v>
      </c>
      <c r="H52" s="160">
        <f t="shared" si="20"/>
        <v>840</v>
      </c>
      <c r="I52" s="170">
        <f t="shared" si="20"/>
        <v>75</v>
      </c>
      <c r="J52" s="27"/>
      <c r="K52" s="170">
        <f>K25</f>
        <v>0</v>
      </c>
      <c r="L52" s="27"/>
      <c r="M52" s="160">
        <f>19.95*12</f>
        <v>239.39999999999998</v>
      </c>
      <c r="N52" s="27"/>
      <c r="O52" s="27"/>
      <c r="P52" s="28">
        <v>3</v>
      </c>
      <c r="Q52" s="24">
        <f t="shared" si="23"/>
        <v>6468.7</v>
      </c>
      <c r="R52" s="160">
        <f t="shared" si="24"/>
        <v>2156.2333333333331</v>
      </c>
      <c r="S52" s="27"/>
    </row>
    <row r="53" spans="2:20" x14ac:dyDescent="0.3">
      <c r="B53" s="19" t="s">
        <v>86</v>
      </c>
      <c r="C53" s="19" t="s">
        <v>188</v>
      </c>
      <c r="D53" s="19"/>
      <c r="E53" s="25"/>
      <c r="F53" s="19">
        <v>0</v>
      </c>
      <c r="G53" s="27">
        <f>(6199.95+1599.95)</f>
        <v>7799.9</v>
      </c>
      <c r="H53" s="160">
        <f t="shared" si="20"/>
        <v>1680</v>
      </c>
      <c r="I53" s="170">
        <f t="shared" si="20"/>
        <v>150</v>
      </c>
      <c r="J53" s="27"/>
      <c r="K53" s="170">
        <f>K26</f>
        <v>0</v>
      </c>
      <c r="L53" s="27"/>
      <c r="M53" s="160">
        <f>19.95*12*2</f>
        <v>478.79999999999995</v>
      </c>
      <c r="N53" s="27"/>
      <c r="O53" s="27"/>
      <c r="P53" s="29">
        <v>3</v>
      </c>
      <c r="Q53" s="24">
        <f t="shared" si="23"/>
        <v>10737.5</v>
      </c>
      <c r="R53" s="160">
        <f t="shared" si="24"/>
        <v>3579.1666666666665</v>
      </c>
      <c r="S53" s="27"/>
    </row>
    <row r="54" spans="2:20" x14ac:dyDescent="0.3">
      <c r="B54" s="25" t="s">
        <v>88</v>
      </c>
      <c r="C54" s="25" t="s">
        <v>49</v>
      </c>
      <c r="D54" s="25" t="s">
        <v>89</v>
      </c>
      <c r="E54" s="25"/>
      <c r="F54" s="26">
        <v>0</v>
      </c>
      <c r="G54" s="27"/>
      <c r="H54" s="27"/>
      <c r="I54" s="27"/>
      <c r="J54" s="27"/>
      <c r="K54" s="27"/>
      <c r="L54" s="27"/>
      <c r="M54" s="27"/>
      <c r="N54" s="27"/>
      <c r="O54" s="27"/>
      <c r="P54" s="25">
        <v>3</v>
      </c>
      <c r="Q54" s="26">
        <f t="shared" si="19"/>
        <v>0</v>
      </c>
      <c r="R54" s="27"/>
      <c r="S54" s="27"/>
    </row>
    <row r="55" spans="2:20" x14ac:dyDescent="0.3">
      <c r="Q55"/>
    </row>
    <row r="56" spans="2:20" x14ac:dyDescent="0.3">
      <c r="Q56"/>
    </row>
    <row r="57" spans="2:20" x14ac:dyDescent="0.3">
      <c r="Q57"/>
    </row>
    <row r="58" spans="2:20" x14ac:dyDescent="0.3">
      <c r="Q58"/>
    </row>
    <row r="59" spans="2:20" x14ac:dyDescent="0.3">
      <c r="Q59"/>
    </row>
    <row r="60" spans="2:20" x14ac:dyDescent="0.3">
      <c r="Q60"/>
    </row>
    <row r="61" spans="2:20" x14ac:dyDescent="0.3">
      <c r="Q61"/>
    </row>
    <row r="62" spans="2:20" x14ac:dyDescent="0.3">
      <c r="Q62"/>
    </row>
    <row r="63" spans="2:20" x14ac:dyDescent="0.3">
      <c r="Q63"/>
    </row>
    <row r="64" spans="2:20" x14ac:dyDescent="0.3">
      <c r="Q64"/>
    </row>
    <row r="65" spans="17:17" x14ac:dyDescent="0.3">
      <c r="Q65"/>
    </row>
    <row r="66" spans="17:17" x14ac:dyDescent="0.3">
      <c r="Q66"/>
    </row>
    <row r="67" spans="17:17" x14ac:dyDescent="0.3">
      <c r="Q67"/>
    </row>
    <row r="68" spans="17:17" x14ac:dyDescent="0.3">
      <c r="Q68"/>
    </row>
    <row r="69" spans="17:17" x14ac:dyDescent="0.3">
      <c r="Q69"/>
    </row>
    <row r="70" spans="17:17" x14ac:dyDescent="0.3">
      <c r="Q70"/>
    </row>
    <row r="71" spans="17:17" x14ac:dyDescent="0.3">
      <c r="Q71"/>
    </row>
    <row r="72" spans="17:17" x14ac:dyDescent="0.3">
      <c r="Q72"/>
    </row>
    <row r="73" spans="17:17" x14ac:dyDescent="0.3">
      <c r="Q73"/>
    </row>
    <row r="74" spans="17:17" x14ac:dyDescent="0.3">
      <c r="Q74"/>
    </row>
    <row r="75" spans="17:17" x14ac:dyDescent="0.3">
      <c r="Q75"/>
    </row>
    <row r="76" spans="17:17" x14ac:dyDescent="0.3">
      <c r="Q76"/>
    </row>
    <row r="77" spans="17:17" x14ac:dyDescent="0.3">
      <c r="Q77"/>
    </row>
    <row r="78" spans="17:17" x14ac:dyDescent="0.3">
      <c r="Q78"/>
    </row>
    <row r="79" spans="17:17" x14ac:dyDescent="0.3">
      <c r="Q79"/>
    </row>
    <row r="80" spans="17:17" x14ac:dyDescent="0.3">
      <c r="Q80"/>
    </row>
    <row r="81" spans="17:17" x14ac:dyDescent="0.3">
      <c r="Q81"/>
    </row>
    <row r="82" spans="17:17" x14ac:dyDescent="0.3">
      <c r="Q82"/>
    </row>
    <row r="83" spans="17:17" x14ac:dyDescent="0.3">
      <c r="Q83"/>
    </row>
    <row r="84" spans="17:17" x14ac:dyDescent="0.3">
      <c r="Q84"/>
    </row>
    <row r="85" spans="17:17" x14ac:dyDescent="0.3">
      <c r="Q85"/>
    </row>
    <row r="86" spans="17:17" x14ac:dyDescent="0.3">
      <c r="Q86"/>
    </row>
    <row r="87" spans="17:17" x14ac:dyDescent="0.3">
      <c r="Q87"/>
    </row>
    <row r="88" spans="17:17" x14ac:dyDescent="0.3">
      <c r="Q88"/>
    </row>
    <row r="89" spans="17:17" x14ac:dyDescent="0.3">
      <c r="Q89"/>
    </row>
    <row r="90" spans="17:17" x14ac:dyDescent="0.3">
      <c r="Q90"/>
    </row>
    <row r="91" spans="17:17" x14ac:dyDescent="0.3">
      <c r="Q91"/>
    </row>
    <row r="92" spans="17:17" x14ac:dyDescent="0.3">
      <c r="Q92"/>
    </row>
    <row r="93" spans="17:17" x14ac:dyDescent="0.3">
      <c r="Q93"/>
    </row>
    <row r="94" spans="17:17" x14ac:dyDescent="0.3">
      <c r="Q94"/>
    </row>
    <row r="95" spans="17:17" x14ac:dyDescent="0.3">
      <c r="Q95"/>
    </row>
    <row r="96" spans="17:17" x14ac:dyDescent="0.3">
      <c r="Q96"/>
    </row>
    <row r="97" spans="17:17" x14ac:dyDescent="0.3">
      <c r="Q97"/>
    </row>
    <row r="98" spans="17:17" x14ac:dyDescent="0.3">
      <c r="Q98"/>
    </row>
    <row r="99" spans="17:17" x14ac:dyDescent="0.3">
      <c r="Q99"/>
    </row>
    <row r="100" spans="17:17" x14ac:dyDescent="0.3">
      <c r="Q100"/>
    </row>
    <row r="101" spans="17:17" x14ac:dyDescent="0.3">
      <c r="Q101"/>
    </row>
    <row r="102" spans="17:17" x14ac:dyDescent="0.3">
      <c r="Q102"/>
    </row>
    <row r="103" spans="17:17" x14ac:dyDescent="0.3">
      <c r="Q103"/>
    </row>
    <row r="104" spans="17:17" x14ac:dyDescent="0.3">
      <c r="Q104"/>
    </row>
    <row r="105" spans="17:17" x14ac:dyDescent="0.3">
      <c r="Q105"/>
    </row>
    <row r="106" spans="17:17" x14ac:dyDescent="0.3">
      <c r="Q106"/>
    </row>
    <row r="107" spans="17:17" x14ac:dyDescent="0.3">
      <c r="Q107"/>
    </row>
    <row r="108" spans="17:17" x14ac:dyDescent="0.3">
      <c r="Q108"/>
    </row>
    <row r="109" spans="17:17" x14ac:dyDescent="0.3">
      <c r="Q109"/>
    </row>
    <row r="110" spans="17:17" x14ac:dyDescent="0.3">
      <c r="Q110"/>
    </row>
    <row r="111" spans="17:17" x14ac:dyDescent="0.3">
      <c r="Q111"/>
    </row>
    <row r="112" spans="17:17" x14ac:dyDescent="0.3">
      <c r="Q112"/>
    </row>
    <row r="113" spans="17:17" x14ac:dyDescent="0.3">
      <c r="Q113"/>
    </row>
    <row r="114" spans="17:17" x14ac:dyDescent="0.3">
      <c r="Q114"/>
    </row>
    <row r="115" spans="17:17" x14ac:dyDescent="0.3">
      <c r="Q115"/>
    </row>
    <row r="116" spans="17:17" x14ac:dyDescent="0.3">
      <c r="Q116"/>
    </row>
    <row r="117" spans="17:17" x14ac:dyDescent="0.3">
      <c r="Q117"/>
    </row>
    <row r="118" spans="17:17" x14ac:dyDescent="0.3">
      <c r="Q118"/>
    </row>
    <row r="119" spans="17:17" x14ac:dyDescent="0.3">
      <c r="Q119"/>
    </row>
    <row r="120" spans="17:17" x14ac:dyDescent="0.3">
      <c r="Q120"/>
    </row>
    <row r="121" spans="17:17" x14ac:dyDescent="0.3">
      <c r="Q121"/>
    </row>
    <row r="122" spans="17:17" x14ac:dyDescent="0.3">
      <c r="Q122"/>
    </row>
    <row r="123" spans="17:17" x14ac:dyDescent="0.3">
      <c r="Q123"/>
    </row>
    <row r="124" spans="17:17" x14ac:dyDescent="0.3">
      <c r="Q124"/>
    </row>
    <row r="125" spans="17:17" x14ac:dyDescent="0.3">
      <c r="Q125"/>
    </row>
    <row r="126" spans="17:17" x14ac:dyDescent="0.3">
      <c r="Q126"/>
    </row>
    <row r="127" spans="17:17" x14ac:dyDescent="0.3">
      <c r="Q127"/>
    </row>
    <row r="128" spans="17:17" x14ac:dyDescent="0.3">
      <c r="Q128"/>
    </row>
    <row r="129" spans="17:17" x14ac:dyDescent="0.3">
      <c r="Q129"/>
    </row>
    <row r="130" spans="17:17" x14ac:dyDescent="0.3">
      <c r="Q130"/>
    </row>
    <row r="131" spans="17:17" x14ac:dyDescent="0.3">
      <c r="Q131"/>
    </row>
    <row r="132" spans="17:17" x14ac:dyDescent="0.3">
      <c r="Q132"/>
    </row>
    <row r="133" spans="17:17" x14ac:dyDescent="0.3">
      <c r="Q133"/>
    </row>
    <row r="134" spans="17:17" x14ac:dyDescent="0.3">
      <c r="Q134"/>
    </row>
    <row r="135" spans="17:17" x14ac:dyDescent="0.3">
      <c r="Q135"/>
    </row>
    <row r="136" spans="17:17" x14ac:dyDescent="0.3">
      <c r="Q136"/>
    </row>
    <row r="137" spans="17:17" x14ac:dyDescent="0.3">
      <c r="Q137"/>
    </row>
    <row r="138" spans="17:17" x14ac:dyDescent="0.3">
      <c r="Q138"/>
    </row>
    <row r="139" spans="17:17" x14ac:dyDescent="0.3">
      <c r="Q139"/>
    </row>
    <row r="140" spans="17:17" x14ac:dyDescent="0.3">
      <c r="Q140"/>
    </row>
    <row r="141" spans="17:17" x14ac:dyDescent="0.3">
      <c r="Q141"/>
    </row>
    <row r="142" spans="17:17" x14ac:dyDescent="0.3">
      <c r="Q142"/>
    </row>
    <row r="143" spans="17:17" x14ac:dyDescent="0.3">
      <c r="Q143"/>
    </row>
    <row r="144" spans="17:17" x14ac:dyDescent="0.3">
      <c r="Q144"/>
    </row>
    <row r="145" spans="17:17" x14ac:dyDescent="0.3">
      <c r="Q145"/>
    </row>
    <row r="146" spans="17:17" x14ac:dyDescent="0.3">
      <c r="Q146"/>
    </row>
    <row r="147" spans="17:17" x14ac:dyDescent="0.3">
      <c r="Q147"/>
    </row>
    <row r="148" spans="17:17" x14ac:dyDescent="0.3">
      <c r="Q148"/>
    </row>
    <row r="149" spans="17:17" x14ac:dyDescent="0.3">
      <c r="Q149"/>
    </row>
    <row r="150" spans="17:17" x14ac:dyDescent="0.3">
      <c r="Q150"/>
    </row>
    <row r="151" spans="17:17" x14ac:dyDescent="0.3">
      <c r="Q151"/>
    </row>
    <row r="152" spans="17:17" x14ac:dyDescent="0.3">
      <c r="Q152"/>
    </row>
    <row r="153" spans="17:17" x14ac:dyDescent="0.3">
      <c r="Q153"/>
    </row>
    <row r="154" spans="17:17" x14ac:dyDescent="0.3">
      <c r="Q154"/>
    </row>
    <row r="155" spans="17:17" x14ac:dyDescent="0.3">
      <c r="Q155"/>
    </row>
    <row r="156" spans="17:17" x14ac:dyDescent="0.3">
      <c r="Q156"/>
    </row>
    <row r="157" spans="17:17" x14ac:dyDescent="0.3">
      <c r="Q157"/>
    </row>
    <row r="158" spans="17:17" x14ac:dyDescent="0.3">
      <c r="Q158"/>
    </row>
    <row r="159" spans="17:17" x14ac:dyDescent="0.3">
      <c r="Q159"/>
    </row>
    <row r="160" spans="17:17" x14ac:dyDescent="0.3">
      <c r="Q160"/>
    </row>
    <row r="161" spans="17:17" x14ac:dyDescent="0.3">
      <c r="Q161"/>
    </row>
    <row r="162" spans="17:17" x14ac:dyDescent="0.3">
      <c r="Q162"/>
    </row>
    <row r="163" spans="17:17" x14ac:dyDescent="0.3">
      <c r="Q163"/>
    </row>
    <row r="164" spans="17:17" x14ac:dyDescent="0.3">
      <c r="Q164"/>
    </row>
    <row r="165" spans="17:17" x14ac:dyDescent="0.3">
      <c r="Q165"/>
    </row>
    <row r="166" spans="17:17" x14ac:dyDescent="0.3">
      <c r="Q166"/>
    </row>
    <row r="167" spans="17:17" x14ac:dyDescent="0.3">
      <c r="Q167"/>
    </row>
    <row r="168" spans="17:17" x14ac:dyDescent="0.3">
      <c r="Q168"/>
    </row>
    <row r="169" spans="17:17" x14ac:dyDescent="0.3">
      <c r="Q169"/>
    </row>
    <row r="170" spans="17:17" x14ac:dyDescent="0.3">
      <c r="Q170"/>
    </row>
    <row r="171" spans="17:17" x14ac:dyDescent="0.3">
      <c r="Q171"/>
    </row>
    <row r="172" spans="17:17" x14ac:dyDescent="0.3">
      <c r="Q172"/>
    </row>
    <row r="173" spans="17:17" x14ac:dyDescent="0.3">
      <c r="Q173"/>
    </row>
    <row r="174" spans="17:17" x14ac:dyDescent="0.3">
      <c r="Q174"/>
    </row>
    <row r="175" spans="17:17" x14ac:dyDescent="0.3">
      <c r="Q175"/>
    </row>
    <row r="176" spans="17:17" x14ac:dyDescent="0.3">
      <c r="Q176"/>
    </row>
    <row r="177" spans="17:17" x14ac:dyDescent="0.3">
      <c r="Q177"/>
    </row>
    <row r="178" spans="17:17" x14ac:dyDescent="0.3">
      <c r="Q178"/>
    </row>
    <row r="179" spans="17:17" x14ac:dyDescent="0.3">
      <c r="Q179"/>
    </row>
    <row r="180" spans="17:17" x14ac:dyDescent="0.3">
      <c r="Q180"/>
    </row>
    <row r="181" spans="17:17" x14ac:dyDescent="0.3">
      <c r="Q181"/>
    </row>
    <row r="182" spans="17:17" x14ac:dyDescent="0.3">
      <c r="Q182"/>
    </row>
    <row r="183" spans="17:17" x14ac:dyDescent="0.3">
      <c r="Q183"/>
    </row>
    <row r="184" spans="17:17" x14ac:dyDescent="0.3">
      <c r="Q184"/>
    </row>
    <row r="185" spans="17:17" x14ac:dyDescent="0.3">
      <c r="Q185"/>
    </row>
    <row r="186" spans="17:17" x14ac:dyDescent="0.3">
      <c r="Q186"/>
    </row>
    <row r="187" spans="17:17" x14ac:dyDescent="0.3">
      <c r="Q187"/>
    </row>
    <row r="188" spans="17:17" x14ac:dyDescent="0.3">
      <c r="Q188"/>
    </row>
    <row r="189" spans="17:17" x14ac:dyDescent="0.3">
      <c r="Q189"/>
    </row>
    <row r="190" spans="17:17" x14ac:dyDescent="0.3">
      <c r="Q190"/>
    </row>
    <row r="191" spans="17:17" x14ac:dyDescent="0.3">
      <c r="Q191"/>
    </row>
    <row r="192" spans="17:17" x14ac:dyDescent="0.3">
      <c r="Q192"/>
    </row>
    <row r="193" spans="17:17" x14ac:dyDescent="0.3">
      <c r="Q193"/>
    </row>
    <row r="194" spans="17:17" x14ac:dyDescent="0.3">
      <c r="Q194"/>
    </row>
    <row r="195" spans="17:17" x14ac:dyDescent="0.3">
      <c r="Q195"/>
    </row>
    <row r="196" spans="17:17" x14ac:dyDescent="0.3">
      <c r="Q196"/>
    </row>
    <row r="197" spans="17:17" x14ac:dyDescent="0.3">
      <c r="Q197"/>
    </row>
    <row r="198" spans="17:17" x14ac:dyDescent="0.3">
      <c r="Q198"/>
    </row>
    <row r="199" spans="17:17" x14ac:dyDescent="0.3">
      <c r="Q199"/>
    </row>
    <row r="200" spans="17:17" x14ac:dyDescent="0.3">
      <c r="Q200"/>
    </row>
  </sheetData>
  <autoFilter ref="B4:S25" xr:uid="{00000000-0009-0000-0000-000001000000}"/>
  <phoneticPr fontId="6" type="noConversion"/>
  <pageMargins left="0.7" right="0.7" top="0.78740157499999996" bottom="0.78740157499999996" header="0.3" footer="0.3"/>
  <pageSetup paperSize="9" orientation="portrait" r:id="rId1"/>
  <legacyDrawing r:id="rId2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82E56CC-6379-4EDB-904B-EC3A31552AEC}">
  <sheetPr>
    <tabColor theme="4"/>
  </sheetPr>
  <dimension ref="A1:B24"/>
  <sheetViews>
    <sheetView workbookViewId="0">
      <selection activeCell="B25" sqref="B25"/>
    </sheetView>
  </sheetViews>
  <sheetFormatPr baseColWidth="10" defaultRowHeight="14.4" x14ac:dyDescent="0.3"/>
  <cols>
    <col min="1" max="1" width="24.44140625" bestFit="1" customWidth="1"/>
  </cols>
  <sheetData>
    <row r="1" spans="1:2" x14ac:dyDescent="0.3">
      <c r="A1" t="s">
        <v>196</v>
      </c>
      <c r="B1" t="s">
        <v>277</v>
      </c>
    </row>
    <row r="2" spans="1:2" x14ac:dyDescent="0.3">
      <c r="A2">
        <v>221220</v>
      </c>
      <c r="B2" t="s">
        <v>197</v>
      </c>
    </row>
    <row r="3" spans="1:2" x14ac:dyDescent="0.3">
      <c r="B3" t="s">
        <v>198</v>
      </c>
    </row>
    <row r="4" spans="1:2" x14ac:dyDescent="0.3">
      <c r="B4" t="s">
        <v>199</v>
      </c>
    </row>
    <row r="5" spans="1:2" x14ac:dyDescent="0.3">
      <c r="A5">
        <v>230126</v>
      </c>
      <c r="B5" t="s">
        <v>201</v>
      </c>
    </row>
    <row r="6" spans="1:2" x14ac:dyDescent="0.3">
      <c r="B6" t="s">
        <v>202</v>
      </c>
    </row>
    <row r="7" spans="1:2" x14ac:dyDescent="0.3">
      <c r="B7" t="s">
        <v>204</v>
      </c>
    </row>
    <row r="9" spans="1:2" x14ac:dyDescent="0.3">
      <c r="A9" t="s">
        <v>247</v>
      </c>
      <c r="B9" t="s">
        <v>205</v>
      </c>
    </row>
    <row r="10" spans="1:2" x14ac:dyDescent="0.3">
      <c r="B10" t="s">
        <v>248</v>
      </c>
    </row>
    <row r="11" spans="1:2" x14ac:dyDescent="0.3">
      <c r="B11" t="s">
        <v>249</v>
      </c>
    </row>
    <row r="12" spans="1:2" x14ac:dyDescent="0.3">
      <c r="A12" t="s">
        <v>259</v>
      </c>
      <c r="B12" t="s">
        <v>261</v>
      </c>
    </row>
    <row r="13" spans="1:2" x14ac:dyDescent="0.3">
      <c r="B13" t="s">
        <v>260</v>
      </c>
    </row>
    <row r="14" spans="1:2" x14ac:dyDescent="0.3">
      <c r="A14" t="s">
        <v>265</v>
      </c>
      <c r="B14" t="s">
        <v>263</v>
      </c>
    </row>
    <row r="15" spans="1:2" x14ac:dyDescent="0.3">
      <c r="B15" t="s">
        <v>266</v>
      </c>
    </row>
    <row r="16" spans="1:2" x14ac:dyDescent="0.3">
      <c r="A16" t="s">
        <v>267</v>
      </c>
      <c r="B16" t="s">
        <v>270</v>
      </c>
    </row>
    <row r="17" spans="1:2" x14ac:dyDescent="0.3">
      <c r="B17" t="s">
        <v>268</v>
      </c>
    </row>
    <row r="18" spans="1:2" x14ac:dyDescent="0.3">
      <c r="B18" t="s">
        <v>269</v>
      </c>
    </row>
    <row r="19" spans="1:2" x14ac:dyDescent="0.3">
      <c r="A19" t="s">
        <v>272</v>
      </c>
      <c r="B19" t="s">
        <v>273</v>
      </c>
    </row>
    <row r="20" spans="1:2" x14ac:dyDescent="0.3">
      <c r="B20" t="s">
        <v>274</v>
      </c>
    </row>
    <row r="21" spans="1:2" x14ac:dyDescent="0.3">
      <c r="A21" t="s">
        <v>275</v>
      </c>
      <c r="B21" t="s">
        <v>276</v>
      </c>
    </row>
    <row r="22" spans="1:2" x14ac:dyDescent="0.3">
      <c r="A22" t="s">
        <v>279</v>
      </c>
      <c r="B22" t="s">
        <v>280</v>
      </c>
    </row>
    <row r="23" spans="1:2" x14ac:dyDescent="0.3">
      <c r="A23" t="s">
        <v>283</v>
      </c>
      <c r="B23" t="s">
        <v>284</v>
      </c>
    </row>
    <row r="24" spans="1:2" x14ac:dyDescent="0.3">
      <c r="A24" t="s">
        <v>294</v>
      </c>
      <c r="B24" t="s">
        <v>295</v>
      </c>
    </row>
  </sheetData>
  <pageMargins left="0.7" right="0.7" top="0.78740157499999996" bottom="0.78740157499999996" header="0.3" footer="0.3"/>
</worksheet>
</file>

<file path=xl/worksheets/sheet6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AC0513C-7822-42DB-A97B-3A2A536E3BB0}">
  <sheetPr codeName="Sheet4">
    <tabColor rgb="FFC00000"/>
  </sheetPr>
  <dimension ref="B2:BB49"/>
  <sheetViews>
    <sheetView showGridLines="0" zoomScale="85" zoomScaleNormal="85" workbookViewId="0">
      <pane xSplit="3" ySplit="4" topLeftCell="D5" activePane="bottomRight" state="frozen"/>
      <selection pane="topRight" activeCell="B28" sqref="B28"/>
      <selection pane="bottomLeft" activeCell="B28" sqref="B28"/>
      <selection pane="bottomRight" activeCell="D8" sqref="D8"/>
    </sheetView>
  </sheetViews>
  <sheetFormatPr baseColWidth="10" defaultColWidth="9.44140625" defaultRowHeight="14.4" outlineLevelRow="1" x14ac:dyDescent="0.3"/>
  <cols>
    <col min="3" max="3" width="26.5546875" customWidth="1"/>
    <col min="4" max="4" width="12.109375" style="127" customWidth="1"/>
    <col min="5" max="5" width="11.44140625" style="126" bestFit="1" customWidth="1"/>
    <col min="6" max="6" width="11.5546875" style="126" bestFit="1" customWidth="1"/>
    <col min="7" max="7" width="11.44140625" style="126" bestFit="1" customWidth="1"/>
    <col min="8" max="8" width="14.44140625" style="126" customWidth="1"/>
    <col min="9" max="15" width="11.44140625" style="126" bestFit="1" customWidth="1"/>
    <col min="16" max="16" width="10.44140625" bestFit="1" customWidth="1"/>
    <col min="17" max="27" width="11.44140625" bestFit="1" customWidth="1"/>
    <col min="28" max="28" width="10.44140625" bestFit="1" customWidth="1"/>
    <col min="29" max="39" width="11.44140625" bestFit="1" customWidth="1"/>
    <col min="40" max="40" width="12.44140625" bestFit="1" customWidth="1"/>
    <col min="41" max="41" width="10.44140625" bestFit="1" customWidth="1"/>
    <col min="43" max="43" width="12.5546875" bestFit="1" customWidth="1"/>
    <col min="44" max="44" width="11.44140625" bestFit="1" customWidth="1"/>
    <col min="45" max="54" width="10.44140625" bestFit="1" customWidth="1"/>
  </cols>
  <sheetData>
    <row r="2" spans="2:54" s="118" customFormat="1" x14ac:dyDescent="0.3">
      <c r="D2" s="122"/>
      <c r="E2" s="123"/>
      <c r="F2" s="123"/>
      <c r="G2" s="123"/>
      <c r="H2" s="123"/>
      <c r="I2" s="123"/>
      <c r="J2" s="123"/>
      <c r="K2" s="123"/>
      <c r="L2" s="123"/>
      <c r="M2" s="123"/>
      <c r="N2" s="123"/>
      <c r="O2" s="123"/>
    </row>
    <row r="4" spans="2:54" x14ac:dyDescent="0.3">
      <c r="D4" s="124" t="s">
        <v>90</v>
      </c>
      <c r="E4" s="125" t="s">
        <v>91</v>
      </c>
      <c r="F4" s="124" t="s">
        <v>92</v>
      </c>
      <c r="G4" s="125" t="s">
        <v>93</v>
      </c>
      <c r="H4" s="124" t="s">
        <v>94</v>
      </c>
      <c r="I4" s="125" t="s">
        <v>95</v>
      </c>
      <c r="J4" s="124" t="s">
        <v>96</v>
      </c>
      <c r="K4" s="125" t="s">
        <v>97</v>
      </c>
      <c r="L4" s="124" t="s">
        <v>98</v>
      </c>
      <c r="M4" s="125" t="s">
        <v>99</v>
      </c>
      <c r="N4" s="124" t="s">
        <v>100</v>
      </c>
      <c r="O4" s="125" t="s">
        <v>101</v>
      </c>
      <c r="P4" s="124" t="s">
        <v>102</v>
      </c>
      <c r="Q4" s="125" t="s">
        <v>103</v>
      </c>
      <c r="R4" s="124" t="s">
        <v>104</v>
      </c>
      <c r="S4" s="125" t="s">
        <v>105</v>
      </c>
      <c r="T4" s="124" t="s">
        <v>106</v>
      </c>
      <c r="U4" s="125" t="s">
        <v>107</v>
      </c>
      <c r="V4" s="124" t="s">
        <v>108</v>
      </c>
      <c r="W4" s="125" t="s">
        <v>109</v>
      </c>
      <c r="X4" s="124" t="s">
        <v>110</v>
      </c>
      <c r="Y4" s="125" t="s">
        <v>111</v>
      </c>
      <c r="Z4" s="124" t="s">
        <v>112</v>
      </c>
      <c r="AA4" s="125" t="s">
        <v>113</v>
      </c>
      <c r="AB4" s="124" t="s">
        <v>114</v>
      </c>
      <c r="AC4" s="125" t="s">
        <v>115</v>
      </c>
      <c r="AD4" s="124" t="s">
        <v>116</v>
      </c>
      <c r="AE4" s="125" t="s">
        <v>117</v>
      </c>
      <c r="AF4" s="124" t="s">
        <v>118</v>
      </c>
      <c r="AG4" s="125" t="s">
        <v>119</v>
      </c>
      <c r="AH4" s="124" t="s">
        <v>120</v>
      </c>
      <c r="AI4" s="125" t="s">
        <v>121</v>
      </c>
      <c r="AJ4" s="124" t="s">
        <v>122</v>
      </c>
      <c r="AK4" s="125" t="s">
        <v>123</v>
      </c>
      <c r="AL4" s="124" t="s">
        <v>124</v>
      </c>
      <c r="AM4" s="125" t="s">
        <v>125</v>
      </c>
      <c r="AN4" s="124" t="s">
        <v>126</v>
      </c>
      <c r="AQ4" s="116" t="s">
        <v>127</v>
      </c>
      <c r="AR4" s="116" t="s">
        <v>128</v>
      </c>
      <c r="AS4" s="116" t="s">
        <v>129</v>
      </c>
      <c r="AT4" s="116" t="s">
        <v>130</v>
      </c>
      <c r="AU4" s="116" t="s">
        <v>131</v>
      </c>
      <c r="AV4" s="116" t="s">
        <v>132</v>
      </c>
      <c r="AW4" s="116" t="s">
        <v>133</v>
      </c>
      <c r="AX4" s="116" t="s">
        <v>134</v>
      </c>
      <c r="AY4" s="116" t="s">
        <v>135</v>
      </c>
      <c r="AZ4" s="116" t="s">
        <v>136</v>
      </c>
      <c r="BA4" s="116" t="s">
        <v>137</v>
      </c>
      <c r="BB4" s="116" t="s">
        <v>138</v>
      </c>
    </row>
    <row r="5" spans="2:54" x14ac:dyDescent="0.3">
      <c r="C5" s="116" t="s">
        <v>139</v>
      </c>
      <c r="D5" s="124"/>
      <c r="E5" s="125"/>
      <c r="F5" s="125"/>
      <c r="G5" s="125"/>
      <c r="H5" s="125"/>
      <c r="I5" s="125"/>
      <c r="J5" s="125"/>
      <c r="K5" s="125"/>
      <c r="L5" s="125"/>
      <c r="M5" s="125"/>
      <c r="N5" s="125"/>
      <c r="O5" s="125"/>
      <c r="AN5" s="134" t="e">
        <f>SUM(AN6:AN7)</f>
        <v>#REF!</v>
      </c>
    </row>
    <row r="6" spans="2:54" x14ac:dyDescent="0.3">
      <c r="B6" s="135">
        <v>1</v>
      </c>
      <c r="C6" s="117" t="s">
        <v>72</v>
      </c>
      <c r="D6" s="128" t="e">
        <f>'Preise Output'!$E$26*B6*'Preise Output'!#REF!</f>
        <v>#REF!</v>
      </c>
      <c r="E6" s="129"/>
      <c r="F6" s="129"/>
      <c r="G6" s="129"/>
      <c r="H6" s="129"/>
      <c r="I6" s="129"/>
      <c r="J6" s="129"/>
      <c r="K6" s="129"/>
      <c r="L6" s="129"/>
      <c r="M6" s="129"/>
      <c r="N6" s="129"/>
      <c r="O6" s="128"/>
      <c r="P6" s="128">
        <f>'Preise Output'!$E$26*B6*INDEX(Annahmen!$B$19:$C$22,MATCH('Preise Output'!$C$7,Annahmen!$B$19:$B$22,0),2)</f>
        <v>23345</v>
      </c>
      <c r="Q6" s="129"/>
      <c r="R6" s="129"/>
      <c r="S6" s="129"/>
      <c r="T6" s="129"/>
      <c r="U6" s="129"/>
      <c r="V6" s="129"/>
      <c r="W6" s="129"/>
      <c r="X6" s="129"/>
      <c r="Y6" s="129"/>
      <c r="Z6" s="129"/>
      <c r="AA6" s="130"/>
      <c r="AB6" s="128">
        <f>'Preise Output'!$E$26*B6*INDEX(Annahmen!$B$19:$C$22,MATCH('Preise Output'!$C$7,Annahmen!$B$19:$B$22,0),2)</f>
        <v>23345</v>
      </c>
      <c r="AC6" s="129"/>
      <c r="AD6" s="129"/>
      <c r="AE6" s="129"/>
      <c r="AF6" s="129"/>
      <c r="AG6" s="129"/>
      <c r="AH6" s="129"/>
      <c r="AI6" s="129"/>
      <c r="AJ6" s="129"/>
      <c r="AK6" s="129"/>
      <c r="AL6" s="129"/>
      <c r="AM6" s="130"/>
      <c r="AN6" s="130" t="e">
        <f>SUM(D6:AM6)</f>
        <v>#REF!</v>
      </c>
      <c r="AQ6" s="130" t="e">
        <f>SUM(D6:F6)</f>
        <v>#REF!</v>
      </c>
      <c r="AR6" s="130">
        <f>SUM(G6:I6)</f>
        <v>0</v>
      </c>
      <c r="AS6" s="130">
        <f>SUM(J6:L6)</f>
        <v>0</v>
      </c>
      <c r="AT6" s="130">
        <f>SUM(M6:O6)</f>
        <v>0</v>
      </c>
      <c r="AU6" s="130">
        <f>SUM(P6:R6)</f>
        <v>23345</v>
      </c>
      <c r="AV6" s="130">
        <f>SUM(S6:U6)</f>
        <v>0</v>
      </c>
      <c r="AW6" s="130">
        <f>SUM(V6:X6)</f>
        <v>0</v>
      </c>
      <c r="AX6" s="130">
        <f>SUM(Y6:AA6)</f>
        <v>0</v>
      </c>
      <c r="AY6" s="130">
        <f>SUM(AB6:AD6)</f>
        <v>23345</v>
      </c>
      <c r="AZ6" s="130">
        <f>SUM(AE6:AG6)</f>
        <v>0</v>
      </c>
      <c r="BA6" s="130">
        <f>SUM(AH6:AJ6)</f>
        <v>0</v>
      </c>
      <c r="BB6" s="130">
        <f>SUM(AK6:AM6)</f>
        <v>0</v>
      </c>
    </row>
    <row r="7" spans="2:54" x14ac:dyDescent="0.3">
      <c r="C7" s="117" t="s">
        <v>140</v>
      </c>
      <c r="D7" s="129"/>
      <c r="E7" s="129">
        <f>IF($B$6=100%,(('Preise Output'!$F$10-INDEX(Annahmen!$B$18:$C$22,MATCH('Preise Output'!$C$7,Annahmen!$B$18:$B$22,0),2))*'Preise Output'!$E$26)/10,('Preise Output'!$E$26*'Preise Output'!$F$10-$D$6)/10)</f>
        <v>1667.5</v>
      </c>
      <c r="F7" s="129">
        <f>IF($B$6=100%,(('Preise Output'!$F$10-INDEX(Annahmen!$B$18:$C$22,MATCH('Preise Output'!$C$7,Annahmen!$B$18:$B$22,0),2))*'Preise Output'!$E$26)/10,('Preise Output'!$E$26*'Preise Output'!$F$10-$D$6)/10)</f>
        <v>1667.5</v>
      </c>
      <c r="G7" s="129">
        <f>IF($B$6=100%,(('Preise Output'!$F$10-INDEX(Annahmen!$B$18:$C$22,MATCH('Preise Output'!$C$7,Annahmen!$B$18:$B$22,0),2))*'Preise Output'!$E$26)/10,('Preise Output'!$E$26*'Preise Output'!$F$10-$D$6)/10)</f>
        <v>1667.5</v>
      </c>
      <c r="H7" s="129">
        <f>IF($B$6=100%,(('Preise Output'!$F$10-INDEX(Annahmen!$B$18:$C$22,MATCH('Preise Output'!$C$7,Annahmen!$B$18:$B$22,0),2))*'Preise Output'!$E$26)/10,('Preise Output'!$E$26*'Preise Output'!$F$10-$D$6)/10)</f>
        <v>1667.5</v>
      </c>
      <c r="I7" s="129">
        <f>IF($B$6=100%,(('Preise Output'!$F$10-INDEX(Annahmen!$B$18:$C$22,MATCH('Preise Output'!$C$7,Annahmen!$B$18:$B$22,0),2))*'Preise Output'!$E$26)/10,('Preise Output'!$E$26*'Preise Output'!$F$10-$D$6)/10)</f>
        <v>1667.5</v>
      </c>
      <c r="J7" s="129">
        <f>IF($B$6=100%,(('Preise Output'!$F$10-INDEX(Annahmen!$B$18:$C$22,MATCH('Preise Output'!$C$7,Annahmen!$B$18:$B$22,0),2))*'Preise Output'!$E$26)/10,('Preise Output'!$E$26*'Preise Output'!$F$10-$D$6)/10)</f>
        <v>1667.5</v>
      </c>
      <c r="K7" s="129">
        <f>IF($B$6=100%,(('Preise Output'!$F$10-INDEX(Annahmen!$B$18:$C$22,MATCH('Preise Output'!$C$7,Annahmen!$B$18:$B$22,0),2))*'Preise Output'!$E$26)/10,('Preise Output'!$E$26*'Preise Output'!$F$10-$D$6)/10)</f>
        <v>1667.5</v>
      </c>
      <c r="L7" s="129">
        <f>IF($B$6=100%,(('Preise Output'!$F$10-INDEX(Annahmen!$B$18:$C$22,MATCH('Preise Output'!$C$7,Annahmen!$B$18:$B$22,0),2))*'Preise Output'!$E$26)/10,('Preise Output'!$E$26*'Preise Output'!$F$10-$D$6)/10)</f>
        <v>1667.5</v>
      </c>
      <c r="M7" s="129">
        <f>IF($B$6=100%,(('Preise Output'!$F$10-INDEX(Annahmen!$B$18:$C$22,MATCH('Preise Output'!$C$7,Annahmen!$B$18:$B$22,0),2))*'Preise Output'!$E$26)/10,('Preise Output'!$E$26*'Preise Output'!$F$10-$D$6)/10)</f>
        <v>1667.5</v>
      </c>
      <c r="N7" s="129">
        <f>IF($B$6=100%,(('Preise Output'!$F$10-INDEX(Annahmen!$B$18:$C$22,MATCH('Preise Output'!$C$7,Annahmen!$B$18:$B$22,0),2))*'Preise Output'!$E$26)/10,('Preise Output'!$E$26*'Preise Output'!$F$10-$D$6)/10)</f>
        <v>1667.5</v>
      </c>
      <c r="O7" s="128"/>
      <c r="P7" s="129"/>
      <c r="Q7" s="129">
        <f>IF($B$6=100%,(('Preise Output'!$F$10-INDEX(Annahmen!$B$18:$C$22,MATCH('Preise Output'!$C$7,Annahmen!$B$18:$B$22,0),2))*'Preise Output'!$E$26)/10,('Preise Output'!$E$26*'Preise Output'!$F$10-$D$6)/10)</f>
        <v>1667.5</v>
      </c>
      <c r="R7" s="129">
        <f>IF($B$6=100%,(('Preise Output'!$F$10-INDEX(Annahmen!$B$18:$C$22,MATCH('Preise Output'!$C$7,Annahmen!$B$18:$B$22,0),2))*'Preise Output'!$E$26)/10,('Preise Output'!$E$26*'Preise Output'!$F$10-$D$6)/10)</f>
        <v>1667.5</v>
      </c>
      <c r="S7" s="129">
        <f>IF($B$6=100%,(('Preise Output'!$F$10-INDEX(Annahmen!$B$18:$C$22,MATCH('Preise Output'!$C$7,Annahmen!$B$18:$B$22,0),2))*'Preise Output'!$E$26)/10,('Preise Output'!$E$26*'Preise Output'!$F$10-$D$6)/10)</f>
        <v>1667.5</v>
      </c>
      <c r="T7" s="129">
        <f>IF($B$6=100%,(('Preise Output'!$F$10-INDEX(Annahmen!$B$18:$C$22,MATCH('Preise Output'!$C$7,Annahmen!$B$18:$B$22,0),2))*'Preise Output'!$E$26)/10,('Preise Output'!$E$26*'Preise Output'!$F$10-$D$6)/10)</f>
        <v>1667.5</v>
      </c>
      <c r="U7" s="129">
        <f>IF($B$6=100%,(('Preise Output'!$F$10-INDEX(Annahmen!$B$18:$C$22,MATCH('Preise Output'!$C$7,Annahmen!$B$18:$B$22,0),2))*'Preise Output'!$E$26)/10,('Preise Output'!$E$26*'Preise Output'!$F$10-$D$6)/10)</f>
        <v>1667.5</v>
      </c>
      <c r="V7" s="129">
        <f>IF($B$6=100%,(('Preise Output'!$F$10-INDEX(Annahmen!$B$18:$C$22,MATCH('Preise Output'!$C$7,Annahmen!$B$18:$B$22,0),2))*'Preise Output'!$E$26)/10,('Preise Output'!$E$26*'Preise Output'!$F$10-$D$6)/10)</f>
        <v>1667.5</v>
      </c>
      <c r="W7" s="129">
        <f>IF($B$6=100%,(('Preise Output'!$F$10-INDEX(Annahmen!$B$18:$C$22,MATCH('Preise Output'!$C$7,Annahmen!$B$18:$B$22,0),2))*'Preise Output'!$E$26)/10,('Preise Output'!$E$26*'Preise Output'!$F$10-$D$6)/10)</f>
        <v>1667.5</v>
      </c>
      <c r="X7" s="129">
        <f>IF($B$6=100%,(('Preise Output'!$F$10-INDEX(Annahmen!$B$18:$C$22,MATCH('Preise Output'!$C$7,Annahmen!$B$18:$B$22,0),2))*'Preise Output'!$E$26)/10,('Preise Output'!$E$26*'Preise Output'!$F$10-$D$6)/10)</f>
        <v>1667.5</v>
      </c>
      <c r="Y7" s="129">
        <f>IF($B$6=100%,(('Preise Output'!$F$10-INDEX(Annahmen!$B$18:$C$22,MATCH('Preise Output'!$C$7,Annahmen!$B$18:$B$22,0),2))*'Preise Output'!$E$26)/10,('Preise Output'!$E$26*'Preise Output'!$F$10-$D$6)/10)</f>
        <v>1667.5</v>
      </c>
      <c r="Z7" s="129">
        <f>IF($B$6=100%,(('Preise Output'!$F$10-INDEX(Annahmen!$B$18:$C$22,MATCH('Preise Output'!$C$7,Annahmen!$B$18:$B$22,0),2))*'Preise Output'!$E$26)/10,('Preise Output'!$E$26*'Preise Output'!$F$10-$D$6)/10)</f>
        <v>1667.5</v>
      </c>
      <c r="AA7" s="130"/>
      <c r="AB7" s="129"/>
      <c r="AC7" s="129">
        <f>IF($B$6=100%,(('Preise Output'!$F$10-INDEX(Annahmen!$B$18:$C$22,MATCH('Preise Output'!$C$7,Annahmen!$B$18:$B$22,0),2))*'Preise Output'!$E$26)/10,('Preise Output'!$E$26*'Preise Output'!$F$10-$D$6)/10)</f>
        <v>1667.5</v>
      </c>
      <c r="AD7" s="129">
        <f>IF($B$6=100%,(('Preise Output'!$F$10-INDEX(Annahmen!$B$18:$C$22,MATCH('Preise Output'!$C$7,Annahmen!$B$18:$B$22,0),2))*'Preise Output'!$E$26)/10,('Preise Output'!$E$26*'Preise Output'!$F$10-$D$6)/10)</f>
        <v>1667.5</v>
      </c>
      <c r="AE7" s="129">
        <f>IF($B$6=100%,(('Preise Output'!$F$10-INDEX(Annahmen!$B$18:$C$22,MATCH('Preise Output'!$C$7,Annahmen!$B$18:$B$22,0),2))*'Preise Output'!$E$26)/10,('Preise Output'!$E$26*'Preise Output'!$F$10-$D$6)/10)</f>
        <v>1667.5</v>
      </c>
      <c r="AF7" s="129">
        <f>IF($B$6=100%,(('Preise Output'!$F$10-INDEX(Annahmen!$B$18:$C$22,MATCH('Preise Output'!$C$7,Annahmen!$B$18:$B$22,0),2))*'Preise Output'!$E$26)/10,('Preise Output'!$E$26*'Preise Output'!$F$10-$D$6)/10)</f>
        <v>1667.5</v>
      </c>
      <c r="AG7" s="129">
        <f>IF($B$6=100%,(('Preise Output'!$F$10-INDEX(Annahmen!$B$18:$C$22,MATCH('Preise Output'!$C$7,Annahmen!$B$18:$B$22,0),2))*'Preise Output'!$E$26)/10,('Preise Output'!$E$26*'Preise Output'!$F$10-$D$6)/10)</f>
        <v>1667.5</v>
      </c>
      <c r="AH7" s="129">
        <f>IF($B$6=100%,(('Preise Output'!$F$10-INDEX(Annahmen!$B$18:$C$22,MATCH('Preise Output'!$C$7,Annahmen!$B$18:$B$22,0),2))*'Preise Output'!$E$26)/10,('Preise Output'!$E$26*'Preise Output'!$F$10-$D$6)/10)</f>
        <v>1667.5</v>
      </c>
      <c r="AI7" s="129">
        <f>IF($B$6=100%,(('Preise Output'!$F$10-INDEX(Annahmen!$B$18:$C$22,MATCH('Preise Output'!$C$7,Annahmen!$B$18:$B$22,0),2))*'Preise Output'!$E$26)/10,('Preise Output'!$E$26*'Preise Output'!$F$10-$D$6)/10)</f>
        <v>1667.5</v>
      </c>
      <c r="AJ7" s="129">
        <f>IF($B$6=100%,(('Preise Output'!$F$10-INDEX(Annahmen!$B$18:$C$22,MATCH('Preise Output'!$C$7,Annahmen!$B$18:$B$22,0),2))*'Preise Output'!$E$26)/10,('Preise Output'!$E$26*'Preise Output'!$F$10-$D$6)/10)</f>
        <v>1667.5</v>
      </c>
      <c r="AK7" s="129">
        <f>IF($B$6=100%,(('Preise Output'!$F$10-INDEX(Annahmen!$B$18:$C$22,MATCH('Preise Output'!$C$7,Annahmen!$B$18:$B$22,0),2))*'Preise Output'!$E$26)/10,('Preise Output'!$E$26*'Preise Output'!$F$10-$D$6)/10)</f>
        <v>1667.5</v>
      </c>
      <c r="AL7" s="129">
        <f>IF($B$6=100%,(('Preise Output'!$F$10-INDEX(Annahmen!$B$18:$C$22,MATCH('Preise Output'!$C$7,Annahmen!$B$18:$B$22,0),2))*'Preise Output'!$E$26)/10,('Preise Output'!$E$26*'Preise Output'!$F$10-$D$6)/10)</f>
        <v>1667.5</v>
      </c>
      <c r="AM7" s="130"/>
      <c r="AN7" s="130">
        <f t="shared" ref="AN7:AN43" si="0">SUM(D7:AM7)</f>
        <v>50025</v>
      </c>
      <c r="AQ7" s="130">
        <f t="shared" ref="AQ7:AQ45" si="1">SUM(D7:F7)</f>
        <v>3335</v>
      </c>
      <c r="AR7" s="130">
        <f t="shared" ref="AR7:AR45" si="2">SUM(G7:I7)</f>
        <v>5002.5</v>
      </c>
      <c r="AS7" s="130">
        <f t="shared" ref="AS7:AS45" si="3">SUM(J7:L7)</f>
        <v>5002.5</v>
      </c>
      <c r="AT7" s="130">
        <f t="shared" ref="AT7:AT45" si="4">SUM(M7:O7)</f>
        <v>3335</v>
      </c>
      <c r="AU7" s="130">
        <f t="shared" ref="AU7:AU45" si="5">SUM(P7:R7)</f>
        <v>3335</v>
      </c>
      <c r="AV7" s="130">
        <f t="shared" ref="AV7:AV45" si="6">SUM(S7:U7)</f>
        <v>5002.5</v>
      </c>
      <c r="AW7" s="130">
        <f t="shared" ref="AW7:AW45" si="7">SUM(V7:X7)</f>
        <v>5002.5</v>
      </c>
      <c r="AX7" s="130">
        <f t="shared" ref="AX7:AX45" si="8">SUM(Y7:AA7)</f>
        <v>3335</v>
      </c>
      <c r="AY7" s="130">
        <f t="shared" ref="AY7:AY45" si="9">SUM(AB7:AD7)</f>
        <v>3335</v>
      </c>
      <c r="AZ7" s="130">
        <f t="shared" ref="AZ7:AZ45" si="10">SUM(AE7:AG7)</f>
        <v>5002.5</v>
      </c>
      <c r="BA7" s="130">
        <f t="shared" ref="BA7:BA45" si="11">SUM(AH7:AJ7)</f>
        <v>5002.5</v>
      </c>
      <c r="BB7" s="130">
        <f t="shared" ref="BB7:BB45" si="12">SUM(AK7:AM7)</f>
        <v>3335</v>
      </c>
    </row>
    <row r="8" spans="2:54" x14ac:dyDescent="0.3">
      <c r="C8" s="116" t="s">
        <v>141</v>
      </c>
      <c r="D8" s="128" t="e">
        <f t="shared" ref="D8:AN8" si="13">D9+D18+D25+D33+D38+D42+D43</f>
        <v>#REF!</v>
      </c>
      <c r="E8" s="128" t="e">
        <f t="shared" si="13"/>
        <v>#N/A</v>
      </c>
      <c r="F8" s="128" t="e">
        <f t="shared" si="13"/>
        <v>#N/A</v>
      </c>
      <c r="G8" s="128" t="e">
        <f t="shared" si="13"/>
        <v>#REF!</v>
      </c>
      <c r="H8" s="128" t="e">
        <f t="shared" si="13"/>
        <v>#N/A</v>
      </c>
      <c r="I8" s="128" t="e">
        <f t="shared" si="13"/>
        <v>#N/A</v>
      </c>
      <c r="J8" s="128" t="e">
        <f t="shared" si="13"/>
        <v>#REF!</v>
      </c>
      <c r="K8" s="128" t="e">
        <f t="shared" si="13"/>
        <v>#N/A</v>
      </c>
      <c r="L8" s="128" t="e">
        <f t="shared" si="13"/>
        <v>#N/A</v>
      </c>
      <c r="M8" s="128" t="e">
        <f t="shared" si="13"/>
        <v>#REF!</v>
      </c>
      <c r="N8" s="128" t="e">
        <f t="shared" si="13"/>
        <v>#N/A</v>
      </c>
      <c r="O8" s="128" t="e">
        <f t="shared" si="13"/>
        <v>#REF!</v>
      </c>
      <c r="P8" s="128" t="e">
        <f t="shared" si="13"/>
        <v>#REF!</v>
      </c>
      <c r="Q8" s="128" t="e">
        <f t="shared" si="13"/>
        <v>#N/A</v>
      </c>
      <c r="R8" s="128" t="e">
        <f t="shared" si="13"/>
        <v>#N/A</v>
      </c>
      <c r="S8" s="128" t="e">
        <f t="shared" si="13"/>
        <v>#REF!</v>
      </c>
      <c r="T8" s="128" t="e">
        <f t="shared" si="13"/>
        <v>#N/A</v>
      </c>
      <c r="U8" s="128" t="e">
        <f t="shared" si="13"/>
        <v>#N/A</v>
      </c>
      <c r="V8" s="128" t="e">
        <f t="shared" si="13"/>
        <v>#REF!</v>
      </c>
      <c r="W8" s="128" t="e">
        <f t="shared" si="13"/>
        <v>#N/A</v>
      </c>
      <c r="X8" s="128" t="e">
        <f t="shared" si="13"/>
        <v>#N/A</v>
      </c>
      <c r="Y8" s="128" t="e">
        <f t="shared" si="13"/>
        <v>#REF!</v>
      </c>
      <c r="Z8" s="128" t="e">
        <f t="shared" si="13"/>
        <v>#N/A</v>
      </c>
      <c r="AA8" s="128" t="e">
        <f t="shared" si="13"/>
        <v>#REF!</v>
      </c>
      <c r="AB8" s="128" t="e">
        <f t="shared" si="13"/>
        <v>#REF!</v>
      </c>
      <c r="AC8" s="128" t="e">
        <f t="shared" si="13"/>
        <v>#N/A</v>
      </c>
      <c r="AD8" s="128" t="e">
        <f t="shared" si="13"/>
        <v>#N/A</v>
      </c>
      <c r="AE8" s="128" t="e">
        <f t="shared" si="13"/>
        <v>#REF!</v>
      </c>
      <c r="AF8" s="128" t="e">
        <f t="shared" si="13"/>
        <v>#N/A</v>
      </c>
      <c r="AG8" s="128" t="e">
        <f t="shared" si="13"/>
        <v>#N/A</v>
      </c>
      <c r="AH8" s="128" t="e">
        <f t="shared" si="13"/>
        <v>#REF!</v>
      </c>
      <c r="AI8" s="128" t="e">
        <f t="shared" si="13"/>
        <v>#N/A</v>
      </c>
      <c r="AJ8" s="128" t="e">
        <f t="shared" si="13"/>
        <v>#N/A</v>
      </c>
      <c r="AK8" s="128" t="e">
        <f t="shared" si="13"/>
        <v>#REF!</v>
      </c>
      <c r="AL8" s="128" t="e">
        <f t="shared" si="13"/>
        <v>#N/A</v>
      </c>
      <c r="AM8" s="128" t="e">
        <f t="shared" si="13"/>
        <v>#REF!</v>
      </c>
      <c r="AN8" s="134" t="e">
        <f t="shared" si="13"/>
        <v>#REF!</v>
      </c>
      <c r="AQ8" s="130" t="e">
        <f t="shared" si="1"/>
        <v>#REF!</v>
      </c>
      <c r="AR8" s="130" t="e">
        <f t="shared" si="2"/>
        <v>#REF!</v>
      </c>
      <c r="AS8" s="130" t="e">
        <f t="shared" si="3"/>
        <v>#REF!</v>
      </c>
      <c r="AT8" s="130" t="e">
        <f t="shared" si="4"/>
        <v>#REF!</v>
      </c>
      <c r="AU8" s="130" t="e">
        <f t="shared" si="5"/>
        <v>#REF!</v>
      </c>
      <c r="AV8" s="130" t="e">
        <f t="shared" si="6"/>
        <v>#REF!</v>
      </c>
      <c r="AW8" s="130" t="e">
        <f t="shared" si="7"/>
        <v>#REF!</v>
      </c>
      <c r="AX8" s="130" t="e">
        <f t="shared" si="8"/>
        <v>#REF!</v>
      </c>
      <c r="AY8" s="130" t="e">
        <f t="shared" si="9"/>
        <v>#REF!</v>
      </c>
      <c r="AZ8" s="130" t="e">
        <f t="shared" si="10"/>
        <v>#REF!</v>
      </c>
      <c r="BA8" s="130" t="e">
        <f t="shared" si="11"/>
        <v>#REF!</v>
      </c>
      <c r="BB8" s="130" t="e">
        <f t="shared" si="12"/>
        <v>#REF!</v>
      </c>
    </row>
    <row r="9" spans="2:54" s="116" customFormat="1" x14ac:dyDescent="0.3">
      <c r="C9" s="116" t="s">
        <v>142</v>
      </c>
      <c r="D9" s="129" t="e">
        <f>SUM(D10:D17)</f>
        <v>#REF!</v>
      </c>
      <c r="E9" s="129">
        <f t="shared" ref="E9:AM9" si="14">SUM(E10:E17)</f>
        <v>0</v>
      </c>
      <c r="F9" s="129">
        <f t="shared" si="14"/>
        <v>0</v>
      </c>
      <c r="G9" s="129" t="e">
        <f t="shared" si="14"/>
        <v>#REF!</v>
      </c>
      <c r="H9" s="129">
        <f t="shared" si="14"/>
        <v>0</v>
      </c>
      <c r="I9" s="129">
        <f t="shared" si="14"/>
        <v>0</v>
      </c>
      <c r="J9" s="129" t="e">
        <f t="shared" si="14"/>
        <v>#REF!</v>
      </c>
      <c r="K9" s="129">
        <f t="shared" si="14"/>
        <v>0</v>
      </c>
      <c r="L9" s="129">
        <f t="shared" si="14"/>
        <v>0</v>
      </c>
      <c r="M9" s="129" t="e">
        <f t="shared" si="14"/>
        <v>#REF!</v>
      </c>
      <c r="N9" s="129">
        <f t="shared" si="14"/>
        <v>0</v>
      </c>
      <c r="O9" s="129">
        <f t="shared" si="14"/>
        <v>0</v>
      </c>
      <c r="P9" s="129" t="e">
        <f t="shared" si="14"/>
        <v>#REF!</v>
      </c>
      <c r="Q9" s="129">
        <f t="shared" si="14"/>
        <v>0</v>
      </c>
      <c r="R9" s="129">
        <f t="shared" si="14"/>
        <v>0</v>
      </c>
      <c r="S9" s="129" t="e">
        <f t="shared" si="14"/>
        <v>#REF!</v>
      </c>
      <c r="T9" s="129">
        <f t="shared" si="14"/>
        <v>0</v>
      </c>
      <c r="U9" s="129">
        <f t="shared" si="14"/>
        <v>0</v>
      </c>
      <c r="V9" s="129" t="e">
        <f t="shared" si="14"/>
        <v>#REF!</v>
      </c>
      <c r="W9" s="129">
        <f t="shared" si="14"/>
        <v>0</v>
      </c>
      <c r="X9" s="129">
        <f t="shared" si="14"/>
        <v>0</v>
      </c>
      <c r="Y9" s="129" t="e">
        <f t="shared" si="14"/>
        <v>#REF!</v>
      </c>
      <c r="Z9" s="129">
        <f t="shared" si="14"/>
        <v>0</v>
      </c>
      <c r="AA9" s="129">
        <f t="shared" si="14"/>
        <v>0</v>
      </c>
      <c r="AB9" s="129" t="e">
        <f t="shared" si="14"/>
        <v>#REF!</v>
      </c>
      <c r="AC9" s="129">
        <f t="shared" si="14"/>
        <v>0</v>
      </c>
      <c r="AD9" s="129">
        <f t="shared" si="14"/>
        <v>0</v>
      </c>
      <c r="AE9" s="129" t="e">
        <f t="shared" si="14"/>
        <v>#REF!</v>
      </c>
      <c r="AF9" s="129">
        <f t="shared" si="14"/>
        <v>0</v>
      </c>
      <c r="AG9" s="129">
        <f t="shared" si="14"/>
        <v>0</v>
      </c>
      <c r="AH9" s="129" t="e">
        <f t="shared" si="14"/>
        <v>#REF!</v>
      </c>
      <c r="AI9" s="129">
        <f t="shared" si="14"/>
        <v>0</v>
      </c>
      <c r="AJ9" s="129">
        <f t="shared" si="14"/>
        <v>0</v>
      </c>
      <c r="AK9" s="129" t="e">
        <f t="shared" si="14"/>
        <v>#REF!</v>
      </c>
      <c r="AL9" s="129">
        <f t="shared" si="14"/>
        <v>0</v>
      </c>
      <c r="AM9" s="129" t="e">
        <f t="shared" si="14"/>
        <v>#REF!</v>
      </c>
      <c r="AN9" s="134" t="e">
        <f>SUM(AN10:AN17)</f>
        <v>#REF!</v>
      </c>
      <c r="AQ9" s="134"/>
      <c r="AR9" s="134"/>
      <c r="AS9" s="134"/>
      <c r="AT9" s="134"/>
      <c r="AU9" s="134"/>
      <c r="AV9" s="134"/>
      <c r="AW9" s="134"/>
      <c r="AX9" s="134"/>
      <c r="AY9" s="134"/>
      <c r="AZ9" s="134"/>
      <c r="BA9" s="134"/>
      <c r="BB9" s="134"/>
    </row>
    <row r="10" spans="2:54" outlineLevel="1" x14ac:dyDescent="0.3">
      <c r="C10" s="117" t="s">
        <v>57</v>
      </c>
      <c r="D10" s="128" t="e">
        <f>-SUM(Kosten!F5:F7)</f>
        <v>#REF!</v>
      </c>
      <c r="E10" s="131"/>
      <c r="F10" s="128"/>
      <c r="G10" s="128"/>
      <c r="H10" s="128"/>
      <c r="I10" s="128"/>
      <c r="J10" s="128"/>
      <c r="K10" s="128"/>
      <c r="L10" s="128"/>
      <c r="M10" s="128"/>
      <c r="N10" s="128"/>
      <c r="O10" s="128"/>
      <c r="P10" s="130"/>
      <c r="Q10" s="130"/>
      <c r="R10" s="130"/>
      <c r="S10" s="130"/>
      <c r="T10" s="130"/>
      <c r="U10" s="130"/>
      <c r="V10" s="130"/>
      <c r="W10" s="130"/>
      <c r="X10" s="130"/>
      <c r="Y10" s="130"/>
      <c r="Z10" s="130"/>
      <c r="AA10" s="130"/>
      <c r="AB10" s="130"/>
      <c r="AC10" s="130"/>
      <c r="AD10" s="130"/>
      <c r="AE10" s="130"/>
      <c r="AF10" s="130"/>
      <c r="AG10" s="130"/>
      <c r="AH10" s="130"/>
      <c r="AI10" s="130"/>
      <c r="AJ10" s="130"/>
      <c r="AK10" s="130"/>
      <c r="AL10" s="130"/>
      <c r="AM10" s="130"/>
      <c r="AN10" s="130" t="e">
        <f t="shared" si="0"/>
        <v>#REF!</v>
      </c>
      <c r="AQ10" s="130" t="e">
        <f t="shared" si="1"/>
        <v>#REF!</v>
      </c>
      <c r="AR10" s="130">
        <f t="shared" si="2"/>
        <v>0</v>
      </c>
      <c r="AS10" s="130">
        <f t="shared" si="3"/>
        <v>0</v>
      </c>
      <c r="AT10" s="130">
        <f t="shared" si="4"/>
        <v>0</v>
      </c>
      <c r="AU10" s="130">
        <f t="shared" si="5"/>
        <v>0</v>
      </c>
      <c r="AV10" s="130">
        <f t="shared" si="6"/>
        <v>0</v>
      </c>
      <c r="AW10" s="130">
        <f t="shared" si="7"/>
        <v>0</v>
      </c>
      <c r="AX10" s="130">
        <f t="shared" si="8"/>
        <v>0</v>
      </c>
      <c r="AY10" s="130">
        <f t="shared" si="9"/>
        <v>0</v>
      </c>
      <c r="AZ10" s="130">
        <f t="shared" si="10"/>
        <v>0</v>
      </c>
      <c r="BA10" s="130">
        <f t="shared" si="11"/>
        <v>0</v>
      </c>
      <c r="BB10" s="130">
        <f t="shared" si="12"/>
        <v>0</v>
      </c>
    </row>
    <row r="11" spans="2:54" outlineLevel="1" x14ac:dyDescent="0.3">
      <c r="C11" s="117" t="s">
        <v>58</v>
      </c>
      <c r="D11" s="128" t="e">
        <f>-SUM(Kosten!G5:G7)</f>
        <v>#REF!</v>
      </c>
      <c r="E11" s="128"/>
      <c r="F11" s="128"/>
      <c r="G11" s="128"/>
      <c r="H11" s="128"/>
      <c r="I11" s="128"/>
      <c r="J11" s="128"/>
      <c r="K11" s="128"/>
      <c r="L11" s="128"/>
      <c r="M11" s="128"/>
      <c r="N11" s="128"/>
      <c r="O11" s="128"/>
      <c r="P11" s="130"/>
      <c r="Q11" s="130"/>
      <c r="R11" s="130"/>
      <c r="S11" s="130"/>
      <c r="T11" s="130"/>
      <c r="U11" s="130"/>
      <c r="V11" s="130"/>
      <c r="W11" s="130"/>
      <c r="X11" s="130"/>
      <c r="Y11" s="130"/>
      <c r="Z11" s="130"/>
      <c r="AA11" s="130"/>
      <c r="AB11" s="130"/>
      <c r="AC11" s="130"/>
      <c r="AD11" s="130"/>
      <c r="AE11" s="130"/>
      <c r="AF11" s="130"/>
      <c r="AG11" s="130"/>
      <c r="AH11" s="130"/>
      <c r="AI11" s="130"/>
      <c r="AJ11" s="130"/>
      <c r="AK11" s="130"/>
      <c r="AL11" s="130"/>
      <c r="AM11" s="130"/>
      <c r="AN11" s="130" t="e">
        <f t="shared" si="0"/>
        <v>#REF!</v>
      </c>
      <c r="AQ11" s="130" t="e">
        <f t="shared" si="1"/>
        <v>#REF!</v>
      </c>
      <c r="AR11" s="130">
        <f t="shared" si="2"/>
        <v>0</v>
      </c>
      <c r="AS11" s="130">
        <f t="shared" si="3"/>
        <v>0</v>
      </c>
      <c r="AT11" s="130">
        <f t="shared" si="4"/>
        <v>0</v>
      </c>
      <c r="AU11" s="130">
        <f t="shared" si="5"/>
        <v>0</v>
      </c>
      <c r="AV11" s="130">
        <f t="shared" si="6"/>
        <v>0</v>
      </c>
      <c r="AW11" s="130">
        <f t="shared" si="7"/>
        <v>0</v>
      </c>
      <c r="AX11" s="130">
        <f t="shared" si="8"/>
        <v>0</v>
      </c>
      <c r="AY11" s="130">
        <f t="shared" si="9"/>
        <v>0</v>
      </c>
      <c r="AZ11" s="130">
        <f t="shared" si="10"/>
        <v>0</v>
      </c>
      <c r="BA11" s="130">
        <f t="shared" si="11"/>
        <v>0</v>
      </c>
      <c r="BB11" s="130">
        <f t="shared" si="12"/>
        <v>0</v>
      </c>
    </row>
    <row r="12" spans="2:54" outlineLevel="1" x14ac:dyDescent="0.3">
      <c r="C12" s="117" t="s">
        <v>61</v>
      </c>
      <c r="D12" s="128" t="e">
        <f>-SUM(Kosten!$M$5:$M$7)</f>
        <v>#REF!</v>
      </c>
      <c r="E12" s="128"/>
      <c r="F12" s="128"/>
      <c r="G12" s="128"/>
      <c r="H12" s="128"/>
      <c r="I12" s="128"/>
      <c r="J12" s="128"/>
      <c r="K12" s="128"/>
      <c r="L12" s="128"/>
      <c r="M12" s="128"/>
      <c r="N12" s="128"/>
      <c r="O12" s="128"/>
      <c r="P12" s="128" t="e">
        <f>-SUM(Kosten!$M$5:$M$7)</f>
        <v>#REF!</v>
      </c>
      <c r="Q12" s="130"/>
      <c r="R12" s="130"/>
      <c r="S12" s="130"/>
      <c r="T12" s="130"/>
      <c r="U12" s="130"/>
      <c r="V12" s="130"/>
      <c r="W12" s="130"/>
      <c r="X12" s="130"/>
      <c r="Y12" s="130"/>
      <c r="Z12" s="130"/>
      <c r="AA12" s="130"/>
      <c r="AB12" s="128" t="e">
        <f>-SUM(Kosten!$M$5:$M$7)</f>
        <v>#REF!</v>
      </c>
      <c r="AC12" s="130"/>
      <c r="AD12" s="130"/>
      <c r="AE12" s="130"/>
      <c r="AF12" s="130"/>
      <c r="AG12" s="130"/>
      <c r="AH12" s="130"/>
      <c r="AI12" s="130"/>
      <c r="AJ12" s="130"/>
      <c r="AK12" s="130"/>
      <c r="AL12" s="130"/>
      <c r="AM12" s="130"/>
      <c r="AN12" s="130" t="e">
        <f t="shared" si="0"/>
        <v>#REF!</v>
      </c>
      <c r="AQ12" s="130" t="e">
        <f t="shared" si="1"/>
        <v>#REF!</v>
      </c>
      <c r="AR12" s="130">
        <f t="shared" si="2"/>
        <v>0</v>
      </c>
      <c r="AS12" s="130">
        <f t="shared" si="3"/>
        <v>0</v>
      </c>
      <c r="AT12" s="130">
        <f t="shared" si="4"/>
        <v>0</v>
      </c>
      <c r="AU12" s="130" t="e">
        <f t="shared" si="5"/>
        <v>#REF!</v>
      </c>
      <c r="AV12" s="130">
        <f t="shared" si="6"/>
        <v>0</v>
      </c>
      <c r="AW12" s="130">
        <f t="shared" si="7"/>
        <v>0</v>
      </c>
      <c r="AX12" s="130">
        <f t="shared" si="8"/>
        <v>0</v>
      </c>
      <c r="AY12" s="130" t="e">
        <f t="shared" si="9"/>
        <v>#REF!</v>
      </c>
      <c r="AZ12" s="130">
        <f t="shared" si="10"/>
        <v>0</v>
      </c>
      <c r="BA12" s="130">
        <f t="shared" si="11"/>
        <v>0</v>
      </c>
      <c r="BB12" s="130">
        <f t="shared" si="12"/>
        <v>0</v>
      </c>
    </row>
    <row r="13" spans="2:54" outlineLevel="1" x14ac:dyDescent="0.3">
      <c r="C13" s="117" t="s">
        <v>67</v>
      </c>
      <c r="D13" s="128" t="e">
        <f>-SUM(Kosten!H5:H7)</f>
        <v>#REF!</v>
      </c>
      <c r="E13" s="128"/>
      <c r="F13" s="128"/>
      <c r="G13" s="128"/>
      <c r="H13" s="128"/>
      <c r="I13" s="128"/>
      <c r="J13" s="128"/>
      <c r="K13" s="128"/>
      <c r="L13" s="128"/>
      <c r="M13" s="128"/>
      <c r="N13" s="128"/>
      <c r="O13" s="128"/>
      <c r="P13" s="130"/>
      <c r="Q13" s="130"/>
      <c r="R13" s="130"/>
      <c r="S13" s="130"/>
      <c r="T13" s="130"/>
      <c r="U13" s="130"/>
      <c r="V13" s="130"/>
      <c r="W13" s="130"/>
      <c r="X13" s="130"/>
      <c r="Y13" s="130"/>
      <c r="Z13" s="130"/>
      <c r="AA13" s="130"/>
      <c r="AB13" s="130"/>
      <c r="AC13" s="130"/>
      <c r="AD13" s="130"/>
      <c r="AE13" s="130"/>
      <c r="AF13" s="130"/>
      <c r="AG13" s="130"/>
      <c r="AH13" s="130"/>
      <c r="AI13" s="130"/>
      <c r="AJ13" s="130"/>
      <c r="AK13" s="130"/>
      <c r="AL13" s="130"/>
      <c r="AM13" s="130"/>
      <c r="AN13" s="130" t="e">
        <f t="shared" si="0"/>
        <v>#REF!</v>
      </c>
      <c r="AQ13" s="130" t="e">
        <f t="shared" si="1"/>
        <v>#REF!</v>
      </c>
      <c r="AR13" s="130">
        <f t="shared" si="2"/>
        <v>0</v>
      </c>
      <c r="AS13" s="130">
        <f t="shared" si="3"/>
        <v>0</v>
      </c>
      <c r="AT13" s="130">
        <f t="shared" si="4"/>
        <v>0</v>
      </c>
      <c r="AU13" s="130">
        <f t="shared" si="5"/>
        <v>0</v>
      </c>
      <c r="AV13" s="130">
        <f t="shared" si="6"/>
        <v>0</v>
      </c>
      <c r="AW13" s="130">
        <f t="shared" si="7"/>
        <v>0</v>
      </c>
      <c r="AX13" s="130">
        <f t="shared" si="8"/>
        <v>0</v>
      </c>
      <c r="AY13" s="130">
        <f t="shared" si="9"/>
        <v>0</v>
      </c>
      <c r="AZ13" s="130">
        <f t="shared" si="10"/>
        <v>0</v>
      </c>
      <c r="BA13" s="130">
        <f t="shared" si="11"/>
        <v>0</v>
      </c>
      <c r="BB13" s="130">
        <f t="shared" si="12"/>
        <v>0</v>
      </c>
    </row>
    <row r="14" spans="2:54" outlineLevel="1" x14ac:dyDescent="0.3">
      <c r="C14" s="117" t="s">
        <v>143</v>
      </c>
      <c r="D14" s="128" t="e">
        <f>-Kosten!F8-Kosten!H8</f>
        <v>#REF!</v>
      </c>
      <c r="E14" s="128"/>
      <c r="F14" s="128"/>
      <c r="G14" s="128"/>
      <c r="H14" s="128"/>
      <c r="I14" s="128"/>
      <c r="J14" s="128"/>
      <c r="K14" s="128"/>
      <c r="L14" s="128"/>
      <c r="M14" s="128"/>
      <c r="N14" s="128"/>
      <c r="O14" s="128"/>
      <c r="P14" s="130"/>
      <c r="Q14" s="130"/>
      <c r="R14" s="130"/>
      <c r="S14" s="130"/>
      <c r="T14" s="130"/>
      <c r="U14" s="130"/>
      <c r="V14" s="130"/>
      <c r="W14" s="130"/>
      <c r="X14" s="130"/>
      <c r="Y14" s="130"/>
      <c r="Z14" s="130"/>
      <c r="AA14" s="130"/>
      <c r="AB14" s="130"/>
      <c r="AC14" s="130"/>
      <c r="AD14" s="130"/>
      <c r="AE14" s="130"/>
      <c r="AF14" s="130"/>
      <c r="AG14" s="130"/>
      <c r="AH14" s="130"/>
      <c r="AI14" s="130"/>
      <c r="AJ14" s="130"/>
      <c r="AK14" s="130"/>
      <c r="AL14" s="130"/>
      <c r="AM14" s="130"/>
      <c r="AN14" s="130"/>
      <c r="AQ14" s="130"/>
      <c r="AR14" s="130"/>
      <c r="AS14" s="130"/>
      <c r="AT14" s="130"/>
      <c r="AU14" s="130"/>
      <c r="AV14" s="130"/>
      <c r="AW14" s="130"/>
      <c r="AX14" s="130"/>
      <c r="AY14" s="130"/>
      <c r="AZ14" s="130"/>
      <c r="BA14" s="130"/>
      <c r="BB14" s="130"/>
    </row>
    <row r="15" spans="2:54" outlineLevel="1" x14ac:dyDescent="0.3">
      <c r="C15" s="117" t="s">
        <v>69</v>
      </c>
      <c r="D15" s="128"/>
      <c r="E15" s="128"/>
      <c r="F15" s="128"/>
      <c r="G15" s="128" t="e">
        <f>-SUM(Kosten!$J$5:$J$7)/3</f>
        <v>#REF!</v>
      </c>
      <c r="H15" s="128"/>
      <c r="I15" s="128"/>
      <c r="J15" s="128" t="e">
        <f>-SUM(Kosten!$J$5:$J$7)/3</f>
        <v>#REF!</v>
      </c>
      <c r="K15" s="128"/>
      <c r="L15" s="128"/>
      <c r="M15" s="128" t="e">
        <f>-SUM(Kosten!$J$5:$J$7)/3</f>
        <v>#REF!</v>
      </c>
      <c r="N15" s="128"/>
      <c r="O15" s="128"/>
      <c r="Q15" s="130"/>
      <c r="R15" s="130"/>
      <c r="S15" s="128" t="e">
        <f>-SUM(Kosten!$J$5:$J$7)/3</f>
        <v>#REF!</v>
      </c>
      <c r="T15" s="130"/>
      <c r="U15" s="130"/>
      <c r="V15" s="128" t="e">
        <f>-SUM(Kosten!$J$5:$J$7)/3</f>
        <v>#REF!</v>
      </c>
      <c r="W15" s="130"/>
      <c r="X15" s="130"/>
      <c r="Y15" s="128" t="e">
        <f>-SUM(Kosten!$J$5:$J$7)/3</f>
        <v>#REF!</v>
      </c>
      <c r="Z15" s="130"/>
      <c r="AA15" s="130"/>
      <c r="AB15" s="128"/>
      <c r="AC15" s="130"/>
      <c r="AD15" s="130"/>
      <c r="AE15" s="128" t="e">
        <f>-SUM(Kosten!$J$5:$J$7)/3</f>
        <v>#REF!</v>
      </c>
      <c r="AF15" s="130"/>
      <c r="AG15" s="130"/>
      <c r="AH15" s="128" t="e">
        <f>-SUM(Kosten!$J$5:$J$7)/3</f>
        <v>#REF!</v>
      </c>
      <c r="AI15" s="130"/>
      <c r="AJ15" s="130"/>
      <c r="AK15" s="128" t="e">
        <f>-SUM(Kosten!$J$5:$J$7)/3</f>
        <v>#REF!</v>
      </c>
      <c r="AL15" s="130"/>
      <c r="AM15" s="130"/>
      <c r="AN15" s="130" t="e">
        <f t="shared" si="0"/>
        <v>#REF!</v>
      </c>
      <c r="AQ15" s="130">
        <f t="shared" si="1"/>
        <v>0</v>
      </c>
      <c r="AR15" s="130" t="e">
        <f t="shared" si="2"/>
        <v>#REF!</v>
      </c>
      <c r="AS15" s="130" t="e">
        <f t="shared" si="3"/>
        <v>#REF!</v>
      </c>
      <c r="AT15" s="130" t="e">
        <f>SUM(M15:O15)</f>
        <v>#REF!</v>
      </c>
      <c r="AU15" s="130" t="e">
        <f>SUM(M15:R15)</f>
        <v>#REF!</v>
      </c>
      <c r="AV15" s="130" t="e">
        <f t="shared" si="6"/>
        <v>#REF!</v>
      </c>
      <c r="AW15" s="130" t="e">
        <f t="shared" si="7"/>
        <v>#REF!</v>
      </c>
      <c r="AX15" s="130" t="e">
        <f t="shared" si="8"/>
        <v>#REF!</v>
      </c>
      <c r="AY15" s="130">
        <f t="shared" si="9"/>
        <v>0</v>
      </c>
      <c r="AZ15" s="130" t="e">
        <f t="shared" si="10"/>
        <v>#REF!</v>
      </c>
      <c r="BA15" s="130" t="e">
        <f t="shared" si="11"/>
        <v>#REF!</v>
      </c>
      <c r="BB15" s="130" t="e">
        <f t="shared" si="12"/>
        <v>#REF!</v>
      </c>
    </row>
    <row r="16" spans="2:54" outlineLevel="1" x14ac:dyDescent="0.3">
      <c r="C16" s="117" t="s">
        <v>68</v>
      </c>
      <c r="D16" s="128"/>
      <c r="E16" s="128"/>
      <c r="F16" s="128"/>
      <c r="G16" s="128"/>
      <c r="H16" s="128"/>
      <c r="I16" s="128"/>
      <c r="J16" s="128"/>
      <c r="K16" s="128"/>
      <c r="L16" s="128"/>
      <c r="N16" s="128"/>
      <c r="O16" s="128"/>
      <c r="P16" s="128" t="e">
        <f>-SUM(Kosten!$I$5:$I$7)</f>
        <v>#REF!</v>
      </c>
      <c r="Q16" s="130"/>
      <c r="R16" s="130"/>
      <c r="S16" s="130"/>
      <c r="T16" s="130"/>
      <c r="U16" s="130"/>
      <c r="V16" s="130"/>
      <c r="W16" s="130"/>
      <c r="X16" s="130"/>
      <c r="Z16" s="130"/>
      <c r="AA16" s="130"/>
      <c r="AB16" s="128" t="e">
        <f>-SUM(Kosten!$I$5:$I$7)</f>
        <v>#REF!</v>
      </c>
      <c r="AC16" s="130"/>
      <c r="AD16" s="130"/>
      <c r="AE16" s="130"/>
      <c r="AF16" s="130"/>
      <c r="AG16" s="130"/>
      <c r="AH16" s="130"/>
      <c r="AI16" s="130"/>
      <c r="AJ16" s="130"/>
      <c r="AK16" s="130"/>
      <c r="AL16" s="130"/>
      <c r="AM16" s="130"/>
      <c r="AN16" s="130" t="e">
        <f t="shared" si="0"/>
        <v>#REF!</v>
      </c>
      <c r="AQ16" s="130">
        <f t="shared" si="1"/>
        <v>0</v>
      </c>
      <c r="AR16" s="130">
        <f t="shared" si="2"/>
        <v>0</v>
      </c>
      <c r="AS16" s="130">
        <f t="shared" si="3"/>
        <v>0</v>
      </c>
      <c r="AT16" s="130">
        <f t="shared" si="4"/>
        <v>0</v>
      </c>
      <c r="AU16" s="130" t="e">
        <f>SUM(P16:R16)</f>
        <v>#REF!</v>
      </c>
      <c r="AV16" s="130">
        <f t="shared" si="6"/>
        <v>0</v>
      </c>
      <c r="AW16" s="130">
        <f t="shared" si="7"/>
        <v>0</v>
      </c>
      <c r="AX16" s="130">
        <f t="shared" si="8"/>
        <v>0</v>
      </c>
      <c r="AY16" s="130" t="e">
        <f>SUM(AB16:AD16)</f>
        <v>#REF!</v>
      </c>
      <c r="AZ16" s="130">
        <f t="shared" si="10"/>
        <v>0</v>
      </c>
      <c r="BA16" s="130">
        <f t="shared" si="11"/>
        <v>0</v>
      </c>
      <c r="BB16" s="130">
        <f t="shared" si="12"/>
        <v>0</v>
      </c>
    </row>
    <row r="17" spans="3:54" outlineLevel="1" x14ac:dyDescent="0.3">
      <c r="C17" s="117" t="s">
        <v>60</v>
      </c>
      <c r="D17" s="128"/>
      <c r="E17" s="128"/>
      <c r="F17" s="128"/>
      <c r="G17" s="128"/>
      <c r="H17" s="128"/>
      <c r="I17" s="128"/>
      <c r="J17" s="128"/>
      <c r="K17" s="128"/>
      <c r="L17" s="128"/>
      <c r="M17" s="128"/>
      <c r="N17" s="128"/>
      <c r="O17" s="128"/>
      <c r="P17" s="130"/>
      <c r="Q17" s="130"/>
      <c r="R17" s="130"/>
      <c r="S17" s="130"/>
      <c r="T17" s="130"/>
      <c r="U17" s="130"/>
      <c r="V17" s="130"/>
      <c r="W17" s="130"/>
      <c r="X17" s="130"/>
      <c r="Y17" s="128"/>
      <c r="Z17" s="130"/>
      <c r="AA17" s="130"/>
      <c r="AB17" s="130"/>
      <c r="AC17" s="130"/>
      <c r="AD17" s="130"/>
      <c r="AE17" s="130"/>
      <c r="AF17" s="130"/>
      <c r="AG17" s="130"/>
      <c r="AH17" s="130"/>
      <c r="AI17" s="130"/>
      <c r="AJ17" s="130"/>
      <c r="AK17" s="130"/>
      <c r="AL17" s="130"/>
      <c r="AM17" s="130" t="e">
        <f>-SUM(Kosten!$N$5:$N$7)</f>
        <v>#REF!</v>
      </c>
      <c r="AN17" s="130" t="e">
        <f t="shared" si="0"/>
        <v>#REF!</v>
      </c>
      <c r="AQ17" s="130">
        <f t="shared" si="1"/>
        <v>0</v>
      </c>
      <c r="AR17" s="130">
        <f t="shared" si="2"/>
        <v>0</v>
      </c>
      <c r="AS17" s="130">
        <f t="shared" si="3"/>
        <v>0</v>
      </c>
      <c r="AT17" s="130">
        <f t="shared" si="4"/>
        <v>0</v>
      </c>
      <c r="AU17" s="130">
        <f t="shared" si="5"/>
        <v>0</v>
      </c>
      <c r="AV17" s="130">
        <f t="shared" si="6"/>
        <v>0</v>
      </c>
      <c r="AW17" s="130">
        <f t="shared" si="7"/>
        <v>0</v>
      </c>
      <c r="AX17" s="130">
        <f t="shared" si="8"/>
        <v>0</v>
      </c>
      <c r="AY17" s="130">
        <f t="shared" si="9"/>
        <v>0</v>
      </c>
      <c r="AZ17" s="130">
        <f t="shared" si="10"/>
        <v>0</v>
      </c>
      <c r="BA17" s="130">
        <f t="shared" si="11"/>
        <v>0</v>
      </c>
      <c r="BB17" s="130" t="e">
        <f t="shared" si="12"/>
        <v>#REF!</v>
      </c>
    </row>
    <row r="18" spans="3:54" s="116" customFormat="1" x14ac:dyDescent="0.3">
      <c r="C18" s="116" t="s">
        <v>85</v>
      </c>
      <c r="D18" s="129" t="e">
        <f>SUM(D19:D24)</f>
        <v>#REF!</v>
      </c>
      <c r="E18" s="129">
        <f t="shared" ref="E18:AM18" si="15">SUM(E19:E24)</f>
        <v>0</v>
      </c>
      <c r="F18" s="129">
        <f t="shared" si="15"/>
        <v>0</v>
      </c>
      <c r="G18" s="129">
        <f t="shared" si="15"/>
        <v>0</v>
      </c>
      <c r="H18" s="129">
        <f t="shared" si="15"/>
        <v>0</v>
      </c>
      <c r="I18" s="129">
        <f t="shared" si="15"/>
        <v>0</v>
      </c>
      <c r="J18" s="129">
        <f t="shared" si="15"/>
        <v>0</v>
      </c>
      <c r="K18" s="129">
        <f t="shared" si="15"/>
        <v>0</v>
      </c>
      <c r="L18" s="129">
        <f t="shared" si="15"/>
        <v>0</v>
      </c>
      <c r="M18" s="129">
        <f t="shared" si="15"/>
        <v>0</v>
      </c>
      <c r="N18" s="129">
        <f t="shared" si="15"/>
        <v>0</v>
      </c>
      <c r="O18" s="129" t="e">
        <f t="shared" si="15"/>
        <v>#REF!</v>
      </c>
      <c r="P18" s="129" t="e">
        <f t="shared" si="15"/>
        <v>#REF!</v>
      </c>
      <c r="Q18" s="129">
        <f t="shared" si="15"/>
        <v>0</v>
      </c>
      <c r="R18" s="129">
        <f t="shared" si="15"/>
        <v>0</v>
      </c>
      <c r="S18" s="129">
        <f t="shared" si="15"/>
        <v>0</v>
      </c>
      <c r="T18" s="129">
        <f t="shared" si="15"/>
        <v>0</v>
      </c>
      <c r="U18" s="129">
        <f t="shared" si="15"/>
        <v>0</v>
      </c>
      <c r="V18" s="129">
        <f t="shared" si="15"/>
        <v>0</v>
      </c>
      <c r="W18" s="129">
        <f t="shared" si="15"/>
        <v>0</v>
      </c>
      <c r="X18" s="129">
        <f t="shared" si="15"/>
        <v>0</v>
      </c>
      <c r="Y18" s="129">
        <f t="shared" si="15"/>
        <v>0</v>
      </c>
      <c r="Z18" s="129">
        <f t="shared" si="15"/>
        <v>0</v>
      </c>
      <c r="AA18" s="129" t="e">
        <f t="shared" si="15"/>
        <v>#REF!</v>
      </c>
      <c r="AB18" s="129" t="e">
        <f t="shared" si="15"/>
        <v>#REF!</v>
      </c>
      <c r="AC18" s="129">
        <f t="shared" si="15"/>
        <v>0</v>
      </c>
      <c r="AD18" s="129">
        <f t="shared" si="15"/>
        <v>0</v>
      </c>
      <c r="AE18" s="129">
        <f t="shared" si="15"/>
        <v>0</v>
      </c>
      <c r="AF18" s="129">
        <f t="shared" si="15"/>
        <v>0</v>
      </c>
      <c r="AG18" s="129">
        <f t="shared" si="15"/>
        <v>0</v>
      </c>
      <c r="AH18" s="129">
        <f t="shared" si="15"/>
        <v>0</v>
      </c>
      <c r="AI18" s="129">
        <f t="shared" si="15"/>
        <v>0</v>
      </c>
      <c r="AJ18" s="129">
        <f t="shared" si="15"/>
        <v>0</v>
      </c>
      <c r="AK18" s="129">
        <f t="shared" si="15"/>
        <v>0</v>
      </c>
      <c r="AL18" s="129">
        <f t="shared" si="15"/>
        <v>0</v>
      </c>
      <c r="AM18" s="129" t="e">
        <f t="shared" si="15"/>
        <v>#REF!</v>
      </c>
      <c r="AN18" s="134" t="e">
        <f>SUM(AN19:AN24)</f>
        <v>#REF!</v>
      </c>
      <c r="AQ18" s="134"/>
      <c r="AR18" s="134"/>
      <c r="AS18" s="134"/>
      <c r="AT18" s="134"/>
      <c r="AU18" s="134"/>
      <c r="AV18" s="134"/>
      <c r="AW18" s="134"/>
      <c r="AX18" s="134"/>
      <c r="AY18" s="134"/>
      <c r="AZ18" s="134"/>
      <c r="BA18" s="134"/>
      <c r="BB18" s="134"/>
    </row>
    <row r="19" spans="3:54" hidden="1" outlineLevel="1" x14ac:dyDescent="0.3">
      <c r="C19" s="117" t="s">
        <v>57</v>
      </c>
      <c r="D19" s="128" t="e">
        <f>-SUM(Kosten!$F$10:$F$11)</f>
        <v>#REF!</v>
      </c>
      <c r="E19" s="128"/>
      <c r="F19" s="128"/>
      <c r="G19" s="128"/>
      <c r="H19" s="128"/>
      <c r="I19" s="128"/>
      <c r="J19" s="128"/>
      <c r="K19" s="128"/>
      <c r="L19" s="128"/>
      <c r="M19" s="128"/>
      <c r="N19" s="128"/>
      <c r="O19" s="128"/>
      <c r="P19" s="130"/>
      <c r="Q19" s="130"/>
      <c r="R19" s="130"/>
      <c r="S19" s="130"/>
      <c r="T19" s="130"/>
      <c r="U19" s="130"/>
      <c r="V19" s="130"/>
      <c r="W19" s="130"/>
      <c r="X19" s="130"/>
      <c r="Y19" s="130"/>
      <c r="Z19" s="130"/>
      <c r="AA19" s="130"/>
      <c r="AB19" s="130"/>
      <c r="AC19" s="130"/>
      <c r="AD19" s="130"/>
      <c r="AE19" s="130"/>
      <c r="AF19" s="130"/>
      <c r="AG19" s="130"/>
      <c r="AH19" s="130"/>
      <c r="AI19" s="130"/>
      <c r="AJ19" s="130"/>
      <c r="AK19" s="130"/>
      <c r="AL19" s="130"/>
      <c r="AM19" s="130"/>
      <c r="AN19" s="130" t="e">
        <f t="shared" si="0"/>
        <v>#REF!</v>
      </c>
      <c r="AQ19" s="130" t="e">
        <f t="shared" si="1"/>
        <v>#REF!</v>
      </c>
      <c r="AR19" s="130">
        <f t="shared" si="2"/>
        <v>0</v>
      </c>
      <c r="AS19" s="130">
        <f t="shared" si="3"/>
        <v>0</v>
      </c>
      <c r="AT19" s="130">
        <f t="shared" si="4"/>
        <v>0</v>
      </c>
      <c r="AU19" s="130">
        <f t="shared" si="5"/>
        <v>0</v>
      </c>
      <c r="AV19" s="130">
        <f t="shared" si="6"/>
        <v>0</v>
      </c>
      <c r="AW19" s="130">
        <f t="shared" si="7"/>
        <v>0</v>
      </c>
      <c r="AX19" s="130">
        <f t="shared" si="8"/>
        <v>0</v>
      </c>
      <c r="AY19" s="130">
        <f t="shared" si="9"/>
        <v>0</v>
      </c>
      <c r="AZ19" s="130">
        <f t="shared" si="10"/>
        <v>0</v>
      </c>
      <c r="BA19" s="130">
        <f t="shared" si="11"/>
        <v>0</v>
      </c>
      <c r="BB19" s="130">
        <f t="shared" si="12"/>
        <v>0</v>
      </c>
    </row>
    <row r="20" spans="3:54" hidden="1" outlineLevel="1" x14ac:dyDescent="0.3">
      <c r="C20" s="117" t="s">
        <v>58</v>
      </c>
      <c r="D20" s="128" t="e">
        <f>-SUM(Kosten!$G$10:$G$11)</f>
        <v>#REF!</v>
      </c>
      <c r="E20" s="128"/>
      <c r="F20" s="128"/>
      <c r="G20" s="128"/>
      <c r="H20" s="128"/>
      <c r="I20" s="128"/>
      <c r="J20" s="128"/>
      <c r="K20" s="128"/>
      <c r="L20" s="128"/>
      <c r="M20" s="128"/>
      <c r="N20" s="128"/>
      <c r="O20" s="128"/>
      <c r="P20" s="130"/>
      <c r="Q20" s="130"/>
      <c r="R20" s="130"/>
      <c r="S20" s="130"/>
      <c r="T20" s="130"/>
      <c r="U20" s="130"/>
      <c r="V20" s="130"/>
      <c r="W20" s="130"/>
      <c r="X20" s="130"/>
      <c r="Y20" s="130"/>
      <c r="Z20" s="130"/>
      <c r="AA20" s="130"/>
      <c r="AB20" s="130"/>
      <c r="AC20" s="130"/>
      <c r="AD20" s="130"/>
      <c r="AE20" s="130"/>
      <c r="AF20" s="130"/>
      <c r="AG20" s="130"/>
      <c r="AH20" s="130"/>
      <c r="AI20" s="130"/>
      <c r="AJ20" s="130"/>
      <c r="AK20" s="130"/>
      <c r="AL20" s="130"/>
      <c r="AM20" s="130"/>
      <c r="AN20" s="130" t="e">
        <f t="shared" si="0"/>
        <v>#REF!</v>
      </c>
      <c r="AQ20" s="130" t="e">
        <f t="shared" si="1"/>
        <v>#REF!</v>
      </c>
      <c r="AR20" s="130">
        <f t="shared" si="2"/>
        <v>0</v>
      </c>
      <c r="AS20" s="130">
        <f t="shared" si="3"/>
        <v>0</v>
      </c>
      <c r="AT20" s="130">
        <f t="shared" si="4"/>
        <v>0</v>
      </c>
      <c r="AU20" s="130">
        <f t="shared" si="5"/>
        <v>0</v>
      </c>
      <c r="AV20" s="130">
        <f t="shared" si="6"/>
        <v>0</v>
      </c>
      <c r="AW20" s="130">
        <f t="shared" si="7"/>
        <v>0</v>
      </c>
      <c r="AX20" s="130">
        <f t="shared" si="8"/>
        <v>0</v>
      </c>
      <c r="AY20" s="130">
        <f t="shared" si="9"/>
        <v>0</v>
      </c>
      <c r="AZ20" s="130">
        <f t="shared" si="10"/>
        <v>0</v>
      </c>
      <c r="BA20" s="130">
        <f t="shared" si="11"/>
        <v>0</v>
      </c>
      <c r="BB20" s="130">
        <f t="shared" si="12"/>
        <v>0</v>
      </c>
    </row>
    <row r="21" spans="3:54" hidden="1" outlineLevel="1" x14ac:dyDescent="0.3">
      <c r="C21" s="117" t="s">
        <v>61</v>
      </c>
      <c r="D21" s="128" t="e">
        <f>-SUM(Kosten!$M$10:$M$11)</f>
        <v>#REF!</v>
      </c>
      <c r="E21" s="128"/>
      <c r="F21" s="128"/>
      <c r="G21" s="128"/>
      <c r="H21" s="128"/>
      <c r="I21" s="128"/>
      <c r="J21" s="128"/>
      <c r="K21" s="128"/>
      <c r="L21" s="128"/>
      <c r="M21" s="128"/>
      <c r="N21" s="128"/>
      <c r="O21" s="128"/>
      <c r="P21" s="128" t="e">
        <f>-SUM(Kosten!$M$10:$M$11)</f>
        <v>#REF!</v>
      </c>
      <c r="Q21" s="130"/>
      <c r="R21" s="130"/>
      <c r="S21" s="130"/>
      <c r="T21" s="130"/>
      <c r="U21" s="130"/>
      <c r="V21" s="130"/>
      <c r="W21" s="130"/>
      <c r="X21" s="130"/>
      <c r="Y21" s="130"/>
      <c r="Z21" s="130"/>
      <c r="AA21" s="130"/>
      <c r="AB21" s="128" t="e">
        <f>-SUM(Kosten!$M$10:$M$11)</f>
        <v>#REF!</v>
      </c>
      <c r="AC21" s="130"/>
      <c r="AD21" s="130"/>
      <c r="AE21" s="130"/>
      <c r="AF21" s="130"/>
      <c r="AG21" s="130"/>
      <c r="AH21" s="130"/>
      <c r="AI21" s="130"/>
      <c r="AJ21" s="130"/>
      <c r="AK21" s="130"/>
      <c r="AL21" s="130"/>
      <c r="AM21" s="130"/>
      <c r="AN21" s="130" t="e">
        <f t="shared" si="0"/>
        <v>#REF!</v>
      </c>
      <c r="AQ21" s="130" t="e">
        <f t="shared" si="1"/>
        <v>#REF!</v>
      </c>
      <c r="AR21" s="130">
        <f t="shared" si="2"/>
        <v>0</v>
      </c>
      <c r="AS21" s="130">
        <f t="shared" si="3"/>
        <v>0</v>
      </c>
      <c r="AT21" s="130">
        <f t="shared" si="4"/>
        <v>0</v>
      </c>
      <c r="AU21" s="130" t="e">
        <f t="shared" si="5"/>
        <v>#REF!</v>
      </c>
      <c r="AV21" s="130">
        <f t="shared" si="6"/>
        <v>0</v>
      </c>
      <c r="AW21" s="130">
        <f t="shared" si="7"/>
        <v>0</v>
      </c>
      <c r="AX21" s="130">
        <f t="shared" si="8"/>
        <v>0</v>
      </c>
      <c r="AY21" s="130" t="e">
        <f t="shared" si="9"/>
        <v>#REF!</v>
      </c>
      <c r="AZ21" s="130">
        <f t="shared" si="10"/>
        <v>0</v>
      </c>
      <c r="BA21" s="130">
        <f t="shared" si="11"/>
        <v>0</v>
      </c>
      <c r="BB21" s="130">
        <f t="shared" si="12"/>
        <v>0</v>
      </c>
    </row>
    <row r="22" spans="3:54" hidden="1" outlineLevel="1" x14ac:dyDescent="0.3">
      <c r="C22" s="117" t="s">
        <v>67</v>
      </c>
      <c r="D22" s="128" t="e">
        <f>-SUM(Kosten!$H$10:$H$11)</f>
        <v>#REF!</v>
      </c>
      <c r="E22" s="128"/>
      <c r="F22" s="128"/>
      <c r="G22" s="128"/>
      <c r="H22" s="128"/>
      <c r="I22" s="128"/>
      <c r="J22" s="128"/>
      <c r="K22" s="128"/>
      <c r="L22" s="128"/>
      <c r="M22" s="128"/>
      <c r="N22" s="128"/>
      <c r="O22" s="128"/>
      <c r="P22" s="130"/>
      <c r="Q22" s="130"/>
      <c r="R22" s="130"/>
      <c r="S22" s="130"/>
      <c r="T22" s="130"/>
      <c r="U22" s="130"/>
      <c r="V22" s="130"/>
      <c r="W22" s="130"/>
      <c r="X22" s="130"/>
      <c r="Y22" s="130"/>
      <c r="Z22" s="130"/>
      <c r="AA22" s="130"/>
      <c r="AB22" s="130"/>
      <c r="AC22" s="130"/>
      <c r="AD22" s="130"/>
      <c r="AE22" s="130"/>
      <c r="AF22" s="130"/>
      <c r="AG22" s="130"/>
      <c r="AH22" s="130"/>
      <c r="AI22" s="130"/>
      <c r="AJ22" s="130"/>
      <c r="AK22" s="130"/>
      <c r="AL22" s="130"/>
      <c r="AM22" s="130"/>
      <c r="AN22" s="130" t="e">
        <f t="shared" si="0"/>
        <v>#REF!</v>
      </c>
      <c r="AQ22" s="130" t="e">
        <f t="shared" si="1"/>
        <v>#REF!</v>
      </c>
      <c r="AR22" s="130">
        <f t="shared" si="2"/>
        <v>0</v>
      </c>
      <c r="AS22" s="130">
        <f t="shared" si="3"/>
        <v>0</v>
      </c>
      <c r="AT22" s="130">
        <f t="shared" si="4"/>
        <v>0</v>
      </c>
      <c r="AU22" s="130">
        <f t="shared" si="5"/>
        <v>0</v>
      </c>
      <c r="AV22" s="130">
        <f t="shared" si="6"/>
        <v>0</v>
      </c>
      <c r="AW22" s="130">
        <f t="shared" si="7"/>
        <v>0</v>
      </c>
      <c r="AX22" s="130">
        <f t="shared" si="8"/>
        <v>0</v>
      </c>
      <c r="AY22" s="130">
        <f t="shared" si="9"/>
        <v>0</v>
      </c>
      <c r="AZ22" s="130">
        <f t="shared" si="10"/>
        <v>0</v>
      </c>
      <c r="BA22" s="130">
        <f t="shared" si="11"/>
        <v>0</v>
      </c>
      <c r="BB22" s="130">
        <f t="shared" si="12"/>
        <v>0</v>
      </c>
    </row>
    <row r="23" spans="3:54" hidden="1" outlineLevel="1" x14ac:dyDescent="0.3">
      <c r="C23" s="117" t="s">
        <v>68</v>
      </c>
      <c r="D23" s="128"/>
      <c r="E23" s="128"/>
      <c r="F23" s="128"/>
      <c r="G23" s="128"/>
      <c r="H23" s="128"/>
      <c r="I23" s="128"/>
      <c r="J23" s="128"/>
      <c r="K23" s="128"/>
      <c r="L23" s="128"/>
      <c r="N23" s="128"/>
      <c r="O23" s="128" t="e">
        <f>-SUM(Kosten!$I$10:$I$11)</f>
        <v>#REF!</v>
      </c>
      <c r="P23" s="130"/>
      <c r="Q23" s="130"/>
      <c r="R23" s="130"/>
      <c r="S23" s="130"/>
      <c r="T23" s="130"/>
      <c r="U23" s="130"/>
      <c r="V23" s="130"/>
      <c r="W23" s="130"/>
      <c r="X23" s="130"/>
      <c r="Z23" s="130"/>
      <c r="AA23" s="128" t="e">
        <f>-SUM(Kosten!$I$10:$I$11)</f>
        <v>#REF!</v>
      </c>
      <c r="AB23" s="130"/>
      <c r="AC23" s="130"/>
      <c r="AD23" s="130"/>
      <c r="AE23" s="130"/>
      <c r="AF23" s="130"/>
      <c r="AG23" s="130"/>
      <c r="AH23" s="130"/>
      <c r="AI23" s="130"/>
      <c r="AJ23" s="130"/>
      <c r="AK23" s="130"/>
      <c r="AL23" s="130"/>
      <c r="AM23" s="130"/>
      <c r="AN23" s="130" t="e">
        <f t="shared" si="0"/>
        <v>#REF!</v>
      </c>
      <c r="AQ23" s="130">
        <f t="shared" si="1"/>
        <v>0</v>
      </c>
      <c r="AR23" s="130">
        <f t="shared" si="2"/>
        <v>0</v>
      </c>
      <c r="AS23" s="130">
        <f t="shared" si="3"/>
        <v>0</v>
      </c>
      <c r="AT23" s="130" t="e">
        <f>SUM(N23:O23)</f>
        <v>#REF!</v>
      </c>
      <c r="AU23" s="130">
        <f t="shared" si="5"/>
        <v>0</v>
      </c>
      <c r="AV23" s="130">
        <f t="shared" si="6"/>
        <v>0</v>
      </c>
      <c r="AW23" s="130">
        <f t="shared" si="7"/>
        <v>0</v>
      </c>
      <c r="AX23" s="130" t="e">
        <f>SUM(Z23:AA23)</f>
        <v>#REF!</v>
      </c>
      <c r="AY23" s="130">
        <f t="shared" si="9"/>
        <v>0</v>
      </c>
      <c r="AZ23" s="130">
        <f t="shared" si="10"/>
        <v>0</v>
      </c>
      <c r="BA23" s="130">
        <f t="shared" si="11"/>
        <v>0</v>
      </c>
      <c r="BB23" s="130">
        <f t="shared" si="12"/>
        <v>0</v>
      </c>
    </row>
    <row r="24" spans="3:54" hidden="1" outlineLevel="1" x14ac:dyDescent="0.3">
      <c r="C24" s="117" t="s">
        <v>60</v>
      </c>
      <c r="D24" s="128"/>
      <c r="E24" s="128"/>
      <c r="F24" s="128"/>
      <c r="G24" s="128"/>
      <c r="H24" s="128"/>
      <c r="I24" s="128"/>
      <c r="J24" s="128"/>
      <c r="K24" s="128"/>
      <c r="L24" s="128"/>
      <c r="M24" s="128"/>
      <c r="N24" s="128"/>
      <c r="O24" s="128"/>
      <c r="P24" s="130"/>
      <c r="Q24" s="130"/>
      <c r="R24" s="130"/>
      <c r="S24" s="130"/>
      <c r="T24" s="130"/>
      <c r="U24" s="130"/>
      <c r="V24" s="130"/>
      <c r="W24" s="130"/>
      <c r="X24" s="130"/>
      <c r="Y24" s="128"/>
      <c r="Z24" s="130"/>
      <c r="AA24" s="130"/>
      <c r="AB24" s="130"/>
      <c r="AC24" s="130"/>
      <c r="AD24" s="130"/>
      <c r="AE24" s="130"/>
      <c r="AF24" s="130"/>
      <c r="AG24" s="130"/>
      <c r="AH24" s="130"/>
      <c r="AI24" s="130"/>
      <c r="AJ24" s="130"/>
      <c r="AK24" s="130"/>
      <c r="AL24" s="130"/>
      <c r="AM24" s="130" t="e">
        <f>-SUM(Kosten!$N$10:$N$11)</f>
        <v>#REF!</v>
      </c>
      <c r="AN24" s="130" t="e">
        <f t="shared" si="0"/>
        <v>#REF!</v>
      </c>
      <c r="AQ24" s="130">
        <f t="shared" si="1"/>
        <v>0</v>
      </c>
      <c r="AR24" s="130">
        <f t="shared" si="2"/>
        <v>0</v>
      </c>
      <c r="AS24" s="130">
        <f t="shared" si="3"/>
        <v>0</v>
      </c>
      <c r="AT24" s="130">
        <f t="shared" si="4"/>
        <v>0</v>
      </c>
      <c r="AU24" s="130">
        <f t="shared" si="5"/>
        <v>0</v>
      </c>
      <c r="AV24" s="130">
        <f t="shared" si="6"/>
        <v>0</v>
      </c>
      <c r="AW24" s="130">
        <f t="shared" si="7"/>
        <v>0</v>
      </c>
      <c r="AX24" s="130">
        <f t="shared" si="8"/>
        <v>0</v>
      </c>
      <c r="AY24" s="130">
        <f t="shared" si="9"/>
        <v>0</v>
      </c>
      <c r="AZ24" s="130">
        <f t="shared" si="10"/>
        <v>0</v>
      </c>
      <c r="BA24" s="130">
        <f t="shared" si="11"/>
        <v>0</v>
      </c>
      <c r="BB24" s="130" t="e">
        <f t="shared" si="12"/>
        <v>#REF!</v>
      </c>
    </row>
    <row r="25" spans="3:54" s="116" customFormat="1" collapsed="1" x14ac:dyDescent="0.3">
      <c r="C25" s="116" t="s">
        <v>39</v>
      </c>
      <c r="D25" s="129" t="e">
        <f>SUM(D26:D32)</f>
        <v>#N/A</v>
      </c>
      <c r="E25" s="129" t="e">
        <f t="shared" ref="E25:AM25" si="16">SUM(E26:E32)</f>
        <v>#N/A</v>
      </c>
      <c r="F25" s="129" t="e">
        <f t="shared" si="16"/>
        <v>#N/A</v>
      </c>
      <c r="G25" s="129" t="e">
        <f t="shared" si="16"/>
        <v>#N/A</v>
      </c>
      <c r="H25" s="129" t="e">
        <f t="shared" si="16"/>
        <v>#N/A</v>
      </c>
      <c r="I25" s="129" t="e">
        <f t="shared" si="16"/>
        <v>#N/A</v>
      </c>
      <c r="J25" s="129" t="e">
        <f t="shared" si="16"/>
        <v>#N/A</v>
      </c>
      <c r="K25" s="129" t="e">
        <f t="shared" si="16"/>
        <v>#N/A</v>
      </c>
      <c r="L25" s="129" t="e">
        <f t="shared" si="16"/>
        <v>#N/A</v>
      </c>
      <c r="M25" s="129" t="e">
        <f t="shared" si="16"/>
        <v>#N/A</v>
      </c>
      <c r="N25" s="129" t="e">
        <f t="shared" si="16"/>
        <v>#N/A</v>
      </c>
      <c r="O25" s="129" t="e">
        <f t="shared" si="16"/>
        <v>#N/A</v>
      </c>
      <c r="P25" s="129" t="e">
        <f t="shared" si="16"/>
        <v>#N/A</v>
      </c>
      <c r="Q25" s="129" t="e">
        <f t="shared" si="16"/>
        <v>#N/A</v>
      </c>
      <c r="R25" s="129" t="e">
        <f t="shared" si="16"/>
        <v>#N/A</v>
      </c>
      <c r="S25" s="129" t="e">
        <f t="shared" si="16"/>
        <v>#N/A</v>
      </c>
      <c r="T25" s="129" t="e">
        <f t="shared" si="16"/>
        <v>#N/A</v>
      </c>
      <c r="U25" s="129" t="e">
        <f t="shared" si="16"/>
        <v>#N/A</v>
      </c>
      <c r="V25" s="129" t="e">
        <f t="shared" si="16"/>
        <v>#N/A</v>
      </c>
      <c r="W25" s="129" t="e">
        <f t="shared" si="16"/>
        <v>#N/A</v>
      </c>
      <c r="X25" s="129" t="e">
        <f t="shared" si="16"/>
        <v>#N/A</v>
      </c>
      <c r="Y25" s="129" t="e">
        <f t="shared" si="16"/>
        <v>#N/A</v>
      </c>
      <c r="Z25" s="129" t="e">
        <f t="shared" si="16"/>
        <v>#N/A</v>
      </c>
      <c r="AA25" s="129" t="e">
        <f t="shared" si="16"/>
        <v>#N/A</v>
      </c>
      <c r="AB25" s="129" t="e">
        <f t="shared" si="16"/>
        <v>#N/A</v>
      </c>
      <c r="AC25" s="129" t="e">
        <f t="shared" si="16"/>
        <v>#N/A</v>
      </c>
      <c r="AD25" s="129" t="e">
        <f t="shared" si="16"/>
        <v>#N/A</v>
      </c>
      <c r="AE25" s="129" t="e">
        <f t="shared" si="16"/>
        <v>#N/A</v>
      </c>
      <c r="AF25" s="129" t="e">
        <f t="shared" si="16"/>
        <v>#N/A</v>
      </c>
      <c r="AG25" s="129" t="e">
        <f t="shared" si="16"/>
        <v>#N/A</v>
      </c>
      <c r="AH25" s="129" t="e">
        <f t="shared" si="16"/>
        <v>#N/A</v>
      </c>
      <c r="AI25" s="129" t="e">
        <f t="shared" si="16"/>
        <v>#N/A</v>
      </c>
      <c r="AJ25" s="129" t="e">
        <f t="shared" si="16"/>
        <v>#N/A</v>
      </c>
      <c r="AK25" s="129" t="e">
        <f t="shared" si="16"/>
        <v>#N/A</v>
      </c>
      <c r="AL25" s="129" t="e">
        <f t="shared" si="16"/>
        <v>#N/A</v>
      </c>
      <c r="AM25" s="129" t="e">
        <f t="shared" si="16"/>
        <v>#N/A</v>
      </c>
      <c r="AN25" s="134" t="e">
        <f>SUM(AN26:AN32)</f>
        <v>#N/A</v>
      </c>
      <c r="AQ25" s="134"/>
      <c r="AR25" s="134"/>
      <c r="AS25" s="134"/>
      <c r="AT25" s="134"/>
      <c r="AU25" s="134"/>
      <c r="AV25" s="134"/>
      <c r="AW25" s="134"/>
      <c r="AX25" s="134"/>
      <c r="AY25" s="134"/>
      <c r="AZ25" s="134"/>
      <c r="BA25" s="134"/>
      <c r="BB25" s="134"/>
    </row>
    <row r="26" spans="3:54" hidden="1" outlineLevel="1" x14ac:dyDescent="0.3">
      <c r="C26" s="117" t="s">
        <v>89</v>
      </c>
      <c r="D26" s="128" t="e">
        <f>-Kosten!$F$15</f>
        <v>#N/A</v>
      </c>
      <c r="E26" s="128" t="e">
        <f>-Kosten!$F$15</f>
        <v>#N/A</v>
      </c>
      <c r="F26" s="128" t="e">
        <f>-Kosten!$F$15</f>
        <v>#N/A</v>
      </c>
      <c r="G26" s="128" t="e">
        <f>-Kosten!$F$15</f>
        <v>#N/A</v>
      </c>
      <c r="H26" s="128" t="e">
        <f>-Kosten!$F$15</f>
        <v>#N/A</v>
      </c>
      <c r="I26" s="128" t="e">
        <f>-Kosten!$F$15</f>
        <v>#N/A</v>
      </c>
      <c r="J26" s="128" t="e">
        <f>-Kosten!$F$15</f>
        <v>#N/A</v>
      </c>
      <c r="K26" s="128" t="e">
        <f>-Kosten!$F$15</f>
        <v>#N/A</v>
      </c>
      <c r="L26" s="128" t="e">
        <f>-Kosten!$F$15</f>
        <v>#N/A</v>
      </c>
      <c r="M26" s="128" t="e">
        <f>-Kosten!$F$15</f>
        <v>#N/A</v>
      </c>
      <c r="N26" s="128" t="e">
        <f>-Kosten!$F$15</f>
        <v>#N/A</v>
      </c>
      <c r="O26" s="128" t="e">
        <f>-Kosten!$F$15</f>
        <v>#N/A</v>
      </c>
      <c r="P26" s="128" t="e">
        <f>-Kosten!$F$15</f>
        <v>#N/A</v>
      </c>
      <c r="Q26" s="128" t="e">
        <f>-Kosten!$F$15</f>
        <v>#N/A</v>
      </c>
      <c r="R26" s="128" t="e">
        <f>-Kosten!$F$15</f>
        <v>#N/A</v>
      </c>
      <c r="S26" s="128" t="e">
        <f>-Kosten!$F$15</f>
        <v>#N/A</v>
      </c>
      <c r="T26" s="128" t="e">
        <f>-Kosten!$F$15</f>
        <v>#N/A</v>
      </c>
      <c r="U26" s="128" t="e">
        <f>-Kosten!$F$15</f>
        <v>#N/A</v>
      </c>
      <c r="V26" s="128" t="e">
        <f>-Kosten!$F$15</f>
        <v>#N/A</v>
      </c>
      <c r="W26" s="128" t="e">
        <f>-Kosten!$F$15</f>
        <v>#N/A</v>
      </c>
      <c r="X26" s="128" t="e">
        <f>-Kosten!$F$15</f>
        <v>#N/A</v>
      </c>
      <c r="Y26" s="128" t="e">
        <f>-Kosten!$F$15</f>
        <v>#N/A</v>
      </c>
      <c r="Z26" s="128" t="e">
        <f>-Kosten!$F$15</f>
        <v>#N/A</v>
      </c>
      <c r="AA26" s="128" t="e">
        <f>-Kosten!$F$15</f>
        <v>#N/A</v>
      </c>
      <c r="AB26" s="128" t="e">
        <f>-Kosten!$F$15</f>
        <v>#N/A</v>
      </c>
      <c r="AC26" s="128" t="e">
        <f>-Kosten!$F$15</f>
        <v>#N/A</v>
      </c>
      <c r="AD26" s="128" t="e">
        <f>-Kosten!$F$15</f>
        <v>#N/A</v>
      </c>
      <c r="AE26" s="128" t="e">
        <f>-Kosten!$F$15</f>
        <v>#N/A</v>
      </c>
      <c r="AF26" s="128" t="e">
        <f>-Kosten!$F$15</f>
        <v>#N/A</v>
      </c>
      <c r="AG26" s="128" t="e">
        <f>-Kosten!$F$15</f>
        <v>#N/A</v>
      </c>
      <c r="AH26" s="128" t="e">
        <f>-Kosten!$F$15</f>
        <v>#N/A</v>
      </c>
      <c r="AI26" s="128" t="e">
        <f>-Kosten!$F$15</f>
        <v>#N/A</v>
      </c>
      <c r="AJ26" s="128" t="e">
        <f>-Kosten!$F$15</f>
        <v>#N/A</v>
      </c>
      <c r="AK26" s="128" t="e">
        <f>-Kosten!$F$15</f>
        <v>#N/A</v>
      </c>
      <c r="AL26" s="128" t="e">
        <f>-Kosten!$F$15</f>
        <v>#N/A</v>
      </c>
      <c r="AM26" s="128" t="e">
        <f>-Kosten!$F$15</f>
        <v>#N/A</v>
      </c>
      <c r="AN26" s="130" t="e">
        <f t="shared" si="0"/>
        <v>#N/A</v>
      </c>
      <c r="AQ26" s="130" t="e">
        <f t="shared" si="1"/>
        <v>#N/A</v>
      </c>
      <c r="AR26" s="130" t="e">
        <f t="shared" si="2"/>
        <v>#N/A</v>
      </c>
      <c r="AS26" s="130" t="e">
        <f t="shared" si="3"/>
        <v>#N/A</v>
      </c>
      <c r="AT26" s="130" t="e">
        <f t="shared" si="4"/>
        <v>#N/A</v>
      </c>
      <c r="AU26" s="130" t="e">
        <f t="shared" si="5"/>
        <v>#N/A</v>
      </c>
      <c r="AV26" s="130" t="e">
        <f t="shared" si="6"/>
        <v>#N/A</v>
      </c>
      <c r="AW26" s="130" t="e">
        <f t="shared" si="7"/>
        <v>#N/A</v>
      </c>
      <c r="AX26" s="130" t="e">
        <f t="shared" si="8"/>
        <v>#N/A</v>
      </c>
      <c r="AY26" s="130" t="e">
        <f t="shared" si="9"/>
        <v>#N/A</v>
      </c>
      <c r="AZ26" s="130" t="e">
        <f t="shared" si="10"/>
        <v>#N/A</v>
      </c>
      <c r="BA26" s="130" t="e">
        <f t="shared" si="11"/>
        <v>#N/A</v>
      </c>
      <c r="BB26" s="130" t="e">
        <f t="shared" si="12"/>
        <v>#N/A</v>
      </c>
    </row>
    <row r="27" spans="3:54" hidden="1" outlineLevel="1" x14ac:dyDescent="0.3">
      <c r="C27" s="117" t="s">
        <v>72</v>
      </c>
      <c r="D27" s="128" t="e">
        <f>-Kosten!E15</f>
        <v>#N/A</v>
      </c>
      <c r="E27" s="128"/>
      <c r="F27" s="128"/>
      <c r="G27" s="128"/>
      <c r="H27" s="128"/>
      <c r="I27" s="128"/>
      <c r="J27" s="128"/>
      <c r="K27" s="128"/>
      <c r="L27" s="128"/>
      <c r="M27" s="128"/>
      <c r="N27" s="128"/>
      <c r="O27" s="128"/>
      <c r="P27" s="128"/>
      <c r="Q27" s="128"/>
      <c r="R27" s="128"/>
      <c r="S27" s="128"/>
      <c r="T27" s="128"/>
      <c r="U27" s="128"/>
      <c r="V27" s="128"/>
      <c r="W27" s="128"/>
      <c r="X27" s="128"/>
      <c r="Y27" s="128"/>
      <c r="Z27" s="128"/>
      <c r="AA27" s="128"/>
      <c r="AB27" s="128"/>
      <c r="AC27" s="128"/>
      <c r="AD27" s="128"/>
      <c r="AE27" s="128"/>
      <c r="AF27" s="128"/>
      <c r="AG27" s="128"/>
      <c r="AH27" s="128"/>
      <c r="AI27" s="128"/>
      <c r="AJ27" s="128"/>
      <c r="AK27" s="128"/>
      <c r="AL27" s="128"/>
      <c r="AM27" s="128"/>
      <c r="AN27" s="130" t="e">
        <f t="shared" si="0"/>
        <v>#N/A</v>
      </c>
      <c r="AQ27" s="130"/>
      <c r="AR27" s="130"/>
      <c r="AS27" s="130"/>
      <c r="AT27" s="130"/>
      <c r="AU27" s="130"/>
      <c r="AV27" s="130"/>
      <c r="AW27" s="130"/>
      <c r="AX27" s="130"/>
      <c r="AY27" s="130"/>
      <c r="AZ27" s="130"/>
      <c r="BA27" s="130"/>
      <c r="BB27" s="130"/>
    </row>
    <row r="28" spans="3:54" hidden="1" outlineLevel="1" x14ac:dyDescent="0.3">
      <c r="C28" s="117" t="s">
        <v>58</v>
      </c>
      <c r="D28" s="128" t="e">
        <f>-Kosten!G15</f>
        <v>#N/A</v>
      </c>
      <c r="E28" s="128"/>
      <c r="F28" s="128"/>
      <c r="G28" s="128"/>
      <c r="H28" s="128"/>
      <c r="I28" s="128"/>
      <c r="J28" s="128"/>
      <c r="K28" s="128"/>
      <c r="L28" s="128"/>
      <c r="M28" s="128"/>
      <c r="N28" s="128"/>
      <c r="O28" s="128"/>
      <c r="P28" s="128"/>
      <c r="Q28" s="128"/>
      <c r="R28" s="128"/>
      <c r="S28" s="128"/>
      <c r="T28" s="128"/>
      <c r="U28" s="128"/>
      <c r="V28" s="128"/>
      <c r="W28" s="128"/>
      <c r="X28" s="128"/>
      <c r="Y28" s="128"/>
      <c r="Z28" s="128"/>
      <c r="AA28" s="128"/>
      <c r="AB28" s="128"/>
      <c r="AC28" s="128"/>
      <c r="AD28" s="128"/>
      <c r="AE28" s="128"/>
      <c r="AF28" s="128"/>
      <c r="AG28" s="128"/>
      <c r="AH28" s="128"/>
      <c r="AI28" s="128"/>
      <c r="AJ28" s="128"/>
      <c r="AK28" s="128"/>
      <c r="AL28" s="128"/>
      <c r="AM28" s="128"/>
      <c r="AN28" s="130" t="e">
        <f t="shared" si="0"/>
        <v>#N/A</v>
      </c>
      <c r="AQ28" s="130"/>
      <c r="AR28" s="130"/>
      <c r="AS28" s="130"/>
      <c r="AT28" s="130"/>
      <c r="AU28" s="130"/>
      <c r="AV28" s="130"/>
      <c r="AW28" s="130"/>
      <c r="AX28" s="130"/>
      <c r="AY28" s="130"/>
      <c r="AZ28" s="130"/>
      <c r="BA28" s="130"/>
      <c r="BB28" s="130"/>
    </row>
    <row r="29" spans="3:54" hidden="1" outlineLevel="1" x14ac:dyDescent="0.3">
      <c r="C29" s="117" t="s">
        <v>61</v>
      </c>
      <c r="D29" s="128" t="e">
        <f>-Kosten!$M$15</f>
        <v>#N/A</v>
      </c>
      <c r="E29" s="128"/>
      <c r="F29" s="128"/>
      <c r="G29" s="128"/>
      <c r="H29" s="128"/>
      <c r="I29" s="128"/>
      <c r="J29" s="128"/>
      <c r="K29" s="128"/>
      <c r="L29" s="128"/>
      <c r="M29" s="128"/>
      <c r="N29" s="128"/>
      <c r="O29" s="128" t="e">
        <f>-Kosten!$M$15</f>
        <v>#N/A</v>
      </c>
      <c r="P29" s="128"/>
      <c r="Q29" s="128"/>
      <c r="R29" s="128"/>
      <c r="S29" s="128"/>
      <c r="T29" s="128"/>
      <c r="U29" s="128"/>
      <c r="V29" s="128"/>
      <c r="W29" s="128"/>
      <c r="X29" s="128"/>
      <c r="Y29" s="128"/>
      <c r="Z29" s="128"/>
      <c r="AA29" s="128" t="e">
        <f>-Kosten!$M$15</f>
        <v>#N/A</v>
      </c>
      <c r="AB29" s="128"/>
      <c r="AC29" s="128"/>
      <c r="AD29" s="128"/>
      <c r="AE29" s="128"/>
      <c r="AF29" s="128"/>
      <c r="AG29" s="128"/>
      <c r="AH29" s="128"/>
      <c r="AI29" s="128"/>
      <c r="AJ29" s="128"/>
      <c r="AK29" s="128"/>
      <c r="AL29" s="128"/>
      <c r="AM29" s="128"/>
      <c r="AN29" s="130" t="e">
        <f t="shared" si="0"/>
        <v>#N/A</v>
      </c>
      <c r="AQ29" s="130"/>
      <c r="AR29" s="130"/>
      <c r="AS29" s="130"/>
      <c r="AT29" s="130"/>
      <c r="AU29" s="130"/>
      <c r="AV29" s="130"/>
      <c r="AW29" s="130"/>
      <c r="AX29" s="130"/>
      <c r="AY29" s="130"/>
      <c r="AZ29" s="130"/>
      <c r="BA29" s="130"/>
      <c r="BB29" s="130"/>
    </row>
    <row r="30" spans="3:54" hidden="1" outlineLevel="1" x14ac:dyDescent="0.3">
      <c r="C30" s="117" t="s">
        <v>69</v>
      </c>
      <c r="D30" s="128"/>
      <c r="E30" s="128"/>
      <c r="F30" s="128"/>
      <c r="G30" s="128"/>
      <c r="H30" s="128"/>
      <c r="I30" s="128" t="e">
        <f>-Kosten!$J$15</f>
        <v>#N/A</v>
      </c>
      <c r="J30" s="128"/>
      <c r="K30" s="128"/>
      <c r="L30" s="128"/>
      <c r="M30" s="128"/>
      <c r="N30" s="128"/>
      <c r="O30" s="128"/>
      <c r="P30" s="128"/>
      <c r="Q30" s="128"/>
      <c r="R30" s="128"/>
      <c r="S30" s="128"/>
      <c r="T30" s="128"/>
      <c r="U30" s="128" t="e">
        <f>-Kosten!$J$15</f>
        <v>#N/A</v>
      </c>
      <c r="V30" s="128"/>
      <c r="W30" s="128"/>
      <c r="X30" s="128"/>
      <c r="Y30" s="128"/>
      <c r="Z30" s="128"/>
      <c r="AA30" s="128"/>
      <c r="AB30" s="128"/>
      <c r="AC30" s="128"/>
      <c r="AD30" s="128"/>
      <c r="AE30" s="128"/>
      <c r="AF30" s="128"/>
      <c r="AG30" s="128" t="e">
        <f>-Kosten!$J$15</f>
        <v>#N/A</v>
      </c>
      <c r="AH30" s="128"/>
      <c r="AI30" s="128"/>
      <c r="AJ30" s="128"/>
      <c r="AK30" s="128"/>
      <c r="AL30" s="128"/>
      <c r="AM30" s="128"/>
      <c r="AN30" s="130" t="e">
        <f t="shared" si="0"/>
        <v>#N/A</v>
      </c>
      <c r="AQ30" s="130"/>
      <c r="AR30" s="130"/>
      <c r="AS30" s="130"/>
      <c r="AT30" s="130"/>
      <c r="AU30" s="130"/>
      <c r="AV30" s="130"/>
      <c r="AW30" s="130"/>
      <c r="AX30" s="130"/>
      <c r="AY30" s="130"/>
      <c r="AZ30" s="130"/>
      <c r="BA30" s="130"/>
      <c r="BB30" s="130"/>
    </row>
    <row r="31" spans="3:54" hidden="1" outlineLevel="1" x14ac:dyDescent="0.3">
      <c r="C31" s="117" t="s">
        <v>68</v>
      </c>
      <c r="D31" s="128"/>
      <c r="E31" s="128"/>
      <c r="F31" s="128"/>
      <c r="G31" s="128"/>
      <c r="H31" s="128"/>
      <c r="I31" s="128"/>
      <c r="J31" s="128"/>
      <c r="K31" s="128"/>
      <c r="L31" s="128"/>
      <c r="M31" s="128"/>
      <c r="N31" s="128"/>
      <c r="O31" s="128" t="e">
        <f>-Kosten!$I$15</f>
        <v>#N/A</v>
      </c>
      <c r="P31" s="128"/>
      <c r="Q31" s="128"/>
      <c r="R31" s="128"/>
      <c r="S31" s="128"/>
      <c r="T31" s="128"/>
      <c r="U31" s="128"/>
      <c r="V31" s="128"/>
      <c r="W31" s="128"/>
      <c r="X31" s="128"/>
      <c r="Y31" s="128"/>
      <c r="Z31" s="128"/>
      <c r="AA31" s="128" t="e">
        <f>-Kosten!$I$15</f>
        <v>#N/A</v>
      </c>
      <c r="AB31" s="128"/>
      <c r="AC31" s="128"/>
      <c r="AD31" s="128"/>
      <c r="AE31" s="128"/>
      <c r="AF31" s="128"/>
      <c r="AG31" s="128"/>
      <c r="AH31" s="128"/>
      <c r="AI31" s="128"/>
      <c r="AJ31" s="128"/>
      <c r="AK31" s="128"/>
      <c r="AL31" s="128"/>
      <c r="AM31" s="128"/>
      <c r="AN31" s="130" t="e">
        <f t="shared" si="0"/>
        <v>#N/A</v>
      </c>
      <c r="AQ31" s="130"/>
      <c r="AR31" s="130"/>
      <c r="AS31" s="130"/>
      <c r="AT31" s="130"/>
      <c r="AU31" s="130"/>
      <c r="AV31" s="130"/>
      <c r="AW31" s="130"/>
      <c r="AX31" s="130"/>
      <c r="AY31" s="130"/>
      <c r="AZ31" s="130"/>
      <c r="BA31" s="130"/>
      <c r="BB31" s="130"/>
    </row>
    <row r="32" spans="3:54" hidden="1" outlineLevel="1" x14ac:dyDescent="0.3">
      <c r="C32" s="117" t="s">
        <v>60</v>
      </c>
      <c r="D32" s="128"/>
      <c r="E32" s="128"/>
      <c r="F32" s="128"/>
      <c r="G32" s="128"/>
      <c r="H32" s="128"/>
      <c r="I32" s="128"/>
      <c r="J32" s="128"/>
      <c r="K32" s="128"/>
      <c r="L32" s="128"/>
      <c r="M32" s="128"/>
      <c r="N32" s="128"/>
      <c r="O32" s="128"/>
      <c r="P32" s="128"/>
      <c r="Q32" s="128"/>
      <c r="R32" s="128"/>
      <c r="S32" s="128"/>
      <c r="T32" s="128"/>
      <c r="U32" s="128"/>
      <c r="V32" s="128"/>
      <c r="W32" s="128"/>
      <c r="X32" s="128"/>
      <c r="Y32" s="128"/>
      <c r="Z32" s="128"/>
      <c r="AA32" s="128"/>
      <c r="AB32" s="128"/>
      <c r="AC32" s="128"/>
      <c r="AD32" s="128"/>
      <c r="AE32" s="128"/>
      <c r="AF32" s="128"/>
      <c r="AG32" s="128"/>
      <c r="AH32" s="128"/>
      <c r="AI32" s="128"/>
      <c r="AJ32" s="128"/>
      <c r="AK32" s="128"/>
      <c r="AL32" s="128"/>
      <c r="AM32" s="128" t="e">
        <f>-Kosten!$N$15</f>
        <v>#N/A</v>
      </c>
      <c r="AN32" s="130" t="e">
        <f t="shared" si="0"/>
        <v>#N/A</v>
      </c>
      <c r="AQ32" s="130">
        <f t="shared" si="1"/>
        <v>0</v>
      </c>
      <c r="AR32" s="130">
        <f t="shared" si="2"/>
        <v>0</v>
      </c>
      <c r="AS32" s="130">
        <f t="shared" si="3"/>
        <v>0</v>
      </c>
      <c r="AT32" s="130">
        <f t="shared" si="4"/>
        <v>0</v>
      </c>
      <c r="AU32" s="130">
        <f t="shared" si="5"/>
        <v>0</v>
      </c>
      <c r="AV32" s="130">
        <f t="shared" si="6"/>
        <v>0</v>
      </c>
      <c r="AW32" s="130">
        <f t="shared" si="7"/>
        <v>0</v>
      </c>
      <c r="AX32" s="130">
        <f t="shared" si="8"/>
        <v>0</v>
      </c>
      <c r="AY32" s="130">
        <f t="shared" si="9"/>
        <v>0</v>
      </c>
      <c r="AZ32" s="130">
        <f t="shared" si="10"/>
        <v>0</v>
      </c>
      <c r="BA32" s="130">
        <f t="shared" si="11"/>
        <v>0</v>
      </c>
      <c r="BB32" s="130" t="e">
        <f t="shared" si="12"/>
        <v>#N/A</v>
      </c>
    </row>
    <row r="33" spans="3:54" s="116" customFormat="1" collapsed="1" x14ac:dyDescent="0.3">
      <c r="C33" s="116" t="s">
        <v>86</v>
      </c>
      <c r="D33" s="129" t="e">
        <f t="shared" ref="D33:AN33" si="17">SUM(D34:D37)</f>
        <v>#N/A</v>
      </c>
      <c r="E33" s="129" t="e">
        <f t="shared" si="17"/>
        <v>#N/A</v>
      </c>
      <c r="F33" s="129" t="e">
        <f t="shared" si="17"/>
        <v>#N/A</v>
      </c>
      <c r="G33" s="129" t="e">
        <f t="shared" si="17"/>
        <v>#N/A</v>
      </c>
      <c r="H33" s="129" t="e">
        <f t="shared" si="17"/>
        <v>#N/A</v>
      </c>
      <c r="I33" s="129" t="e">
        <f t="shared" si="17"/>
        <v>#N/A</v>
      </c>
      <c r="J33" s="129" t="e">
        <f t="shared" si="17"/>
        <v>#N/A</v>
      </c>
      <c r="K33" s="129" t="e">
        <f t="shared" si="17"/>
        <v>#N/A</v>
      </c>
      <c r="L33" s="129" t="e">
        <f t="shared" si="17"/>
        <v>#N/A</v>
      </c>
      <c r="M33" s="129" t="e">
        <f t="shared" si="17"/>
        <v>#N/A</v>
      </c>
      <c r="N33" s="129" t="e">
        <f t="shared" si="17"/>
        <v>#N/A</v>
      </c>
      <c r="O33" s="129" t="e">
        <f t="shared" si="17"/>
        <v>#N/A</v>
      </c>
      <c r="P33" s="129" t="e">
        <f t="shared" si="17"/>
        <v>#N/A</v>
      </c>
      <c r="Q33" s="129" t="e">
        <f t="shared" si="17"/>
        <v>#N/A</v>
      </c>
      <c r="R33" s="129" t="e">
        <f t="shared" si="17"/>
        <v>#N/A</v>
      </c>
      <c r="S33" s="129" t="e">
        <f t="shared" si="17"/>
        <v>#N/A</v>
      </c>
      <c r="T33" s="129" t="e">
        <f t="shared" si="17"/>
        <v>#N/A</v>
      </c>
      <c r="U33" s="129" t="e">
        <f t="shared" si="17"/>
        <v>#N/A</v>
      </c>
      <c r="V33" s="129" t="e">
        <f t="shared" si="17"/>
        <v>#N/A</v>
      </c>
      <c r="W33" s="129" t="e">
        <f t="shared" si="17"/>
        <v>#N/A</v>
      </c>
      <c r="X33" s="129" t="e">
        <f t="shared" si="17"/>
        <v>#N/A</v>
      </c>
      <c r="Y33" s="129" t="e">
        <f t="shared" si="17"/>
        <v>#N/A</v>
      </c>
      <c r="Z33" s="129" t="e">
        <f t="shared" si="17"/>
        <v>#N/A</v>
      </c>
      <c r="AA33" s="129" t="e">
        <f t="shared" si="17"/>
        <v>#N/A</v>
      </c>
      <c r="AB33" s="129" t="e">
        <f t="shared" si="17"/>
        <v>#N/A</v>
      </c>
      <c r="AC33" s="129" t="e">
        <f t="shared" si="17"/>
        <v>#N/A</v>
      </c>
      <c r="AD33" s="129" t="e">
        <f t="shared" si="17"/>
        <v>#N/A</v>
      </c>
      <c r="AE33" s="129" t="e">
        <f t="shared" si="17"/>
        <v>#N/A</v>
      </c>
      <c r="AF33" s="129" t="e">
        <f t="shared" si="17"/>
        <v>#N/A</v>
      </c>
      <c r="AG33" s="129" t="e">
        <f t="shared" si="17"/>
        <v>#N/A</v>
      </c>
      <c r="AH33" s="129" t="e">
        <f t="shared" si="17"/>
        <v>#N/A</v>
      </c>
      <c r="AI33" s="129" t="e">
        <f t="shared" si="17"/>
        <v>#N/A</v>
      </c>
      <c r="AJ33" s="129" t="e">
        <f t="shared" si="17"/>
        <v>#N/A</v>
      </c>
      <c r="AK33" s="129" t="e">
        <f t="shared" si="17"/>
        <v>#N/A</v>
      </c>
      <c r="AL33" s="129" t="e">
        <f t="shared" si="17"/>
        <v>#N/A</v>
      </c>
      <c r="AM33" s="129" t="e">
        <f t="shared" si="17"/>
        <v>#N/A</v>
      </c>
      <c r="AN33" s="134" t="e">
        <f t="shared" si="17"/>
        <v>#N/A</v>
      </c>
      <c r="AQ33" s="134"/>
      <c r="AR33" s="134"/>
      <c r="AS33" s="134"/>
      <c r="AT33" s="134"/>
      <c r="AU33" s="134"/>
      <c r="AV33" s="134"/>
      <c r="AW33" s="134"/>
      <c r="AX33" s="134"/>
      <c r="AY33" s="134"/>
      <c r="AZ33" s="134"/>
      <c r="BA33" s="134"/>
      <c r="BB33" s="134"/>
    </row>
    <row r="34" spans="3:54" hidden="1" outlineLevel="1" x14ac:dyDescent="0.3">
      <c r="C34" s="117" t="s">
        <v>57</v>
      </c>
      <c r="D34" s="128"/>
      <c r="E34" s="128"/>
      <c r="F34" s="128" t="e">
        <f>-SUMIFS(Kosten!$F$4:$F$26,Kosten!$B$4:$B$26,'Cash Flow'!$C$33)-SUMIFS(Kosten!$G$4:$G$26,Kosten!$B$4:$B$26,'Cash Flow'!$C$33)</f>
        <v>#N/A</v>
      </c>
      <c r="G34" s="128"/>
      <c r="H34" s="128"/>
      <c r="I34" s="128"/>
      <c r="J34" s="128"/>
      <c r="K34" s="128"/>
      <c r="L34" s="128"/>
      <c r="M34" s="128"/>
      <c r="N34" s="128"/>
      <c r="O34" s="128"/>
      <c r="P34" s="128"/>
      <c r="Q34" s="128"/>
      <c r="R34" s="128"/>
      <c r="S34" s="128"/>
      <c r="T34" s="128"/>
      <c r="U34" s="128"/>
      <c r="V34" s="128"/>
      <c r="W34" s="128"/>
      <c r="X34" s="128"/>
      <c r="Y34" s="128"/>
      <c r="Z34" s="128"/>
      <c r="AA34" s="128"/>
      <c r="AB34" s="128"/>
      <c r="AC34" s="128"/>
      <c r="AD34" s="128"/>
      <c r="AE34" s="128"/>
      <c r="AF34" s="128"/>
      <c r="AG34" s="128"/>
      <c r="AH34" s="128"/>
      <c r="AI34" s="128"/>
      <c r="AJ34" s="128"/>
      <c r="AK34" s="128"/>
      <c r="AL34" s="128"/>
      <c r="AM34" s="128"/>
      <c r="AN34" s="130" t="e">
        <f t="shared" si="0"/>
        <v>#N/A</v>
      </c>
      <c r="AQ34" s="130" t="e">
        <f>SUM(D34:F34)</f>
        <v>#N/A</v>
      </c>
      <c r="AR34" s="130" t="e">
        <f>SUM(E34:I34)</f>
        <v>#N/A</v>
      </c>
      <c r="AS34" s="130">
        <f t="shared" si="3"/>
        <v>0</v>
      </c>
      <c r="AT34" s="130">
        <f t="shared" si="4"/>
        <v>0</v>
      </c>
      <c r="AU34" s="130">
        <f t="shared" si="5"/>
        <v>0</v>
      </c>
      <c r="AV34" s="130">
        <f t="shared" si="6"/>
        <v>0</v>
      </c>
      <c r="AW34" s="130">
        <f t="shared" si="7"/>
        <v>0</v>
      </c>
      <c r="AX34" s="130">
        <f t="shared" si="8"/>
        <v>0</v>
      </c>
      <c r="AY34" s="130">
        <f t="shared" si="9"/>
        <v>0</v>
      </c>
      <c r="AZ34" s="130">
        <f t="shared" si="10"/>
        <v>0</v>
      </c>
      <c r="BA34" s="130">
        <f t="shared" si="11"/>
        <v>0</v>
      </c>
      <c r="BB34" s="130">
        <f t="shared" si="12"/>
        <v>0</v>
      </c>
    </row>
    <row r="35" spans="3:54" hidden="1" outlineLevel="1" x14ac:dyDescent="0.3">
      <c r="C35" s="117" t="s">
        <v>145</v>
      </c>
      <c r="D35" s="128"/>
      <c r="E35" s="128" t="e">
        <f>-SUMIFS(Kosten!$H$4:$H$26,Kosten!$B$4:$B$26,'Cash Flow'!$C$33)</f>
        <v>#N/A</v>
      </c>
      <c r="F35" s="128"/>
      <c r="G35" s="128"/>
      <c r="H35" s="128"/>
      <c r="I35" s="128"/>
      <c r="J35" s="128"/>
      <c r="K35" s="128"/>
      <c r="L35" s="128"/>
      <c r="M35" s="128"/>
      <c r="N35" s="128"/>
      <c r="O35" s="128"/>
      <c r="P35" s="128"/>
      <c r="Q35" s="128"/>
      <c r="R35" s="128"/>
      <c r="S35" s="128"/>
      <c r="T35" s="128"/>
      <c r="U35" s="128"/>
      <c r="V35" s="128"/>
      <c r="W35" s="128"/>
      <c r="X35" s="128"/>
      <c r="Y35" s="128"/>
      <c r="Z35" s="128"/>
      <c r="AA35" s="128"/>
      <c r="AB35" s="128"/>
      <c r="AC35" s="128"/>
      <c r="AD35" s="128"/>
      <c r="AE35" s="128"/>
      <c r="AF35" s="128"/>
      <c r="AG35" s="128"/>
      <c r="AH35" s="128"/>
      <c r="AI35" s="128"/>
      <c r="AJ35" s="128"/>
      <c r="AK35" s="128"/>
      <c r="AL35" s="128"/>
      <c r="AM35" s="128"/>
      <c r="AN35" s="130" t="e">
        <f t="shared" si="0"/>
        <v>#N/A</v>
      </c>
      <c r="AQ35" s="130" t="e">
        <f>SUM(D35:F35)</f>
        <v>#N/A</v>
      </c>
      <c r="AR35" s="130" t="e">
        <f>SUM(E35:I35)</f>
        <v>#N/A</v>
      </c>
      <c r="AS35" s="130">
        <f t="shared" si="3"/>
        <v>0</v>
      </c>
      <c r="AT35" s="130">
        <f t="shared" si="4"/>
        <v>0</v>
      </c>
      <c r="AU35" s="130">
        <f t="shared" si="5"/>
        <v>0</v>
      </c>
      <c r="AV35" s="130">
        <f t="shared" si="6"/>
        <v>0</v>
      </c>
      <c r="AW35" s="130">
        <f t="shared" si="7"/>
        <v>0</v>
      </c>
      <c r="AX35" s="130">
        <f t="shared" si="8"/>
        <v>0</v>
      </c>
      <c r="AY35" s="130">
        <f t="shared" si="9"/>
        <v>0</v>
      </c>
      <c r="AZ35" s="130">
        <f t="shared" si="10"/>
        <v>0</v>
      </c>
      <c r="BA35" s="130">
        <f t="shared" si="11"/>
        <v>0</v>
      </c>
      <c r="BB35" s="130">
        <f t="shared" si="12"/>
        <v>0</v>
      </c>
    </row>
    <row r="36" spans="3:54" hidden="1" outlineLevel="1" x14ac:dyDescent="0.3">
      <c r="C36" s="117" t="s">
        <v>68</v>
      </c>
      <c r="D36" s="128"/>
      <c r="E36" s="128"/>
      <c r="F36" s="128"/>
      <c r="G36" s="128"/>
      <c r="H36" s="128"/>
      <c r="I36" s="128"/>
      <c r="J36" s="128"/>
      <c r="K36" s="128"/>
      <c r="L36" s="128"/>
      <c r="N36" s="128"/>
      <c r="O36" s="128" t="e">
        <f>-SUMIFS(Kosten!$I$4:$I$26,Kosten!$B$4:$B$26,'Cash Flow'!$C$33)</f>
        <v>#N/A</v>
      </c>
      <c r="P36" s="128"/>
      <c r="Q36" s="128"/>
      <c r="R36" s="128"/>
      <c r="S36" s="128"/>
      <c r="T36" s="128"/>
      <c r="U36" s="128"/>
      <c r="V36" s="128"/>
      <c r="W36" s="128"/>
      <c r="X36" s="128"/>
      <c r="Z36" s="128"/>
      <c r="AA36" s="128" t="e">
        <f>-SUMIFS(Kosten!$I$4:$I$26,Kosten!$B$4:$B$26,'Cash Flow'!$C$33)</f>
        <v>#N/A</v>
      </c>
      <c r="AB36" s="128"/>
      <c r="AC36" s="128"/>
      <c r="AD36" s="128"/>
      <c r="AE36" s="128"/>
      <c r="AF36" s="128"/>
      <c r="AG36" s="128"/>
      <c r="AH36" s="128"/>
      <c r="AI36" s="128"/>
      <c r="AJ36" s="128"/>
      <c r="AK36" s="128"/>
      <c r="AL36" s="128"/>
      <c r="AM36" s="128"/>
      <c r="AN36" s="130" t="e">
        <f t="shared" si="0"/>
        <v>#N/A</v>
      </c>
      <c r="AQ36" s="130">
        <f t="shared" si="1"/>
        <v>0</v>
      </c>
      <c r="AR36" s="130">
        <f t="shared" si="2"/>
        <v>0</v>
      </c>
      <c r="AS36" s="130">
        <f t="shared" si="3"/>
        <v>0</v>
      </c>
      <c r="AT36" s="130" t="e">
        <f>SUM(N36:O36)</f>
        <v>#N/A</v>
      </c>
      <c r="AU36" s="130">
        <f t="shared" si="5"/>
        <v>0</v>
      </c>
      <c r="AV36" s="130">
        <f t="shared" si="6"/>
        <v>0</v>
      </c>
      <c r="AW36" s="130">
        <f t="shared" si="7"/>
        <v>0</v>
      </c>
      <c r="AX36" s="130" t="e">
        <f>SUM(Z36:AA36)</f>
        <v>#N/A</v>
      </c>
      <c r="AY36" s="130">
        <f t="shared" si="9"/>
        <v>0</v>
      </c>
      <c r="AZ36" s="130">
        <f t="shared" si="10"/>
        <v>0</v>
      </c>
      <c r="BA36" s="130">
        <f t="shared" si="11"/>
        <v>0</v>
      </c>
      <c r="BB36" s="130">
        <f t="shared" si="12"/>
        <v>0</v>
      </c>
    </row>
    <row r="37" spans="3:54" hidden="1" outlineLevel="1" x14ac:dyDescent="0.3">
      <c r="C37" s="117" t="s">
        <v>146</v>
      </c>
      <c r="D37" s="128" t="e">
        <f>(-SUMIFS(Kosten!$K$4:$K26,Kosten!$B$4:$B$26,'Cash Flow'!$C$33)-SUMIFS(Kosten!$L$4:$L26,Kosten!$B$4:$B$26,'Cash Flow'!$C$33))/12</f>
        <v>#N/A</v>
      </c>
      <c r="E37" s="128" t="e">
        <f>(-SUMIFS(Kosten!$K$4:$K26,Kosten!$B$4:$B$26,'Cash Flow'!$C$33)-SUMIFS(Kosten!$L$4:$L26,Kosten!$B$4:$B$26,'Cash Flow'!$C$33))/12</f>
        <v>#N/A</v>
      </c>
      <c r="F37" s="128" t="e">
        <f>(-SUMIFS(Kosten!$K$4:$K26,Kosten!$B$4:$B$26,'Cash Flow'!$C$33)-SUMIFS(Kosten!$L$4:$L26,Kosten!$B$4:$B$26,'Cash Flow'!$C$33))/12</f>
        <v>#N/A</v>
      </c>
      <c r="G37" s="128" t="e">
        <f>(-SUMIFS(Kosten!$K$4:$K26,Kosten!$B$4:$B$26,'Cash Flow'!$C$33)-SUMIFS(Kosten!$L$4:$L26,Kosten!$B$4:$B$26,'Cash Flow'!$C$33))/12</f>
        <v>#N/A</v>
      </c>
      <c r="H37" s="128" t="e">
        <f>(-SUMIFS(Kosten!$K$4:$K26,Kosten!$B$4:$B$26,'Cash Flow'!$C$33)-SUMIFS(Kosten!$L$4:$L26,Kosten!$B$4:$B$26,'Cash Flow'!$C$33))/12</f>
        <v>#N/A</v>
      </c>
      <c r="I37" s="128" t="e">
        <f>(-SUMIFS(Kosten!$K$4:$K26,Kosten!$B$4:$B$26,'Cash Flow'!$C$33)-SUMIFS(Kosten!$L$4:$L26,Kosten!$B$4:$B$26,'Cash Flow'!$C$33))/12</f>
        <v>#N/A</v>
      </c>
      <c r="J37" s="128" t="e">
        <f>(-SUMIFS(Kosten!$K$4:$K26,Kosten!$B$4:$B$26,'Cash Flow'!$C$33)-SUMIFS(Kosten!$L$4:$L26,Kosten!$B$4:$B$26,'Cash Flow'!$C$33))/12</f>
        <v>#N/A</v>
      </c>
      <c r="K37" s="128" t="e">
        <f>(-SUMIFS(Kosten!$K$4:$K26,Kosten!$B$4:$B$26,'Cash Flow'!$C$33)-SUMIFS(Kosten!$L$4:$L26,Kosten!$B$4:$B$26,'Cash Flow'!$C$33))/12</f>
        <v>#N/A</v>
      </c>
      <c r="L37" s="128" t="e">
        <f>(-SUMIFS(Kosten!$K$4:$K26,Kosten!$B$4:$B$26,'Cash Flow'!$C$33)-SUMIFS(Kosten!$L$4:$L26,Kosten!$B$4:$B$26,'Cash Flow'!$C$33))/12</f>
        <v>#N/A</v>
      </c>
      <c r="M37" s="128" t="e">
        <f>(-SUMIFS(Kosten!$K$4:$K26,Kosten!$B$4:$B$26,'Cash Flow'!$C$33)-SUMIFS(Kosten!$L$4:$L26,Kosten!$B$4:$B$26,'Cash Flow'!$C$33))/12</f>
        <v>#N/A</v>
      </c>
      <c r="N37" s="128" t="e">
        <f>(-SUMIFS(Kosten!$K$4:$K26,Kosten!$B$4:$B$26,'Cash Flow'!$C$33)-SUMIFS(Kosten!$L$4:$L26,Kosten!$B$4:$B$26,'Cash Flow'!$C$33))/12</f>
        <v>#N/A</v>
      </c>
      <c r="O37" s="128" t="e">
        <f>(-SUMIFS(Kosten!$K$4:$K26,Kosten!$B$4:$B$26,'Cash Flow'!$C$33)-SUMIFS(Kosten!$L$4:$L26,Kosten!$B$4:$B$26,'Cash Flow'!$C$33))/12</f>
        <v>#N/A</v>
      </c>
      <c r="P37" s="128" t="e">
        <f>(-SUMIFS(Kosten!$K$4:$K26,Kosten!$B$4:$B$26,'Cash Flow'!$C$33)-SUMIFS(Kosten!$L$4:$L26,Kosten!$B$4:$B$26,'Cash Flow'!$C$33))/12</f>
        <v>#N/A</v>
      </c>
      <c r="Q37" s="128" t="e">
        <f>(-SUMIFS(Kosten!$K$4:$K26,Kosten!$B$4:$B$26,'Cash Flow'!$C$33)-SUMIFS(Kosten!$L$4:$L26,Kosten!$B$4:$B$26,'Cash Flow'!$C$33))/12</f>
        <v>#N/A</v>
      </c>
      <c r="R37" s="128" t="e">
        <f>(-SUMIFS(Kosten!$K$4:$K26,Kosten!$B$4:$B$26,'Cash Flow'!$C$33)-SUMIFS(Kosten!$L$4:$L26,Kosten!$B$4:$B$26,'Cash Flow'!$C$33))/12</f>
        <v>#N/A</v>
      </c>
      <c r="S37" s="128" t="e">
        <f>(-SUMIFS(Kosten!$K$4:$K26,Kosten!$B$4:$B$26,'Cash Flow'!$C$33)-SUMIFS(Kosten!$L$4:$L26,Kosten!$B$4:$B$26,'Cash Flow'!$C$33))/12</f>
        <v>#N/A</v>
      </c>
      <c r="T37" s="128" t="e">
        <f>(-SUMIFS(Kosten!$K$4:$K26,Kosten!$B$4:$B$26,'Cash Flow'!$C$33)-SUMIFS(Kosten!$L$4:$L26,Kosten!$B$4:$B$26,'Cash Flow'!$C$33))/12</f>
        <v>#N/A</v>
      </c>
      <c r="U37" s="128" t="e">
        <f>(-SUMIFS(Kosten!$K$4:$K26,Kosten!$B$4:$B$26,'Cash Flow'!$C$33)-SUMIFS(Kosten!$L$4:$L26,Kosten!$B$4:$B$26,'Cash Flow'!$C$33))/12</f>
        <v>#N/A</v>
      </c>
      <c r="V37" s="128" t="e">
        <f>(-SUMIFS(Kosten!$K$4:$K26,Kosten!$B$4:$B$26,'Cash Flow'!$C$33)-SUMIFS(Kosten!$L$4:$L26,Kosten!$B$4:$B$26,'Cash Flow'!$C$33))/12</f>
        <v>#N/A</v>
      </c>
      <c r="W37" s="128" t="e">
        <f>(-SUMIFS(Kosten!$K$4:$K26,Kosten!$B$4:$B$26,'Cash Flow'!$C$33)-SUMIFS(Kosten!$L$4:$L26,Kosten!$B$4:$B$26,'Cash Flow'!$C$33))/12</f>
        <v>#N/A</v>
      </c>
      <c r="X37" s="128" t="e">
        <f>(-SUMIFS(Kosten!$K$4:$K26,Kosten!$B$4:$B$26,'Cash Flow'!$C$33)-SUMIFS(Kosten!$L$4:$L26,Kosten!$B$4:$B$26,'Cash Flow'!$C$33))/12</f>
        <v>#N/A</v>
      </c>
      <c r="Y37" s="128" t="e">
        <f>(-SUMIFS(Kosten!$K$4:$K26,Kosten!$B$4:$B$26,'Cash Flow'!$C$33)-SUMIFS(Kosten!$L$4:$L26,Kosten!$B$4:$B$26,'Cash Flow'!$C$33))/12</f>
        <v>#N/A</v>
      </c>
      <c r="Z37" s="128" t="e">
        <f>(-SUMIFS(Kosten!$K$4:$K26,Kosten!$B$4:$B$26,'Cash Flow'!$C$33)-SUMIFS(Kosten!$L$4:$L26,Kosten!$B$4:$B$26,'Cash Flow'!$C$33))/12</f>
        <v>#N/A</v>
      </c>
      <c r="AA37" s="128" t="e">
        <f>(-SUMIFS(Kosten!$K$4:$K26,Kosten!$B$4:$B$26,'Cash Flow'!$C$33)-SUMIFS(Kosten!$L$4:$L26,Kosten!$B$4:$B$26,'Cash Flow'!$C$33))/12</f>
        <v>#N/A</v>
      </c>
      <c r="AB37" s="128" t="e">
        <f>(-SUMIFS(Kosten!$K$4:$K26,Kosten!$B$4:$B$26,'Cash Flow'!$C$33)-SUMIFS(Kosten!$L$4:$L26,Kosten!$B$4:$B$26,'Cash Flow'!$C$33))/12</f>
        <v>#N/A</v>
      </c>
      <c r="AC37" s="128" t="e">
        <f>(-SUMIFS(Kosten!$K$4:$K26,Kosten!$B$4:$B$26,'Cash Flow'!$C$33)-SUMIFS(Kosten!$L$4:$L26,Kosten!$B$4:$B$26,'Cash Flow'!$C$33))/12</f>
        <v>#N/A</v>
      </c>
      <c r="AD37" s="128" t="e">
        <f>(-SUMIFS(Kosten!$K$4:$K26,Kosten!$B$4:$B$26,'Cash Flow'!$C$33)-SUMIFS(Kosten!$L$4:$L26,Kosten!$B$4:$B$26,'Cash Flow'!$C$33))/12</f>
        <v>#N/A</v>
      </c>
      <c r="AE37" s="128" t="e">
        <f>(-SUMIFS(Kosten!$K$4:$K26,Kosten!$B$4:$B$26,'Cash Flow'!$C$33)-SUMIFS(Kosten!$L$4:$L26,Kosten!$B$4:$B$26,'Cash Flow'!$C$33))/12</f>
        <v>#N/A</v>
      </c>
      <c r="AF37" s="128" t="e">
        <f>(-SUMIFS(Kosten!$K$4:$K26,Kosten!$B$4:$B$26,'Cash Flow'!$C$33)-SUMIFS(Kosten!$L$4:$L26,Kosten!$B$4:$B$26,'Cash Flow'!$C$33))/12</f>
        <v>#N/A</v>
      </c>
      <c r="AG37" s="128" t="e">
        <f>(-SUMIFS(Kosten!$K$4:$K26,Kosten!$B$4:$B$26,'Cash Flow'!$C$33)-SUMIFS(Kosten!$L$4:$L26,Kosten!$B$4:$B$26,'Cash Flow'!$C$33))/12</f>
        <v>#N/A</v>
      </c>
      <c r="AH37" s="128" t="e">
        <f>(-SUMIFS(Kosten!$K$4:$K26,Kosten!$B$4:$B$26,'Cash Flow'!$C$33)-SUMIFS(Kosten!$L$4:$L26,Kosten!$B$4:$B$26,'Cash Flow'!$C$33))/12</f>
        <v>#N/A</v>
      </c>
      <c r="AI37" s="128" t="e">
        <f>(-SUMIFS(Kosten!$K$4:$K26,Kosten!$B$4:$B$26,'Cash Flow'!$C$33)-SUMIFS(Kosten!$L$4:$L26,Kosten!$B$4:$B$26,'Cash Flow'!$C$33))/12</f>
        <v>#N/A</v>
      </c>
      <c r="AJ37" s="128" t="e">
        <f>(-SUMIFS(Kosten!$K$4:$K26,Kosten!$B$4:$B$26,'Cash Flow'!$C$33)-SUMIFS(Kosten!$L$4:$L26,Kosten!$B$4:$B$26,'Cash Flow'!$C$33))/12</f>
        <v>#N/A</v>
      </c>
      <c r="AK37" s="128" t="e">
        <f>(-SUMIFS(Kosten!$K$4:$K26,Kosten!$B$4:$B$26,'Cash Flow'!$C$33)-SUMIFS(Kosten!$L$4:$L26,Kosten!$B$4:$B$26,'Cash Flow'!$C$33))/12</f>
        <v>#N/A</v>
      </c>
      <c r="AL37" s="128" t="e">
        <f>(-SUMIFS(Kosten!$K$4:$K26,Kosten!$B$4:$B$26,'Cash Flow'!$C$33)-SUMIFS(Kosten!$L$4:$L26,Kosten!$B$4:$B$26,'Cash Flow'!$C$33))/12</f>
        <v>#N/A</v>
      </c>
      <c r="AM37" s="128" t="e">
        <f>(-SUMIFS(Kosten!$K$4:$K26,Kosten!$B$4:$B$26,'Cash Flow'!$C$33)-SUMIFS(Kosten!$L$4:$L26,Kosten!$B$4:$B$26,'Cash Flow'!$C$33))/12</f>
        <v>#N/A</v>
      </c>
      <c r="AN37" s="130" t="e">
        <f t="shared" si="0"/>
        <v>#N/A</v>
      </c>
      <c r="AQ37" s="130" t="e">
        <f t="shared" si="1"/>
        <v>#N/A</v>
      </c>
      <c r="AR37" s="130" t="e">
        <f t="shared" si="2"/>
        <v>#N/A</v>
      </c>
      <c r="AS37" s="130" t="e">
        <f t="shared" si="3"/>
        <v>#N/A</v>
      </c>
      <c r="AT37" s="130" t="e">
        <f t="shared" si="4"/>
        <v>#N/A</v>
      </c>
      <c r="AU37" s="130" t="e">
        <f t="shared" si="5"/>
        <v>#N/A</v>
      </c>
      <c r="AV37" s="130" t="e">
        <f t="shared" si="6"/>
        <v>#N/A</v>
      </c>
      <c r="AW37" s="130" t="e">
        <f t="shared" si="7"/>
        <v>#N/A</v>
      </c>
      <c r="AX37" s="130" t="e">
        <f t="shared" si="8"/>
        <v>#N/A</v>
      </c>
      <c r="AY37" s="130" t="e">
        <f t="shared" si="9"/>
        <v>#N/A</v>
      </c>
      <c r="AZ37" s="130" t="e">
        <f t="shared" si="10"/>
        <v>#N/A</v>
      </c>
      <c r="BA37" s="130" t="e">
        <f t="shared" si="11"/>
        <v>#N/A</v>
      </c>
      <c r="BB37" s="130" t="e">
        <f t="shared" si="12"/>
        <v>#N/A</v>
      </c>
    </row>
    <row r="38" spans="3:54" s="116" customFormat="1" collapsed="1" x14ac:dyDescent="0.3">
      <c r="C38" s="116" t="s">
        <v>88</v>
      </c>
      <c r="D38" s="129" t="e">
        <f>SUM(D39:D41)</f>
        <v>#REF!</v>
      </c>
      <c r="E38" s="129" t="e">
        <f t="shared" ref="E38:AM38" si="18">SUM(E39:E41)</f>
        <v>#REF!</v>
      </c>
      <c r="F38" s="129" t="e">
        <f t="shared" si="18"/>
        <v>#REF!</v>
      </c>
      <c r="G38" s="129" t="e">
        <f t="shared" si="18"/>
        <v>#REF!</v>
      </c>
      <c r="H38" s="129" t="e">
        <f t="shared" si="18"/>
        <v>#REF!</v>
      </c>
      <c r="I38" s="129" t="e">
        <f t="shared" si="18"/>
        <v>#REF!</v>
      </c>
      <c r="J38" s="129" t="e">
        <f t="shared" si="18"/>
        <v>#REF!</v>
      </c>
      <c r="K38" s="129" t="e">
        <f t="shared" si="18"/>
        <v>#REF!</v>
      </c>
      <c r="L38" s="129" t="e">
        <f t="shared" si="18"/>
        <v>#REF!</v>
      </c>
      <c r="M38" s="129" t="e">
        <f t="shared" si="18"/>
        <v>#REF!</v>
      </c>
      <c r="N38" s="129" t="e">
        <f t="shared" si="18"/>
        <v>#REF!</v>
      </c>
      <c r="O38" s="129" t="e">
        <f t="shared" si="18"/>
        <v>#REF!</v>
      </c>
      <c r="P38" s="129" t="e">
        <f t="shared" si="18"/>
        <v>#REF!</v>
      </c>
      <c r="Q38" s="129" t="e">
        <f t="shared" si="18"/>
        <v>#REF!</v>
      </c>
      <c r="R38" s="129" t="e">
        <f t="shared" si="18"/>
        <v>#REF!</v>
      </c>
      <c r="S38" s="129" t="e">
        <f t="shared" si="18"/>
        <v>#REF!</v>
      </c>
      <c r="T38" s="129" t="e">
        <f t="shared" si="18"/>
        <v>#REF!</v>
      </c>
      <c r="U38" s="129" t="e">
        <f t="shared" si="18"/>
        <v>#REF!</v>
      </c>
      <c r="V38" s="129" t="e">
        <f t="shared" si="18"/>
        <v>#REF!</v>
      </c>
      <c r="W38" s="129" t="e">
        <f t="shared" si="18"/>
        <v>#REF!</v>
      </c>
      <c r="X38" s="129" t="e">
        <f t="shared" si="18"/>
        <v>#REF!</v>
      </c>
      <c r="Y38" s="129" t="e">
        <f t="shared" si="18"/>
        <v>#REF!</v>
      </c>
      <c r="Z38" s="129" t="e">
        <f t="shared" si="18"/>
        <v>#REF!</v>
      </c>
      <c r="AA38" s="129" t="e">
        <f t="shared" si="18"/>
        <v>#REF!</v>
      </c>
      <c r="AB38" s="129" t="e">
        <f t="shared" si="18"/>
        <v>#REF!</v>
      </c>
      <c r="AC38" s="129" t="e">
        <f t="shared" si="18"/>
        <v>#REF!</v>
      </c>
      <c r="AD38" s="129" t="e">
        <f t="shared" si="18"/>
        <v>#REF!</v>
      </c>
      <c r="AE38" s="129" t="e">
        <f t="shared" si="18"/>
        <v>#REF!</v>
      </c>
      <c r="AF38" s="129" t="e">
        <f t="shared" si="18"/>
        <v>#REF!</v>
      </c>
      <c r="AG38" s="129" t="e">
        <f t="shared" si="18"/>
        <v>#REF!</v>
      </c>
      <c r="AH38" s="129" t="e">
        <f t="shared" si="18"/>
        <v>#REF!</v>
      </c>
      <c r="AI38" s="129" t="e">
        <f t="shared" si="18"/>
        <v>#REF!</v>
      </c>
      <c r="AJ38" s="129" t="e">
        <f t="shared" si="18"/>
        <v>#REF!</v>
      </c>
      <c r="AK38" s="129" t="e">
        <f t="shared" si="18"/>
        <v>#REF!</v>
      </c>
      <c r="AL38" s="129" t="e">
        <f t="shared" si="18"/>
        <v>#REF!</v>
      </c>
      <c r="AM38" s="129" t="e">
        <f t="shared" si="18"/>
        <v>#REF!</v>
      </c>
      <c r="AN38" s="134" t="e">
        <f>SUM(AN39:AN41)</f>
        <v>#REF!</v>
      </c>
      <c r="AQ38" s="134"/>
      <c r="AR38" s="134"/>
      <c r="AS38" s="134"/>
      <c r="AT38" s="134"/>
      <c r="AU38" s="134"/>
      <c r="AV38" s="134"/>
      <c r="AW38" s="134"/>
      <c r="AX38" s="134"/>
      <c r="AY38" s="134"/>
      <c r="AZ38" s="134"/>
      <c r="BA38" s="134"/>
      <c r="BB38" s="134"/>
    </row>
    <row r="39" spans="3:54" hidden="1" outlineLevel="1" x14ac:dyDescent="0.3">
      <c r="C39" s="117" t="s">
        <v>89</v>
      </c>
      <c r="D39" s="133" t="e">
        <f>-SUM(Kosten!$F$17:$F$22)</f>
        <v>#REF!</v>
      </c>
      <c r="E39" s="133" t="e">
        <f>-SUM(Kosten!$F$17:$F$22)</f>
        <v>#REF!</v>
      </c>
      <c r="F39" s="133" t="e">
        <f>-SUM(Kosten!$F$17:$F$22)</f>
        <v>#REF!</v>
      </c>
      <c r="G39" s="133" t="e">
        <f>-SUM(Kosten!$F$17:$F$22)</f>
        <v>#REF!</v>
      </c>
      <c r="H39" s="133" t="e">
        <f>-SUM(Kosten!$F$17:$F$22)</f>
        <v>#REF!</v>
      </c>
      <c r="I39" s="133" t="e">
        <f>-SUM(Kosten!$F$17:$F$22)</f>
        <v>#REF!</v>
      </c>
      <c r="J39" s="133" t="e">
        <f>-SUM(Kosten!$F$17:$F$22)</f>
        <v>#REF!</v>
      </c>
      <c r="K39" s="133" t="e">
        <f>-SUM(Kosten!$F$17:$F$22)</f>
        <v>#REF!</v>
      </c>
      <c r="L39" s="133" t="e">
        <f>-SUM(Kosten!$F$17:$F$22)</f>
        <v>#REF!</v>
      </c>
      <c r="M39" s="133" t="e">
        <f>-SUM(Kosten!$F$17:$F$22)</f>
        <v>#REF!</v>
      </c>
      <c r="N39" s="133" t="e">
        <f>-SUM(Kosten!$F$17:$F$22)</f>
        <v>#REF!</v>
      </c>
      <c r="O39" s="133" t="e">
        <f>-SUM(Kosten!$F$17:$F$22)</f>
        <v>#REF!</v>
      </c>
      <c r="P39" s="133" t="e">
        <f>-SUM(Kosten!$F$17:$F$22)</f>
        <v>#REF!</v>
      </c>
      <c r="Q39" s="133" t="e">
        <f>-SUM(Kosten!$F$17:$F$22)</f>
        <v>#REF!</v>
      </c>
      <c r="R39" s="133" t="e">
        <f>-SUM(Kosten!$F$17:$F$22)</f>
        <v>#REF!</v>
      </c>
      <c r="S39" s="133" t="e">
        <f>-SUM(Kosten!$F$17:$F$22)</f>
        <v>#REF!</v>
      </c>
      <c r="T39" s="133" t="e">
        <f>-SUM(Kosten!$F$17:$F$22)</f>
        <v>#REF!</v>
      </c>
      <c r="U39" s="133" t="e">
        <f>-SUM(Kosten!$F$17:$F$22)</f>
        <v>#REF!</v>
      </c>
      <c r="V39" s="133" t="e">
        <f>-SUM(Kosten!$F$17:$F$22)</f>
        <v>#REF!</v>
      </c>
      <c r="W39" s="133" t="e">
        <f>-SUM(Kosten!$F$17:$F$22)</f>
        <v>#REF!</v>
      </c>
      <c r="X39" s="133" t="e">
        <f>-SUM(Kosten!$F$17:$F$22)</f>
        <v>#REF!</v>
      </c>
      <c r="Y39" s="133" t="e">
        <f>-SUM(Kosten!$F$17:$F$22)</f>
        <v>#REF!</v>
      </c>
      <c r="Z39" s="133" t="e">
        <f>-SUM(Kosten!$F$17:$F$22)</f>
        <v>#REF!</v>
      </c>
      <c r="AA39" s="133" t="e">
        <f>-SUM(Kosten!$F$17:$F$22)</f>
        <v>#REF!</v>
      </c>
      <c r="AB39" s="133" t="e">
        <f>-SUM(Kosten!$F$17:$F$22)</f>
        <v>#REF!</v>
      </c>
      <c r="AC39" s="133" t="e">
        <f>-SUM(Kosten!$F$17:$F$22)</f>
        <v>#REF!</v>
      </c>
      <c r="AD39" s="133" t="e">
        <f>-SUM(Kosten!$F$17:$F$22)</f>
        <v>#REF!</v>
      </c>
      <c r="AE39" s="133" t="e">
        <f>-SUM(Kosten!$F$17:$F$22)</f>
        <v>#REF!</v>
      </c>
      <c r="AF39" s="133" t="e">
        <f>-SUM(Kosten!$F$17:$F$22)</f>
        <v>#REF!</v>
      </c>
      <c r="AG39" s="133" t="e">
        <f>-SUM(Kosten!$F$17:$F$22)</f>
        <v>#REF!</v>
      </c>
      <c r="AH39" s="133" t="e">
        <f>-SUM(Kosten!$F$17:$F$22)</f>
        <v>#REF!</v>
      </c>
      <c r="AI39" s="133" t="e">
        <f>-SUM(Kosten!$F$17:$F$22)</f>
        <v>#REF!</v>
      </c>
      <c r="AJ39" s="133" t="e">
        <f>-SUM(Kosten!$F$17:$F$22)</f>
        <v>#REF!</v>
      </c>
      <c r="AK39" s="133" t="e">
        <f>-SUM(Kosten!$F$17:$F$22)</f>
        <v>#REF!</v>
      </c>
      <c r="AL39" s="133" t="e">
        <f>-SUM(Kosten!$F$17:$F$22)</f>
        <v>#REF!</v>
      </c>
      <c r="AM39" s="133" t="e">
        <f>-SUM(Kosten!$F$17:$F$22)</f>
        <v>#REF!</v>
      </c>
      <c r="AN39" s="130" t="e">
        <f t="shared" si="0"/>
        <v>#REF!</v>
      </c>
      <c r="AQ39" s="130" t="e">
        <f t="shared" si="1"/>
        <v>#REF!</v>
      </c>
      <c r="AR39" s="130" t="e">
        <f t="shared" si="2"/>
        <v>#REF!</v>
      </c>
      <c r="AS39" s="130" t="e">
        <f t="shared" si="3"/>
        <v>#REF!</v>
      </c>
      <c r="AT39" s="130" t="e">
        <f t="shared" si="4"/>
        <v>#REF!</v>
      </c>
      <c r="AU39" s="130" t="e">
        <f t="shared" si="5"/>
        <v>#REF!</v>
      </c>
      <c r="AV39" s="130" t="e">
        <f t="shared" si="6"/>
        <v>#REF!</v>
      </c>
      <c r="AW39" s="130" t="e">
        <f t="shared" si="7"/>
        <v>#REF!</v>
      </c>
      <c r="AX39" s="130" t="e">
        <f t="shared" si="8"/>
        <v>#REF!</v>
      </c>
      <c r="AY39" s="130" t="e">
        <f t="shared" si="9"/>
        <v>#REF!</v>
      </c>
      <c r="AZ39" s="130" t="e">
        <f t="shared" si="10"/>
        <v>#REF!</v>
      </c>
      <c r="BA39" s="130" t="e">
        <f t="shared" si="11"/>
        <v>#REF!</v>
      </c>
      <c r="BB39" s="130" t="e">
        <f t="shared" si="12"/>
        <v>#REF!</v>
      </c>
    </row>
    <row r="40" spans="3:54" hidden="1" outlineLevel="1" x14ac:dyDescent="0.3">
      <c r="C40" s="117" t="s">
        <v>58</v>
      </c>
      <c r="D40" s="133" t="e">
        <f>-SUM(Kosten!$G$17:$G$22)</f>
        <v>#REF!</v>
      </c>
      <c r="E40" s="128"/>
      <c r="F40" s="128"/>
      <c r="G40" s="128"/>
      <c r="H40" s="128"/>
      <c r="I40" s="128"/>
      <c r="J40" s="128"/>
      <c r="K40" s="128"/>
      <c r="L40" s="128"/>
      <c r="M40" s="128"/>
      <c r="N40" s="128"/>
      <c r="O40" s="128"/>
      <c r="P40" s="130"/>
      <c r="Q40" s="130"/>
      <c r="R40" s="130"/>
      <c r="S40" s="130"/>
      <c r="T40" s="130"/>
      <c r="U40" s="130"/>
      <c r="V40" s="130"/>
      <c r="W40" s="130"/>
      <c r="X40" s="130"/>
      <c r="Y40" s="130"/>
      <c r="Z40" s="130"/>
      <c r="AA40" s="130"/>
      <c r="AB40" s="130"/>
      <c r="AC40" s="130"/>
      <c r="AD40" s="130"/>
      <c r="AE40" s="130"/>
      <c r="AF40" s="130"/>
      <c r="AG40" s="130"/>
      <c r="AH40" s="130"/>
      <c r="AI40" s="130"/>
      <c r="AJ40" s="130"/>
      <c r="AK40" s="130"/>
      <c r="AL40" s="130"/>
      <c r="AM40" s="130"/>
      <c r="AN40" s="130" t="e">
        <f t="shared" si="0"/>
        <v>#REF!</v>
      </c>
      <c r="AQ40" s="130" t="e">
        <f t="shared" si="1"/>
        <v>#REF!</v>
      </c>
      <c r="AR40" s="130">
        <f t="shared" si="2"/>
        <v>0</v>
      </c>
      <c r="AS40" s="130">
        <f t="shared" si="3"/>
        <v>0</v>
      </c>
      <c r="AT40" s="130">
        <f t="shared" si="4"/>
        <v>0</v>
      </c>
      <c r="AU40" s="130">
        <f t="shared" si="5"/>
        <v>0</v>
      </c>
      <c r="AV40" s="130">
        <f t="shared" si="6"/>
        <v>0</v>
      </c>
      <c r="AW40" s="130">
        <f t="shared" si="7"/>
        <v>0</v>
      </c>
      <c r="AX40" s="130">
        <f t="shared" si="8"/>
        <v>0</v>
      </c>
      <c r="AY40" s="130">
        <f t="shared" si="9"/>
        <v>0</v>
      </c>
      <c r="AZ40" s="130">
        <f t="shared" si="10"/>
        <v>0</v>
      </c>
      <c r="BA40" s="130">
        <f t="shared" si="11"/>
        <v>0</v>
      </c>
      <c r="BB40" s="130">
        <f t="shared" si="12"/>
        <v>0</v>
      </c>
    </row>
    <row r="41" spans="3:54" hidden="1" outlineLevel="1" x14ac:dyDescent="0.3">
      <c r="C41" s="117" t="s">
        <v>67</v>
      </c>
      <c r="D41" s="133" t="e">
        <f>-SUM(Kosten!$H$17:$H$22)</f>
        <v>#REF!</v>
      </c>
      <c r="E41" s="128"/>
      <c r="F41" s="128"/>
      <c r="G41" s="128"/>
      <c r="H41" s="128"/>
      <c r="I41" s="128"/>
      <c r="J41" s="128"/>
      <c r="K41" s="128"/>
      <c r="L41" s="128"/>
      <c r="M41" s="128"/>
      <c r="N41" s="128"/>
      <c r="O41" s="128"/>
      <c r="P41" s="130"/>
      <c r="Q41" s="130"/>
      <c r="R41" s="130"/>
      <c r="S41" s="130"/>
      <c r="T41" s="130"/>
      <c r="U41" s="130"/>
      <c r="V41" s="130"/>
      <c r="W41" s="130"/>
      <c r="X41" s="130"/>
      <c r="Y41" s="130"/>
      <c r="Z41" s="130"/>
      <c r="AA41" s="130"/>
      <c r="AB41" s="130"/>
      <c r="AC41" s="130"/>
      <c r="AD41" s="130"/>
      <c r="AE41" s="130"/>
      <c r="AF41" s="130"/>
      <c r="AG41" s="130"/>
      <c r="AH41" s="130"/>
      <c r="AI41" s="130"/>
      <c r="AJ41" s="130"/>
      <c r="AK41" s="130"/>
      <c r="AL41" s="130"/>
      <c r="AM41" s="130"/>
      <c r="AN41" s="130" t="e">
        <f t="shared" si="0"/>
        <v>#REF!</v>
      </c>
      <c r="AQ41" s="130" t="e">
        <f t="shared" si="1"/>
        <v>#REF!</v>
      </c>
      <c r="AR41" s="130">
        <f t="shared" si="2"/>
        <v>0</v>
      </c>
      <c r="AS41" s="130">
        <f t="shared" si="3"/>
        <v>0</v>
      </c>
      <c r="AT41" s="130">
        <f t="shared" si="4"/>
        <v>0</v>
      </c>
      <c r="AU41" s="130">
        <f t="shared" si="5"/>
        <v>0</v>
      </c>
      <c r="AV41" s="130">
        <f t="shared" si="6"/>
        <v>0</v>
      </c>
      <c r="AW41" s="130">
        <f t="shared" si="7"/>
        <v>0</v>
      </c>
      <c r="AX41" s="130">
        <f t="shared" si="8"/>
        <v>0</v>
      </c>
      <c r="AY41" s="130">
        <f t="shared" si="9"/>
        <v>0</v>
      </c>
      <c r="AZ41" s="130">
        <f t="shared" si="10"/>
        <v>0</v>
      </c>
      <c r="BA41" s="130">
        <f t="shared" si="11"/>
        <v>0</v>
      </c>
      <c r="BB41" s="130">
        <f t="shared" si="12"/>
        <v>0</v>
      </c>
    </row>
    <row r="42" spans="3:54" s="116" customFormat="1" collapsed="1" x14ac:dyDescent="0.3">
      <c r="C42" s="116" t="s">
        <v>40</v>
      </c>
      <c r="D42" s="129">
        <f>-'Preise Output'!$G$24</f>
        <v>-30000</v>
      </c>
      <c r="E42" s="129"/>
      <c r="F42" s="129"/>
      <c r="G42" s="129"/>
      <c r="H42" s="129"/>
      <c r="I42" s="129"/>
      <c r="J42" s="129"/>
      <c r="K42" s="129"/>
      <c r="L42" s="129"/>
      <c r="M42" s="129"/>
      <c r="N42" s="129"/>
      <c r="O42" s="129"/>
      <c r="P42" s="134"/>
      <c r="Q42" s="134"/>
      <c r="R42" s="134"/>
      <c r="S42" s="134"/>
      <c r="T42" s="134"/>
      <c r="U42" s="134"/>
      <c r="V42" s="134"/>
      <c r="W42" s="134"/>
      <c r="X42" s="134"/>
      <c r="Y42" s="134"/>
      <c r="Z42" s="134"/>
      <c r="AA42" s="134"/>
      <c r="AB42" s="134"/>
      <c r="AC42" s="134"/>
      <c r="AD42" s="134"/>
      <c r="AE42" s="134"/>
      <c r="AF42" s="134"/>
      <c r="AG42" s="134"/>
      <c r="AH42" s="134"/>
      <c r="AI42" s="134"/>
      <c r="AJ42" s="134"/>
      <c r="AK42" s="134"/>
      <c r="AL42" s="134"/>
      <c r="AM42" s="134"/>
      <c r="AN42" s="134">
        <f t="shared" si="0"/>
        <v>-30000</v>
      </c>
      <c r="AQ42" s="134">
        <f t="shared" si="1"/>
        <v>-30000</v>
      </c>
      <c r="AR42" s="134">
        <f t="shared" si="2"/>
        <v>0</v>
      </c>
      <c r="AS42" s="134">
        <f t="shared" si="3"/>
        <v>0</v>
      </c>
      <c r="AT42" s="134">
        <f t="shared" si="4"/>
        <v>0</v>
      </c>
      <c r="AU42" s="134">
        <f t="shared" si="5"/>
        <v>0</v>
      </c>
      <c r="AV42" s="134">
        <f t="shared" si="6"/>
        <v>0</v>
      </c>
      <c r="AW42" s="134">
        <f t="shared" si="7"/>
        <v>0</v>
      </c>
      <c r="AX42" s="134">
        <f t="shared" si="8"/>
        <v>0</v>
      </c>
      <c r="AY42" s="134">
        <f t="shared" si="9"/>
        <v>0</v>
      </c>
      <c r="AZ42" s="134">
        <f t="shared" si="10"/>
        <v>0</v>
      </c>
      <c r="BA42" s="134">
        <f t="shared" si="11"/>
        <v>0</v>
      </c>
      <c r="BB42" s="134">
        <f t="shared" si="12"/>
        <v>0</v>
      </c>
    </row>
    <row r="43" spans="3:54" s="116" customFormat="1" x14ac:dyDescent="0.3">
      <c r="C43" s="116" t="s">
        <v>17</v>
      </c>
      <c r="D43" s="129">
        <f>IFERROR(-'Preise Output'!$L$24/12/'Preise Output'!$F$24-('Preise Output'!$L$26-'Preise Output'!$L$24)/12/3,0)</f>
        <v>0</v>
      </c>
      <c r="E43" s="129">
        <f>IFERROR(-'Preise Output'!$L$24/12/'Preise Output'!$F$24-('Preise Output'!$L$26-'Preise Output'!$L$24)/12/3,0)</f>
        <v>0</v>
      </c>
      <c r="F43" s="129">
        <f>IFERROR(-'Preise Output'!$L$24/12/'Preise Output'!$F$24-('Preise Output'!$L$26-'Preise Output'!$L$24)/12/3,0)</f>
        <v>0</v>
      </c>
      <c r="G43" s="129">
        <f>IFERROR(-'Preise Output'!$L$24/12/'Preise Output'!$F$24-('Preise Output'!$L$26-'Preise Output'!$L$24)/12/3,0)</f>
        <v>0</v>
      </c>
      <c r="H43" s="129">
        <f>IFERROR(-'Preise Output'!$L$24/12/'Preise Output'!$F$24-('Preise Output'!$L$26-'Preise Output'!$L$24)/12/3,0)</f>
        <v>0</v>
      </c>
      <c r="I43" s="129">
        <f>IFERROR(-'Preise Output'!$L$24/12/'Preise Output'!$F$24-('Preise Output'!$L$26-'Preise Output'!$L$24)/12/3,0)</f>
        <v>0</v>
      </c>
      <c r="J43" s="129">
        <f>IFERROR(-'Preise Output'!$L$24/12/'Preise Output'!$F$24-('Preise Output'!$L$26-'Preise Output'!$L$24)/12/3,0)</f>
        <v>0</v>
      </c>
      <c r="K43" s="129">
        <f>IFERROR(-'Preise Output'!$L$24/12/'Preise Output'!$F$24-('Preise Output'!$L$26-'Preise Output'!$L$24)/12/3,0)</f>
        <v>0</v>
      </c>
      <c r="L43" s="129">
        <f>IFERROR(-'Preise Output'!$L$24/12/'Preise Output'!$F$24-('Preise Output'!$L$26-'Preise Output'!$L$24)/12/3,0)</f>
        <v>0</v>
      </c>
      <c r="M43" s="129">
        <f>IFERROR(-'Preise Output'!$L$24/12/'Preise Output'!$F$24-('Preise Output'!$L$26-'Preise Output'!$L$24)/12/3,0)</f>
        <v>0</v>
      </c>
      <c r="N43" s="129">
        <f>IFERROR(-'Preise Output'!$L$24/12/'Preise Output'!$F$24-('Preise Output'!$L$26-'Preise Output'!$L$24)/12/3,0)</f>
        <v>0</v>
      </c>
      <c r="O43" s="129">
        <f>IFERROR(-'Preise Output'!$L$24/12/'Preise Output'!$F$24-('Preise Output'!$L$26-'Preise Output'!$L$24)/12/3,0)</f>
        <v>0</v>
      </c>
      <c r="P43" s="129">
        <f>IFERROR(IF('Preise Output'!$F$24=1,-('Preise Output'!$L$26-'Preise Output'!$L$24)/12/3,-'Preise Output'!$L$24/12/'Preise Output'!$F$24-('Preise Output'!$L$26-'Preise Output'!$L$24)/12/3),0)</f>
        <v>0</v>
      </c>
      <c r="Q43" s="129">
        <f>IFERROR(IF('Preise Output'!$F$24=1,-('Preise Output'!$L$26-'Preise Output'!$L$24)/12/3,-'Preise Output'!$L$24/12/'Preise Output'!$F$24-('Preise Output'!$L$26-'Preise Output'!$L$24)/12/3),0)</f>
        <v>0</v>
      </c>
      <c r="R43" s="129">
        <f>IFERROR(IF('Preise Output'!$F$24=1,-('Preise Output'!$L$26-'Preise Output'!$L$24)/12/3,-'Preise Output'!$L$24/12/'Preise Output'!$F$24-('Preise Output'!$L$26-'Preise Output'!$L$24)/12/3),0)</f>
        <v>0</v>
      </c>
      <c r="S43" s="129">
        <f>IFERROR(IF('Preise Output'!$F$24=1,-('Preise Output'!$L$26-'Preise Output'!$L$24)/12/3,-'Preise Output'!$L$24/12/'Preise Output'!$F$24-('Preise Output'!$L$26-'Preise Output'!$L$24)/12/3),0)</f>
        <v>0</v>
      </c>
      <c r="T43" s="129">
        <f>IFERROR(IF('Preise Output'!$F$24=1,-('Preise Output'!$L$26-'Preise Output'!$L$24)/12/3,-'Preise Output'!$L$24/12/'Preise Output'!$F$24-('Preise Output'!$L$26-'Preise Output'!$L$24)/12/3),0)</f>
        <v>0</v>
      </c>
      <c r="U43" s="129">
        <f>IFERROR(IF('Preise Output'!$F$24=1,-('Preise Output'!$L$26-'Preise Output'!$L$24)/12/3,-'Preise Output'!$L$24/12/'Preise Output'!$F$24-('Preise Output'!$L$26-'Preise Output'!$L$24)/12/3),0)</f>
        <v>0</v>
      </c>
      <c r="V43" s="129">
        <f>IFERROR(IF('Preise Output'!$F$24=1,-('Preise Output'!$L$26-'Preise Output'!$L$24)/12/3,-'Preise Output'!$L$24/12/'Preise Output'!$F$24-('Preise Output'!$L$26-'Preise Output'!$L$24)/12/3),0)</f>
        <v>0</v>
      </c>
      <c r="W43" s="129">
        <f>IFERROR(IF('Preise Output'!$F$24=1,-('Preise Output'!$L$26-'Preise Output'!$L$24)/12/3,-'Preise Output'!$L$24/12/'Preise Output'!$F$24-('Preise Output'!$L$26-'Preise Output'!$L$24)/12/3),0)</f>
        <v>0</v>
      </c>
      <c r="X43" s="129">
        <f>IFERROR(IF('Preise Output'!$F$24=1,-('Preise Output'!$L$26-'Preise Output'!$L$24)/12/3,-'Preise Output'!$L$24/12/'Preise Output'!$F$24-('Preise Output'!$L$26-'Preise Output'!$L$24)/12/3),0)</f>
        <v>0</v>
      </c>
      <c r="Y43" s="129">
        <f>IFERROR(IF('Preise Output'!$F$24=1,-('Preise Output'!$L$26-'Preise Output'!$L$24)/12/3,-'Preise Output'!$L$24/12/'Preise Output'!$F$24-('Preise Output'!$L$26-'Preise Output'!$L$24)/12/3),0)</f>
        <v>0</v>
      </c>
      <c r="Z43" s="129">
        <f>IFERROR(IF('Preise Output'!$F$24=1,-('Preise Output'!$L$26-'Preise Output'!$L$24)/12/3,-'Preise Output'!$L$24/12/'Preise Output'!$F$24-('Preise Output'!$L$26-'Preise Output'!$L$24)/12/3),0)</f>
        <v>0</v>
      </c>
      <c r="AA43" s="129">
        <f>IFERROR(IF('Preise Output'!$F$24=1,-('Preise Output'!$L$26-'Preise Output'!$L$24)/12/3,-'Preise Output'!$L$24/12/'Preise Output'!$F$24-('Preise Output'!$L$26-'Preise Output'!$L$24)/12/3),0)</f>
        <v>0</v>
      </c>
      <c r="AB43" s="129">
        <f>IFERROR(IF('Preise Output'!$F$24=1,-('Preise Output'!$L$26-'Preise Output'!$L$24)/12/3,-'Preise Output'!$L$24/12/'Preise Output'!$F$24-('Preise Output'!$L$26-'Preise Output'!$L$24)/12/3),0)</f>
        <v>0</v>
      </c>
      <c r="AC43" s="129">
        <f>IFERROR(IF('Preise Output'!$F$24=1,-('Preise Output'!$L$26-'Preise Output'!$L$24)/12/3,-'Preise Output'!$L$24/12/'Preise Output'!$F$24-('Preise Output'!$L$26-'Preise Output'!$L$24)/12/3),0)</f>
        <v>0</v>
      </c>
      <c r="AD43" s="129">
        <f>IFERROR(IF('Preise Output'!$F$24=1,-('Preise Output'!$L$26-'Preise Output'!$L$24)/12/3,-'Preise Output'!$L$24/12/'Preise Output'!$F$24-('Preise Output'!$L$26-'Preise Output'!$L$24)/12/3),0)</f>
        <v>0</v>
      </c>
      <c r="AE43" s="129">
        <f>IFERROR(IF('Preise Output'!$F$24=1,-('Preise Output'!$L$26-'Preise Output'!$L$24)/12/3,-'Preise Output'!$L$24/12/'Preise Output'!$F$24-('Preise Output'!$L$26-'Preise Output'!$L$24)/12/3),0)</f>
        <v>0</v>
      </c>
      <c r="AF43" s="129">
        <f>IFERROR(IF('Preise Output'!$F$24=1,-('Preise Output'!$L$26-'Preise Output'!$L$24)/12/3,-'Preise Output'!$L$24/12/'Preise Output'!$F$24-('Preise Output'!$L$26-'Preise Output'!$L$24)/12/3),0)</f>
        <v>0</v>
      </c>
      <c r="AG43" s="129">
        <f>IFERROR(IF('Preise Output'!$F$24=1,-('Preise Output'!$L$26-'Preise Output'!$L$24)/12/3,-'Preise Output'!$L$24/12/'Preise Output'!$F$24-('Preise Output'!$L$26-'Preise Output'!$L$24)/12/3),0)</f>
        <v>0</v>
      </c>
      <c r="AH43" s="129">
        <f>IFERROR(IF('Preise Output'!$F$24=1,-('Preise Output'!$L$26-'Preise Output'!$L$24)/12/3,-'Preise Output'!$L$24/12/'Preise Output'!$F$24-('Preise Output'!$L$26-'Preise Output'!$L$24)/12/3),0)</f>
        <v>0</v>
      </c>
      <c r="AI43" s="129">
        <f>IFERROR(IF('Preise Output'!$F$24=1,-('Preise Output'!$L$26-'Preise Output'!$L$24)/12/3,-'Preise Output'!$L$24/12/'Preise Output'!$F$24-('Preise Output'!$L$26-'Preise Output'!$L$24)/12/3),0)</f>
        <v>0</v>
      </c>
      <c r="AJ43" s="129">
        <f>IFERROR(IF('Preise Output'!$F$24=1,-('Preise Output'!$L$26-'Preise Output'!$L$24)/12/3,-'Preise Output'!$L$24/12/'Preise Output'!$F$24-('Preise Output'!$L$26-'Preise Output'!$L$24)/12/3),0)</f>
        <v>0</v>
      </c>
      <c r="AK43" s="129">
        <f>IFERROR(IF('Preise Output'!$F$24=1,-('Preise Output'!$L$26-'Preise Output'!$L$24)/12/3,-'Preise Output'!$L$24/12/'Preise Output'!$F$24-('Preise Output'!$L$26-'Preise Output'!$L$24)/12/3),0)</f>
        <v>0</v>
      </c>
      <c r="AL43" s="129">
        <f>IFERROR(IF('Preise Output'!$F$24=1,-('Preise Output'!$L$26-'Preise Output'!$L$24)/12/3,-'Preise Output'!$L$24/12/'Preise Output'!$F$24-('Preise Output'!$L$26-'Preise Output'!$L$24)/12/3),0)</f>
        <v>0</v>
      </c>
      <c r="AM43" s="129">
        <f>IFERROR(IF('Preise Output'!$F$24=1,-('Preise Output'!$L$26-'Preise Output'!$L$24)/12/3,-'Preise Output'!$L$24/12/'Preise Output'!$F$24-('Preise Output'!$L$26-'Preise Output'!$L$24)/12/3),0)</f>
        <v>0</v>
      </c>
      <c r="AN43" s="134">
        <f t="shared" si="0"/>
        <v>0</v>
      </c>
      <c r="AQ43" s="134">
        <f t="shared" si="1"/>
        <v>0</v>
      </c>
      <c r="AR43" s="134">
        <f t="shared" si="2"/>
        <v>0</v>
      </c>
      <c r="AS43" s="134">
        <f t="shared" si="3"/>
        <v>0</v>
      </c>
      <c r="AT43" s="134">
        <f t="shared" si="4"/>
        <v>0</v>
      </c>
      <c r="AU43" s="134">
        <f t="shared" si="5"/>
        <v>0</v>
      </c>
      <c r="AV43" s="134">
        <f t="shared" si="6"/>
        <v>0</v>
      </c>
      <c r="AW43" s="134">
        <f t="shared" si="7"/>
        <v>0</v>
      </c>
      <c r="AX43" s="134">
        <f t="shared" si="8"/>
        <v>0</v>
      </c>
      <c r="AY43" s="134">
        <f t="shared" si="9"/>
        <v>0</v>
      </c>
      <c r="AZ43" s="134">
        <f t="shared" si="10"/>
        <v>0</v>
      </c>
      <c r="BA43" s="134">
        <f t="shared" si="11"/>
        <v>0</v>
      </c>
      <c r="BB43" s="134">
        <f t="shared" si="12"/>
        <v>0</v>
      </c>
    </row>
    <row r="44" spans="3:54" x14ac:dyDescent="0.3">
      <c r="C44" s="116"/>
      <c r="D44" s="128"/>
      <c r="E44" s="128"/>
      <c r="F44" s="128"/>
      <c r="G44" s="128"/>
      <c r="H44" s="128"/>
      <c r="I44" s="128"/>
      <c r="J44" s="128"/>
      <c r="K44" s="128"/>
      <c r="L44" s="128"/>
      <c r="M44" s="128"/>
      <c r="N44" s="128"/>
      <c r="O44" s="128"/>
      <c r="P44" s="130"/>
      <c r="Q44" s="130"/>
      <c r="R44" s="130"/>
      <c r="S44" s="130"/>
      <c r="T44" s="130"/>
      <c r="U44" s="130"/>
      <c r="V44" s="130"/>
      <c r="W44" s="130"/>
      <c r="X44" s="130"/>
      <c r="Y44" s="130"/>
      <c r="Z44" s="130"/>
      <c r="AA44" s="130"/>
      <c r="AB44" s="130"/>
      <c r="AC44" s="130"/>
      <c r="AD44" s="130"/>
      <c r="AE44" s="130"/>
      <c r="AF44" s="130"/>
      <c r="AG44" s="130"/>
      <c r="AH44" s="130"/>
      <c r="AI44" s="130"/>
      <c r="AJ44" s="130"/>
      <c r="AK44" s="130"/>
      <c r="AL44" s="130"/>
      <c r="AM44" s="130"/>
      <c r="AN44" s="130"/>
      <c r="AQ44" s="130">
        <f t="shared" si="1"/>
        <v>0</v>
      </c>
      <c r="AR44" s="130">
        <f t="shared" si="2"/>
        <v>0</v>
      </c>
      <c r="AS44" s="130">
        <f t="shared" si="3"/>
        <v>0</v>
      </c>
      <c r="AT44" s="130">
        <f t="shared" si="4"/>
        <v>0</v>
      </c>
      <c r="AU44" s="130">
        <f t="shared" si="5"/>
        <v>0</v>
      </c>
      <c r="AV44" s="130">
        <f t="shared" si="6"/>
        <v>0</v>
      </c>
      <c r="AW44" s="130">
        <f t="shared" si="7"/>
        <v>0</v>
      </c>
      <c r="AX44" s="130">
        <f t="shared" si="8"/>
        <v>0</v>
      </c>
      <c r="AY44" s="130">
        <f t="shared" si="9"/>
        <v>0</v>
      </c>
      <c r="AZ44" s="130">
        <f t="shared" si="10"/>
        <v>0</v>
      </c>
      <c r="BA44" s="130">
        <f t="shared" si="11"/>
        <v>0</v>
      </c>
      <c r="BB44" s="130">
        <f t="shared" si="12"/>
        <v>0</v>
      </c>
    </row>
    <row r="45" spans="3:54" s="116" customFormat="1" x14ac:dyDescent="0.3">
      <c r="C45" s="116" t="s">
        <v>147</v>
      </c>
      <c r="D45" s="129" t="e">
        <f t="shared" ref="D45:AM45" si="19">SUM(D6:D7)+D9+D18+D25+D33+D38+D42+D43</f>
        <v>#REF!</v>
      </c>
      <c r="E45" s="129" t="e">
        <f t="shared" si="19"/>
        <v>#N/A</v>
      </c>
      <c r="F45" s="129" t="e">
        <f t="shared" si="19"/>
        <v>#N/A</v>
      </c>
      <c r="G45" s="129" t="e">
        <f t="shared" si="19"/>
        <v>#REF!</v>
      </c>
      <c r="H45" s="129" t="e">
        <f t="shared" si="19"/>
        <v>#N/A</v>
      </c>
      <c r="I45" s="129" t="e">
        <f t="shared" si="19"/>
        <v>#N/A</v>
      </c>
      <c r="J45" s="129" t="e">
        <f t="shared" si="19"/>
        <v>#REF!</v>
      </c>
      <c r="K45" s="129" t="e">
        <f t="shared" si="19"/>
        <v>#N/A</v>
      </c>
      <c r="L45" s="129" t="e">
        <f t="shared" si="19"/>
        <v>#N/A</v>
      </c>
      <c r="M45" s="129" t="e">
        <f t="shared" si="19"/>
        <v>#REF!</v>
      </c>
      <c r="N45" s="129" t="e">
        <f t="shared" si="19"/>
        <v>#N/A</v>
      </c>
      <c r="O45" s="129" t="e">
        <f t="shared" si="19"/>
        <v>#REF!</v>
      </c>
      <c r="P45" s="129" t="e">
        <f t="shared" si="19"/>
        <v>#REF!</v>
      </c>
      <c r="Q45" s="129" t="e">
        <f t="shared" si="19"/>
        <v>#N/A</v>
      </c>
      <c r="R45" s="129" t="e">
        <f t="shared" si="19"/>
        <v>#N/A</v>
      </c>
      <c r="S45" s="129" t="e">
        <f t="shared" si="19"/>
        <v>#REF!</v>
      </c>
      <c r="T45" s="129" t="e">
        <f t="shared" si="19"/>
        <v>#N/A</v>
      </c>
      <c r="U45" s="129" t="e">
        <f t="shared" si="19"/>
        <v>#N/A</v>
      </c>
      <c r="V45" s="129" t="e">
        <f t="shared" si="19"/>
        <v>#REF!</v>
      </c>
      <c r="W45" s="129" t="e">
        <f t="shared" si="19"/>
        <v>#N/A</v>
      </c>
      <c r="X45" s="129" t="e">
        <f t="shared" si="19"/>
        <v>#N/A</v>
      </c>
      <c r="Y45" s="129" t="e">
        <f t="shared" si="19"/>
        <v>#REF!</v>
      </c>
      <c r="Z45" s="129" t="e">
        <f t="shared" si="19"/>
        <v>#N/A</v>
      </c>
      <c r="AA45" s="129" t="e">
        <f t="shared" si="19"/>
        <v>#REF!</v>
      </c>
      <c r="AB45" s="129" t="e">
        <f t="shared" si="19"/>
        <v>#REF!</v>
      </c>
      <c r="AC45" s="129" t="e">
        <f t="shared" si="19"/>
        <v>#N/A</v>
      </c>
      <c r="AD45" s="129" t="e">
        <f t="shared" si="19"/>
        <v>#N/A</v>
      </c>
      <c r="AE45" s="129" t="e">
        <f t="shared" si="19"/>
        <v>#REF!</v>
      </c>
      <c r="AF45" s="129" t="e">
        <f t="shared" si="19"/>
        <v>#N/A</v>
      </c>
      <c r="AG45" s="129" t="e">
        <f t="shared" si="19"/>
        <v>#N/A</v>
      </c>
      <c r="AH45" s="129" t="e">
        <f t="shared" si="19"/>
        <v>#REF!</v>
      </c>
      <c r="AI45" s="129" t="e">
        <f t="shared" si="19"/>
        <v>#N/A</v>
      </c>
      <c r="AJ45" s="129" t="e">
        <f t="shared" si="19"/>
        <v>#N/A</v>
      </c>
      <c r="AK45" s="129" t="e">
        <f t="shared" si="19"/>
        <v>#REF!</v>
      </c>
      <c r="AL45" s="129" t="e">
        <f t="shared" si="19"/>
        <v>#N/A</v>
      </c>
      <c r="AM45" s="129" t="e">
        <f t="shared" si="19"/>
        <v>#REF!</v>
      </c>
      <c r="AN45" s="130" t="e">
        <f>SUM(D45:AM45)</f>
        <v>#REF!</v>
      </c>
      <c r="AO45" s="134"/>
      <c r="AQ45" s="130" t="e">
        <f t="shared" si="1"/>
        <v>#REF!</v>
      </c>
      <c r="AR45" s="130" t="e">
        <f t="shared" si="2"/>
        <v>#REF!</v>
      </c>
      <c r="AS45" s="130" t="e">
        <f t="shared" si="3"/>
        <v>#REF!</v>
      </c>
      <c r="AT45" s="130" t="e">
        <f t="shared" si="4"/>
        <v>#REF!</v>
      </c>
      <c r="AU45" s="130" t="e">
        <f t="shared" si="5"/>
        <v>#REF!</v>
      </c>
      <c r="AV45" s="130" t="e">
        <f t="shared" si="6"/>
        <v>#REF!</v>
      </c>
      <c r="AW45" s="130" t="e">
        <f t="shared" si="7"/>
        <v>#REF!</v>
      </c>
      <c r="AX45" s="130" t="e">
        <f t="shared" si="8"/>
        <v>#REF!</v>
      </c>
      <c r="AY45" s="130" t="e">
        <f t="shared" si="9"/>
        <v>#REF!</v>
      </c>
      <c r="AZ45" s="130" t="e">
        <f t="shared" si="10"/>
        <v>#REF!</v>
      </c>
      <c r="BA45" s="130" t="e">
        <f t="shared" si="11"/>
        <v>#REF!</v>
      </c>
      <c r="BB45" s="130" t="e">
        <f t="shared" si="12"/>
        <v>#REF!</v>
      </c>
    </row>
    <row r="46" spans="3:54" x14ac:dyDescent="0.3">
      <c r="C46" s="116" t="s">
        <v>148</v>
      </c>
      <c r="D46" s="132" t="e">
        <f>D45</f>
        <v>#REF!</v>
      </c>
      <c r="E46" s="132" t="e">
        <f>D46+E45</f>
        <v>#REF!</v>
      </c>
      <c r="F46" s="132" t="e">
        <f t="shared" ref="F46:G46" si="20">E46+F45</f>
        <v>#REF!</v>
      </c>
      <c r="G46" s="132" t="e">
        <f t="shared" si="20"/>
        <v>#REF!</v>
      </c>
      <c r="H46" s="132" t="e">
        <f t="shared" ref="H46" si="21">G46+H45</f>
        <v>#REF!</v>
      </c>
      <c r="I46" s="132" t="e">
        <f t="shared" ref="I46" si="22">H46+I45</f>
        <v>#REF!</v>
      </c>
      <c r="J46" s="132" t="e">
        <f t="shared" ref="J46" si="23">I46+J45</f>
        <v>#REF!</v>
      </c>
      <c r="K46" s="132" t="e">
        <f t="shared" ref="K46" si="24">J46+K45</f>
        <v>#REF!</v>
      </c>
      <c r="L46" s="132" t="e">
        <f t="shared" ref="L46" si="25">K46+L45</f>
        <v>#REF!</v>
      </c>
      <c r="M46" s="132" t="e">
        <f t="shared" ref="M46" si="26">L46+M45</f>
        <v>#REF!</v>
      </c>
      <c r="N46" s="132" t="e">
        <f t="shared" ref="N46" si="27">M46+N45</f>
        <v>#REF!</v>
      </c>
      <c r="O46" s="132" t="e">
        <f t="shared" ref="O46" si="28">N46+O45</f>
        <v>#REF!</v>
      </c>
      <c r="P46" s="132" t="e">
        <f t="shared" ref="P46" si="29">O46+P45</f>
        <v>#REF!</v>
      </c>
      <c r="Q46" s="132" t="e">
        <f t="shared" ref="Q46" si="30">P46+Q45</f>
        <v>#REF!</v>
      </c>
      <c r="R46" s="132" t="e">
        <f t="shared" ref="R46" si="31">Q46+R45</f>
        <v>#REF!</v>
      </c>
      <c r="S46" s="132" t="e">
        <f t="shared" ref="S46" si="32">R46+S45</f>
        <v>#REF!</v>
      </c>
      <c r="T46" s="132" t="e">
        <f t="shared" ref="T46" si="33">S46+T45</f>
        <v>#REF!</v>
      </c>
      <c r="U46" s="132" t="e">
        <f t="shared" ref="U46" si="34">T46+U45</f>
        <v>#REF!</v>
      </c>
      <c r="V46" s="132" t="e">
        <f t="shared" ref="V46" si="35">U46+V45</f>
        <v>#REF!</v>
      </c>
      <c r="W46" s="132" t="e">
        <f t="shared" ref="W46" si="36">V46+W45</f>
        <v>#REF!</v>
      </c>
      <c r="X46" s="132" t="e">
        <f t="shared" ref="X46" si="37">W46+X45</f>
        <v>#REF!</v>
      </c>
      <c r="Y46" s="132" t="e">
        <f t="shared" ref="Y46" si="38">X46+Y45</f>
        <v>#REF!</v>
      </c>
      <c r="Z46" s="132" t="e">
        <f t="shared" ref="Z46" si="39">Y46+Z45</f>
        <v>#REF!</v>
      </c>
      <c r="AA46" s="132" t="e">
        <f t="shared" ref="AA46" si="40">Z46+AA45</f>
        <v>#REF!</v>
      </c>
      <c r="AB46" s="132" t="e">
        <f t="shared" ref="AB46" si="41">AA46+AB45</f>
        <v>#REF!</v>
      </c>
      <c r="AC46" s="132" t="e">
        <f t="shared" ref="AC46" si="42">AB46+AC45</f>
        <v>#REF!</v>
      </c>
      <c r="AD46" s="132" t="e">
        <f t="shared" ref="AD46" si="43">AC46+AD45</f>
        <v>#REF!</v>
      </c>
      <c r="AE46" s="132" t="e">
        <f t="shared" ref="AE46" si="44">AD46+AE45</f>
        <v>#REF!</v>
      </c>
      <c r="AF46" s="132" t="e">
        <f t="shared" ref="AF46" si="45">AE46+AF45</f>
        <v>#REF!</v>
      </c>
      <c r="AG46" s="132" t="e">
        <f t="shared" ref="AG46" si="46">AF46+AG45</f>
        <v>#REF!</v>
      </c>
      <c r="AH46" s="132" t="e">
        <f t="shared" ref="AH46" si="47">AG46+AH45</f>
        <v>#REF!</v>
      </c>
      <c r="AI46" s="132" t="e">
        <f t="shared" ref="AI46" si="48">AH46+AI45</f>
        <v>#REF!</v>
      </c>
      <c r="AJ46" s="132" t="e">
        <f t="shared" ref="AJ46" si="49">AI46+AJ45</f>
        <v>#REF!</v>
      </c>
      <c r="AK46" s="132" t="e">
        <f t="shared" ref="AK46" si="50">AJ46+AK45</f>
        <v>#REF!</v>
      </c>
      <c r="AL46" s="132" t="e">
        <f t="shared" ref="AL46" si="51">AK46+AL45</f>
        <v>#REF!</v>
      </c>
      <c r="AM46" s="132" t="e">
        <f t="shared" ref="AM46" si="52">AL46+AM45</f>
        <v>#REF!</v>
      </c>
      <c r="AN46" s="130"/>
      <c r="AQ46" s="130" t="e">
        <f>AQ45</f>
        <v>#REF!</v>
      </c>
      <c r="AR46" s="130" t="e">
        <f>AQ46+AR45</f>
        <v>#REF!</v>
      </c>
      <c r="AS46" s="130" t="e">
        <f t="shared" ref="AS46:BB46" si="53">AR46+AS45</f>
        <v>#REF!</v>
      </c>
      <c r="AT46" s="130" t="e">
        <f t="shared" si="53"/>
        <v>#REF!</v>
      </c>
      <c r="AU46" s="130" t="e">
        <f t="shared" si="53"/>
        <v>#REF!</v>
      </c>
      <c r="AV46" s="130" t="e">
        <f t="shared" si="53"/>
        <v>#REF!</v>
      </c>
      <c r="AW46" s="130" t="e">
        <f t="shared" si="53"/>
        <v>#REF!</v>
      </c>
      <c r="AX46" s="130" t="e">
        <f t="shared" si="53"/>
        <v>#REF!</v>
      </c>
      <c r="AY46" s="130" t="e">
        <f t="shared" si="53"/>
        <v>#REF!</v>
      </c>
      <c r="AZ46" s="130" t="e">
        <f t="shared" si="53"/>
        <v>#REF!</v>
      </c>
      <c r="BA46" s="130" t="e">
        <f t="shared" si="53"/>
        <v>#REF!</v>
      </c>
      <c r="BB46" s="130" t="e">
        <f t="shared" si="53"/>
        <v>#REF!</v>
      </c>
    </row>
    <row r="48" spans="3:54" x14ac:dyDescent="0.3">
      <c r="AP48">
        <v>-5000</v>
      </c>
      <c r="AQ48" s="130" t="e">
        <f>AQ45+5000</f>
        <v>#REF!</v>
      </c>
      <c r="AR48" s="130" t="e">
        <f>AR45</f>
        <v>#REF!</v>
      </c>
      <c r="AS48" s="130" t="e">
        <f>AS45</f>
        <v>#REF!</v>
      </c>
      <c r="AT48" s="130" t="e">
        <f>AT45</f>
        <v>#REF!</v>
      </c>
    </row>
    <row r="49" spans="43:46" x14ac:dyDescent="0.3">
      <c r="AQ49" s="130" t="e">
        <f>AP48+AQ48</f>
        <v>#REF!</v>
      </c>
      <c r="AR49" s="130" t="e">
        <f>AQ49+AR48</f>
        <v>#REF!</v>
      </c>
      <c r="AS49" s="130" t="e">
        <f>AR49+AS48</f>
        <v>#REF!</v>
      </c>
      <c r="AT49" s="130" t="e">
        <f>AS49+AT48</f>
        <v>#REF!</v>
      </c>
    </row>
  </sheetData>
  <phoneticPr fontId="6" type="noConversion"/>
  <pageMargins left="0.7" right="0.7" top="0.75" bottom="0.75" header="0.3" footer="0.3"/>
  <pageSetup orientation="portrait" r:id="rId1"/>
  <legacyDrawing r:id="rId2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873C8F6-71DB-485F-8E23-6E35C32E32E8}">
  <sheetPr codeName="Sheet5">
    <tabColor rgb="FFC00000"/>
  </sheetPr>
  <dimension ref="B2:V28"/>
  <sheetViews>
    <sheetView showGridLines="0" zoomScale="70" zoomScaleNormal="70" workbookViewId="0">
      <pane xSplit="3" ySplit="4" topLeftCell="D5" activePane="bottomRight" state="frozen"/>
      <selection pane="topRight" activeCell="B28" sqref="B28"/>
      <selection pane="bottomLeft" activeCell="B28" sqref="B28"/>
      <selection pane="bottomRight" activeCell="C23" sqref="C23:C26"/>
    </sheetView>
  </sheetViews>
  <sheetFormatPr baseColWidth="10" defaultColWidth="10.5546875" defaultRowHeight="14.4" x14ac:dyDescent="0.3"/>
  <cols>
    <col min="1" max="1" width="7.44140625" customWidth="1"/>
    <col min="2" max="2" width="21.44140625" customWidth="1"/>
    <col min="3" max="4" width="35" customWidth="1"/>
    <col min="5" max="5" width="24.44140625" customWidth="1"/>
    <col min="6" max="6" width="21.44140625" bestFit="1" customWidth="1"/>
    <col min="7" max="7" width="20.44140625" customWidth="1"/>
    <col min="8" max="8" width="17.44140625" customWidth="1"/>
    <col min="9" max="11" width="20.44140625" customWidth="1"/>
    <col min="12" max="12" width="18.44140625" customWidth="1"/>
    <col min="13" max="13" width="13.44140625" bestFit="1" customWidth="1"/>
    <col min="14" max="14" width="13.44140625" customWidth="1"/>
    <col min="16" max="16" width="13.44140625" style="137" customWidth="1"/>
    <col min="17" max="17" width="15.44140625" style="137" customWidth="1"/>
    <col min="18" max="18" width="12.44140625" style="137" bestFit="1" customWidth="1"/>
    <col min="19" max="19" width="12.5546875" style="137" bestFit="1" customWidth="1"/>
    <col min="20" max="20" width="12.5546875" style="137" customWidth="1"/>
    <col min="21" max="21" width="13.44140625" style="137" bestFit="1" customWidth="1"/>
  </cols>
  <sheetData>
    <row r="2" spans="2:21" s="94" customFormat="1" ht="24" customHeight="1" x14ac:dyDescent="0.3">
      <c r="B2" s="94" t="s">
        <v>149</v>
      </c>
      <c r="P2" s="136"/>
      <c r="Q2" s="136"/>
      <c r="R2" s="136"/>
      <c r="S2" s="136"/>
      <c r="T2" s="136"/>
      <c r="U2" s="136"/>
    </row>
    <row r="3" spans="2:21" x14ac:dyDescent="0.3">
      <c r="F3" t="s">
        <v>57</v>
      </c>
      <c r="G3" t="s">
        <v>58</v>
      </c>
      <c r="H3" t="s">
        <v>67</v>
      </c>
      <c r="I3" t="s">
        <v>68</v>
      </c>
      <c r="J3" t="s">
        <v>69</v>
      </c>
      <c r="K3" t="s">
        <v>150</v>
      </c>
      <c r="L3" t="s">
        <v>150</v>
      </c>
      <c r="M3" t="s">
        <v>61</v>
      </c>
    </row>
    <row r="4" spans="2:21" s="1" customFormat="1" ht="43.2" x14ac:dyDescent="0.3">
      <c r="B4" s="113" t="s">
        <v>6</v>
      </c>
      <c r="C4" s="113" t="s">
        <v>54</v>
      </c>
      <c r="D4" s="113" t="s">
        <v>20</v>
      </c>
      <c r="E4" s="113" t="s">
        <v>72</v>
      </c>
      <c r="F4" s="113" t="s">
        <v>73</v>
      </c>
      <c r="G4" s="113" t="s">
        <v>77</v>
      </c>
      <c r="H4" s="113" t="s">
        <v>74</v>
      </c>
      <c r="I4" s="113" t="s">
        <v>75</v>
      </c>
      <c r="J4" s="113" t="s">
        <v>76</v>
      </c>
      <c r="K4" s="113" t="s">
        <v>78</v>
      </c>
      <c r="L4" s="113" t="s">
        <v>79</v>
      </c>
      <c r="M4" s="113" t="s">
        <v>80</v>
      </c>
      <c r="N4" s="113" t="s">
        <v>60</v>
      </c>
      <c r="P4" s="138" t="s">
        <v>151</v>
      </c>
      <c r="Q4" s="138" t="s">
        <v>152</v>
      </c>
      <c r="R4" s="138" t="s">
        <v>144</v>
      </c>
      <c r="S4" s="138" t="s">
        <v>87</v>
      </c>
      <c r="T4" s="138" t="s">
        <v>153</v>
      </c>
      <c r="U4" s="138" t="s">
        <v>23</v>
      </c>
    </row>
    <row r="5" spans="2:21" s="1" customFormat="1" x14ac:dyDescent="0.3">
      <c r="B5" s="9" t="s">
        <v>83</v>
      </c>
      <c r="C5" s="10" t="s">
        <v>174</v>
      </c>
      <c r="D5" s="10" t="e">
        <f>'Preise Output'!#REF!</f>
        <v>#REF!</v>
      </c>
      <c r="E5" s="11">
        <v>0</v>
      </c>
      <c r="F5" s="36" t="e">
        <f>$D5*INDEX(Produktpreise!$B$4:$S$26,MATCH(Kosten!$C5,Produktpreise!$C$4:$C$26,0),MATCH(Kosten!F$4,Produktpreise!$B$4:$S$4,0))</f>
        <v>#REF!</v>
      </c>
      <c r="G5" s="11" t="e">
        <f>$D5*INDEX(Produktpreise!$B$4:$S$26,MATCH(Kosten!$C5,Produktpreise!$C$4:$C$26,0),MATCH(Kosten!G$4,Produktpreise!$B$4:$S$4,0))</f>
        <v>#REF!</v>
      </c>
      <c r="H5" s="11" t="e">
        <f>$D5*INDEX(Produktpreise!$B$4:$S$26,MATCH(Kosten!$C5,Produktpreise!$C$4:$C$26,0),MATCH(Kosten!H$4,Produktpreise!$B$4:$S$4,0))</f>
        <v>#REF!</v>
      </c>
      <c r="I5" s="11" t="e">
        <f>$D5*INDEX(Produktpreise!$B$4:$S$26,MATCH(Kosten!$C5,Produktpreise!$C$4:$C$26,0),MATCH(Kosten!I$4,Produktpreise!$B$4:$S$4,0))</f>
        <v>#REF!</v>
      </c>
      <c r="J5" s="11" t="e">
        <f>$D5*INDEX(Produktpreise!$B$4:$S$26,MATCH(Kosten!$C5,Produktpreise!$C$4:$C$26,0),MATCH(Kosten!J$4,Produktpreise!$B$4:$S$4,0))</f>
        <v>#REF!</v>
      </c>
      <c r="K5" s="11"/>
      <c r="L5" s="11" t="e">
        <f>$D5*INDEX(Produktpreise!$B$4:$S$26,MATCH(Kosten!$C5,Produktpreise!$C$4:$C$26,0),MATCH(Kosten!L$4,Produktpreise!$B$4:$S$4,0))</f>
        <v>#REF!</v>
      </c>
      <c r="M5" s="11" t="e">
        <f>$D5*INDEX(Produktpreise!$B$4:$S$26,MATCH(Kosten!$C5,Produktpreise!$C$4:$C$26,0),MATCH(Kosten!M$4,Produktpreise!$B$4:$S$4,0))</f>
        <v>#REF!</v>
      </c>
      <c r="N5" s="11" t="e">
        <f>$D5*INDEX(Produktpreise!$B$4:$S$26,MATCH(Kosten!$C5,Produktpreise!$C$4:$C$26,0),MATCH(Kosten!N$4,Produktpreise!$B$4:$S$4,0))</f>
        <v>#REF!</v>
      </c>
      <c r="P5" s="138" t="e">
        <f>'Preise Output'!#REF!</f>
        <v>#REF!</v>
      </c>
      <c r="Q5" s="138" t="e">
        <f>SUM(F5:G5)</f>
        <v>#REF!</v>
      </c>
      <c r="R5" s="138" t="e">
        <f>H5+I5*2+J5*3+M5*3+N5</f>
        <v>#REF!</v>
      </c>
      <c r="S5" s="138" t="e">
        <f>'Preise Output'!#REF!</f>
        <v>#REF!</v>
      </c>
      <c r="T5" s="138" t="e">
        <f>SUM(Q5:S5)</f>
        <v>#REF!</v>
      </c>
      <c r="U5" s="138" t="e">
        <f>P5-T5</f>
        <v>#REF!</v>
      </c>
    </row>
    <row r="6" spans="2:21" s="1" customFormat="1" x14ac:dyDescent="0.3">
      <c r="B6" s="9" t="s">
        <v>83</v>
      </c>
      <c r="C6" s="10" t="s">
        <v>175</v>
      </c>
      <c r="D6" s="10" t="e">
        <f>'Preise Output'!#REF!</f>
        <v>#REF!</v>
      </c>
      <c r="E6" s="11">
        <v>0</v>
      </c>
      <c r="F6" s="36" t="e">
        <f>$D6*INDEX(Produktpreise!$B$4:$S$26,MATCH(Kosten!$C6,Produktpreise!$C$4:$C$26,0),MATCH(Kosten!F$4,Produktpreise!$B$4:$S$4,0))</f>
        <v>#REF!</v>
      </c>
      <c r="G6" s="11" t="e">
        <f>$D6*INDEX(Produktpreise!$B$4:$S$26,MATCH(Kosten!$C6,Produktpreise!$C$4:$C$26,0),MATCH(Kosten!G$4,Produktpreise!$B$4:$S$4,0))</f>
        <v>#REF!</v>
      </c>
      <c r="H6" s="11" t="e">
        <f>$D6*INDEX(Produktpreise!$B$4:$S$26,MATCH(Kosten!$C6,Produktpreise!$C$4:$C$26,0),MATCH(Kosten!H$4,Produktpreise!$B$4:$S$4,0))</f>
        <v>#REF!</v>
      </c>
      <c r="I6" s="11" t="e">
        <f>$D6*INDEX(Produktpreise!$B$4:$S$26,MATCH(Kosten!$C6,Produktpreise!$C$4:$C$26,0),MATCH(Kosten!I$4,Produktpreise!$B$4:$S$4,0))</f>
        <v>#REF!</v>
      </c>
      <c r="J6" s="11" t="e">
        <f>$D6*INDEX(Produktpreise!$B$4:$S$26,MATCH(Kosten!$C6,Produktpreise!$C$4:$C$26,0),MATCH(Kosten!J$4,Produktpreise!$B$4:$S$4,0))</f>
        <v>#REF!</v>
      </c>
      <c r="K6" s="11"/>
      <c r="L6" s="11" t="e">
        <f>$D6*INDEX(Produktpreise!$B$4:$S$26,MATCH(Kosten!$C6,Produktpreise!$C$4:$C$26,0),MATCH(Kosten!L$4,Produktpreise!$B$4:$S$4,0))</f>
        <v>#REF!</v>
      </c>
      <c r="M6" s="11" t="e">
        <f>$D6*INDEX(Produktpreise!$B$4:$S$26,MATCH(Kosten!$C6,Produktpreise!$C$4:$C$26,0),MATCH(Kosten!M$4,Produktpreise!$B$4:$S$4,0))</f>
        <v>#REF!</v>
      </c>
      <c r="N6" s="11" t="e">
        <f>$D6*INDEX(Produktpreise!$B$4:$S$26,MATCH(Kosten!$C6,Produktpreise!$C$4:$C$26,0),MATCH(Kosten!N$4,Produktpreise!$B$4:$S$4,0))</f>
        <v>#REF!</v>
      </c>
      <c r="P6" s="138" t="e">
        <f>'Preise Output'!#REF!</f>
        <v>#REF!</v>
      </c>
      <c r="Q6" s="138" t="e">
        <f>SUM(F6:G6)</f>
        <v>#REF!</v>
      </c>
      <c r="R6" s="138" t="e">
        <f>H6+I6*2+J6*3+M6*3+N6</f>
        <v>#REF!</v>
      </c>
      <c r="S6" s="138" t="e">
        <f>'Preise Output'!#REF!</f>
        <v>#REF!</v>
      </c>
      <c r="T6" s="138" t="e">
        <f t="shared" ref="T6:T27" si="0">SUM(Q6:S6)</f>
        <v>#REF!</v>
      </c>
      <c r="U6" s="138" t="e">
        <f t="shared" ref="U6:U27" si="1">P6-T6</f>
        <v>#REF!</v>
      </c>
    </row>
    <row r="7" spans="2:21" s="1" customFormat="1" x14ac:dyDescent="0.3">
      <c r="B7" s="9" t="s">
        <v>83</v>
      </c>
      <c r="C7" s="10" t="s">
        <v>181</v>
      </c>
      <c r="D7" s="10" t="e">
        <f>'Preise Output'!#REF!</f>
        <v>#REF!</v>
      </c>
      <c r="E7" s="11">
        <v>0</v>
      </c>
      <c r="F7" s="36" t="e">
        <f>$D7*INDEX(Produktpreise!$B$4:$S$26,MATCH(Kosten!$C7,Produktpreise!$C$4:$C$26,0),MATCH(Kosten!F$4,Produktpreise!$B$4:$S$4,0))</f>
        <v>#REF!</v>
      </c>
      <c r="G7" s="11" t="e">
        <f>$D7*INDEX(Produktpreise!$B$4:$S$26,MATCH(Kosten!$C7,Produktpreise!$C$4:$C$26,0),MATCH(Kosten!G$4,Produktpreise!$B$4:$S$4,0))</f>
        <v>#REF!</v>
      </c>
      <c r="H7" s="11" t="e">
        <f>$D7*INDEX(Produktpreise!$B$4:$S$26,MATCH(Kosten!$C7,Produktpreise!$C$4:$C$26,0),MATCH(Kosten!H$4,Produktpreise!$B$4:$S$4,0))</f>
        <v>#REF!</v>
      </c>
      <c r="I7" s="11" t="e">
        <f>$D7*INDEX(Produktpreise!$B$4:$S$26,MATCH(Kosten!$C7,Produktpreise!$C$4:$C$26,0),MATCH(Kosten!I$4,Produktpreise!$B$4:$S$4,0))</f>
        <v>#REF!</v>
      </c>
      <c r="J7" s="11" t="e">
        <f>$D7*INDEX(Produktpreise!$B$4:$S$26,MATCH(Kosten!$C7,Produktpreise!$C$4:$C$26,0),MATCH(Kosten!J$4,Produktpreise!$B$4:$S$4,0))</f>
        <v>#REF!</v>
      </c>
      <c r="K7" s="11"/>
      <c r="L7" s="11" t="e">
        <f>$D7*INDEX(Produktpreise!$B$4:$S$26,MATCH(Kosten!$C7,Produktpreise!$C$4:$C$26,0),MATCH(Kosten!L$4,Produktpreise!$B$4:$S$4,0))</f>
        <v>#REF!</v>
      </c>
      <c r="M7" s="11" t="e">
        <f>$D7*INDEX(Produktpreise!$B$4:$S$26,MATCH(Kosten!$C7,Produktpreise!$C$4:$C$26,0),MATCH(Kosten!M$4,Produktpreise!$B$4:$S$4,0))</f>
        <v>#REF!</v>
      </c>
      <c r="N7" s="11" t="e">
        <f>$D7*INDEX(Produktpreise!$B$4:$S$26,MATCH(Kosten!$C7,Produktpreise!$C$4:$C$26,0),MATCH(Kosten!N$4,Produktpreise!$B$4:$S$4,0))</f>
        <v>#REF!</v>
      </c>
      <c r="P7" s="138" t="e">
        <f>'Preise Output'!#REF!</f>
        <v>#REF!</v>
      </c>
      <c r="Q7" s="138" t="e">
        <f>SUM(F7:G7)</f>
        <v>#REF!</v>
      </c>
      <c r="R7" s="138" t="e">
        <f>H7+I7*2+J7*3+M7*3+N7</f>
        <v>#REF!</v>
      </c>
      <c r="S7" s="138" t="e">
        <f>'Preise Output'!#REF!</f>
        <v>#REF!</v>
      </c>
      <c r="T7" s="138" t="e">
        <f t="shared" si="0"/>
        <v>#REF!</v>
      </c>
      <c r="U7" s="138" t="e">
        <f t="shared" si="1"/>
        <v>#REF!</v>
      </c>
    </row>
    <row r="8" spans="2:21" s="1" customFormat="1" x14ac:dyDescent="0.3">
      <c r="B8" s="9" t="s">
        <v>83</v>
      </c>
      <c r="C8" s="10" t="s">
        <v>178</v>
      </c>
      <c r="D8" s="10" t="e">
        <f>'Preise Output'!#REF!</f>
        <v>#REF!</v>
      </c>
      <c r="E8" s="11">
        <v>0</v>
      </c>
      <c r="F8" s="36" t="e">
        <f>$D8*INDEX(Produktpreise!$B$4:$S$26,MATCH(Kosten!$C8,Produktpreise!$C$4:$C$26,0),MATCH(Kosten!F$4,Produktpreise!$B$4:$S$4,0))</f>
        <v>#REF!</v>
      </c>
      <c r="G8" s="36" t="e">
        <f>$D8*INDEX(Produktpreise!$B$4:$S$26,MATCH(Kosten!$C8,Produktpreise!$C$4:$C$26,0),MATCH(Kosten!G$4,Produktpreise!$B$4:$S$4,0))</f>
        <v>#REF!</v>
      </c>
      <c r="H8" s="36" t="e">
        <f>$D8*INDEX(Produktpreise!$B$4:$S$26,MATCH(Kosten!$C8,Produktpreise!$C$4:$C$26,0),MATCH(Kosten!H$4,Produktpreise!$B$4:$S$4,0))</f>
        <v>#REF!</v>
      </c>
      <c r="I8" s="36" t="e">
        <f>$D8*INDEX(Produktpreise!$B$4:$S$26,MATCH(Kosten!$C8,Produktpreise!$C$4:$C$26,0),MATCH(Kosten!I$4,Produktpreise!$B$4:$S$4,0))</f>
        <v>#REF!</v>
      </c>
      <c r="J8" s="36" t="e">
        <f>$D8*INDEX(Produktpreise!$B$4:$S$26,MATCH(Kosten!$C8,Produktpreise!$C$4:$C$26,0),MATCH(Kosten!J$4,Produktpreise!$B$4:$S$4,0))</f>
        <v>#REF!</v>
      </c>
      <c r="K8" s="36"/>
      <c r="L8" s="36" t="e">
        <f>$D8*INDEX(Produktpreise!$B$4:$S$26,MATCH(Kosten!$C8,Produktpreise!$C$4:$C$26,0),MATCH(Kosten!L$4,Produktpreise!$B$4:$S$4,0))</f>
        <v>#REF!</v>
      </c>
      <c r="M8" s="36" t="e">
        <f>$D8*INDEX(Produktpreise!$B$4:$S$26,MATCH(Kosten!$C8,Produktpreise!$C$4:$C$26,0),MATCH(Kosten!M$4,Produktpreise!$B$4:$S$4,0))</f>
        <v>#REF!</v>
      </c>
      <c r="N8" s="36" t="e">
        <f>$D8*INDEX(Produktpreise!$B$4:$S$26,MATCH(Kosten!$C8,Produktpreise!$C$4:$C$26,0),MATCH(Kosten!N$4,Produktpreise!$B$4:$S$4,0))</f>
        <v>#REF!</v>
      </c>
      <c r="P8" s="138"/>
      <c r="Q8" s="138"/>
      <c r="R8" s="138"/>
      <c r="S8" s="138"/>
      <c r="T8" s="138"/>
      <c r="U8" s="138"/>
    </row>
    <row r="9" spans="2:21" s="1" customFormat="1" x14ac:dyDescent="0.3">
      <c r="B9" s="9" t="s">
        <v>83</v>
      </c>
      <c r="C9" s="10" t="s">
        <v>33</v>
      </c>
      <c r="D9" s="10" t="e">
        <f>'Preise Output'!#REF!</f>
        <v>#REF!</v>
      </c>
      <c r="E9" s="11">
        <v>0</v>
      </c>
      <c r="F9" s="36" t="e">
        <f>$D9*INDEX(Produktpreise!$B$4:$S$26,MATCH(Kosten!$C9,Produktpreise!$C$4:$C$26,0),MATCH(Kosten!F$4,Produktpreise!$B$4:$S$4,0))</f>
        <v>#REF!</v>
      </c>
      <c r="G9" s="11" t="e">
        <f>$D9*INDEX(Produktpreise!$B$4:$S$26,MATCH(Kosten!$C9,Produktpreise!$C$4:$C$26,0),MATCH(Kosten!G$4,Produktpreise!$B$4:$S$4,0))</f>
        <v>#REF!</v>
      </c>
      <c r="H9" s="11" t="e">
        <f>$D9*INDEX(Produktpreise!$B$4:$S$26,MATCH(Kosten!$C9,Produktpreise!$C$4:$C$26,0),MATCH(Kosten!H$4,Produktpreise!$B$4:$S$4,0))</f>
        <v>#REF!</v>
      </c>
      <c r="I9" s="11" t="e">
        <f>$D9*INDEX(Produktpreise!$B$4:$S$26,MATCH(Kosten!$C9,Produktpreise!$C$4:$C$26,0),MATCH(Kosten!I$4,Produktpreise!$B$4:$S$4,0))</f>
        <v>#REF!</v>
      </c>
      <c r="J9" s="11" t="e">
        <f>$D9*INDEX(Produktpreise!$B$4:$S$26,MATCH(Kosten!$C9,Produktpreise!$C$4:$C$26,0),MATCH(Kosten!J$4,Produktpreise!$B$4:$S$4,0))</f>
        <v>#REF!</v>
      </c>
      <c r="K9" s="11"/>
      <c r="L9" s="11" t="e">
        <f>$D9*INDEX(Produktpreise!$B$4:$S$26,MATCH(Kosten!$C9,Produktpreise!$C$4:$C$26,0),MATCH(Kosten!L$4,Produktpreise!$B$4:$S$4,0))</f>
        <v>#REF!</v>
      </c>
      <c r="M9" s="11" t="e">
        <f>$D9*INDEX(Produktpreise!$B$4:$S$26,MATCH(Kosten!$C9,Produktpreise!$C$4:$C$26,0),MATCH(Kosten!M$4,Produktpreise!$B$4:$S$4,0))</f>
        <v>#REF!</v>
      </c>
      <c r="N9" s="11" t="e">
        <f>$D9*INDEX(Produktpreise!$B$4:$S$26,MATCH(Kosten!$C9,Produktpreise!$C$4:$C$26,0),MATCH(Kosten!N$4,Produktpreise!$B$4:$S$4,0))</f>
        <v>#REF!</v>
      </c>
      <c r="P9" s="138" t="e">
        <f>'Preise Output'!#REF!</f>
        <v>#REF!</v>
      </c>
      <c r="Q9" s="138" t="e">
        <f>SUM(F9:G9)</f>
        <v>#REF!</v>
      </c>
      <c r="R9" s="138" t="e">
        <f>H9+I9*2+J9*3+M9*3+N9</f>
        <v>#REF!</v>
      </c>
      <c r="S9" s="138" t="e">
        <f>'Preise Output'!#REF!</f>
        <v>#REF!</v>
      </c>
      <c r="T9" s="138" t="e">
        <f t="shared" ref="T9" si="2">SUM(Q9:S9)</f>
        <v>#REF!</v>
      </c>
      <c r="U9" s="138" t="e">
        <f t="shared" ref="U9" si="3">P9-T9</f>
        <v>#REF!</v>
      </c>
    </row>
    <row r="10" spans="2:21" s="1" customFormat="1" x14ac:dyDescent="0.3">
      <c r="B10" s="14" t="s">
        <v>85</v>
      </c>
      <c r="C10" s="15" t="s">
        <v>171</v>
      </c>
      <c r="D10" s="15" t="e">
        <f>'Preise Output'!#REF!</f>
        <v>#REF!</v>
      </c>
      <c r="E10" s="16">
        <v>0</v>
      </c>
      <c r="F10" s="16" t="e">
        <f>$D10*INDEX(Produktpreise!$B$4:$S$26,MATCH(Kosten!$C10,Produktpreise!$C$4:$C$26,0),MATCH(Kosten!F$4,Produktpreise!$B$4:$S$4,0))</f>
        <v>#REF!</v>
      </c>
      <c r="G10" s="11" t="e">
        <f>$D10*INDEX(Produktpreise!$B$4:$S$26,MATCH(Kosten!$C10,Produktpreise!$C$4:$C$26,0),MATCH(Kosten!G$4,Produktpreise!$B$4:$S$4,0))</f>
        <v>#REF!</v>
      </c>
      <c r="H10" s="16" t="e">
        <f>$D10*INDEX(Produktpreise!$B$4:$S$26,MATCH(Kosten!$C10,Produktpreise!$C$4:$C$26,0),MATCH(Kosten!H$4,Produktpreise!$B$4:$S$4,0))</f>
        <v>#REF!</v>
      </c>
      <c r="I10" s="16" t="e">
        <f>$D10*INDEX(Produktpreise!$B$4:$S$26,MATCH(Kosten!$C10,Produktpreise!$C$4:$C$26,0),MATCH(Kosten!I$4,Produktpreise!$B$4:$S$4,0))</f>
        <v>#REF!</v>
      </c>
      <c r="J10" s="16" t="e">
        <f>$D10*INDEX(Produktpreise!$B$4:$S$26,MATCH(Kosten!$C10,Produktpreise!$C$4:$C$26,0),MATCH(Kosten!J$4,Produktpreise!$B$4:$S$4,0))</f>
        <v>#REF!</v>
      </c>
      <c r="K10" s="16"/>
      <c r="L10" s="16" t="e">
        <f>$D10*INDEX(Produktpreise!$B$4:$S$26,MATCH(Kosten!$C10,Produktpreise!$C$4:$C$26,0),MATCH(Kosten!L$4,Produktpreise!$B$4:$S$4,0))</f>
        <v>#REF!</v>
      </c>
      <c r="M10" s="16" t="e">
        <f>$D10*INDEX(Produktpreise!$B$4:$S$26,MATCH(Kosten!$C10,Produktpreise!$C$4:$C$26,0),MATCH(Kosten!M$4,Produktpreise!$B$4:$S$4,0))</f>
        <v>#REF!</v>
      </c>
      <c r="N10" s="16" t="e">
        <f>$D10*INDEX(Produktpreise!$B$4:$S$26,MATCH(Kosten!$C10,Produktpreise!$C$4:$C$26,0),MATCH(Kosten!N$4,Produktpreise!$B$4:$S$4,0))</f>
        <v>#REF!</v>
      </c>
      <c r="P10" s="138" t="e">
        <f>'Preise Output'!#REF!</f>
        <v>#REF!</v>
      </c>
      <c r="Q10" s="138" t="e">
        <f t="shared" ref="Q10:Q13" si="4">SUM(F10:G10)</f>
        <v>#REF!</v>
      </c>
      <c r="R10" s="138" t="e">
        <f>H10+I10*2+J10*3+M10*3+N10</f>
        <v>#REF!</v>
      </c>
      <c r="S10" s="138" t="e">
        <f>'Preise Output'!#REF!</f>
        <v>#REF!</v>
      </c>
      <c r="T10" s="138" t="e">
        <f t="shared" si="0"/>
        <v>#REF!</v>
      </c>
      <c r="U10" s="138" t="e">
        <f t="shared" si="1"/>
        <v>#REF!</v>
      </c>
    </row>
    <row r="11" spans="2:21" s="1" customFormat="1" ht="28.8" x14ac:dyDescent="0.3">
      <c r="B11" s="14" t="s">
        <v>85</v>
      </c>
      <c r="C11" s="15" t="s">
        <v>34</v>
      </c>
      <c r="D11" s="15">
        <f>'Preise Output'!D19</f>
        <v>0</v>
      </c>
      <c r="E11" s="16">
        <v>0</v>
      </c>
      <c r="F11" s="16" t="e">
        <f>$D11*INDEX(Produktpreise!$B$4:$S$26,MATCH(Kosten!$C11,Produktpreise!$C$4:$C$26,0),MATCH(Kosten!F$4,Produktpreise!$B$4:$S$4,0))</f>
        <v>#N/A</v>
      </c>
      <c r="G11" s="11" t="e">
        <f>$D11*INDEX(Produktpreise!$B$4:$S$26,MATCH(Kosten!$C11,Produktpreise!$C$4:$C$26,0),MATCH(Kosten!G$4,Produktpreise!$B$4:$S$4,0))</f>
        <v>#N/A</v>
      </c>
      <c r="H11" s="16" t="e">
        <f>$D11*INDEX(Produktpreise!$B$4:$S$26,MATCH(Kosten!$C11,Produktpreise!$C$4:$C$26,0),MATCH(Kosten!H$4,Produktpreise!$B$4:$S$4,0))</f>
        <v>#N/A</v>
      </c>
      <c r="I11" s="16" t="e">
        <f>$D11*INDEX(Produktpreise!$B$4:$S$26,MATCH(Kosten!$C11,Produktpreise!$C$4:$C$26,0),MATCH(Kosten!I$4,Produktpreise!$B$4:$S$4,0))</f>
        <v>#N/A</v>
      </c>
      <c r="J11" s="16" t="e">
        <f>$D11*INDEX(Produktpreise!$B$4:$S$26,MATCH(Kosten!$C11,Produktpreise!$C$4:$C$26,0),MATCH(Kosten!J$4,Produktpreise!$B$4:$S$4,0))</f>
        <v>#N/A</v>
      </c>
      <c r="K11" s="16"/>
      <c r="L11" s="16" t="e">
        <f>$D11*INDEX(Produktpreise!$B$4:$S$26,MATCH(Kosten!$C11,Produktpreise!$C$4:$C$26,0),MATCH(Kosten!L$4,Produktpreise!$B$4:$S$4,0))</f>
        <v>#N/A</v>
      </c>
      <c r="M11" s="16" t="e">
        <f>$D11*INDEX(Produktpreise!$B$4:$S$26,MATCH(Kosten!$C11,Produktpreise!$C$4:$C$26,0),MATCH(Kosten!M$4,Produktpreise!$B$4:$S$4,0))</f>
        <v>#N/A</v>
      </c>
      <c r="N11" s="16" t="e">
        <f>$D11*INDEX(Produktpreise!$B$4:$S$26,MATCH(Kosten!$C11,Produktpreise!$C$4:$C$26,0),MATCH(Kosten!N$4,Produktpreise!$B$4:$S$4,0))</f>
        <v>#N/A</v>
      </c>
      <c r="P11" s="138">
        <f>'Preise Output'!I19</f>
        <v>0</v>
      </c>
      <c r="Q11" s="138" t="e">
        <f t="shared" si="4"/>
        <v>#N/A</v>
      </c>
      <c r="R11" s="138" t="e">
        <f>H11+I11*2+J11*3+M11*3+N11</f>
        <v>#N/A</v>
      </c>
      <c r="S11" s="138">
        <f>'Preise Output'!L19</f>
        <v>0</v>
      </c>
      <c r="T11" s="138" t="e">
        <f t="shared" si="0"/>
        <v>#N/A</v>
      </c>
      <c r="U11" s="138" t="e">
        <f t="shared" si="1"/>
        <v>#N/A</v>
      </c>
    </row>
    <row r="12" spans="2:21" s="5" customFormat="1" ht="28.8" x14ac:dyDescent="0.3">
      <c r="B12" s="19" t="s">
        <v>86</v>
      </c>
      <c r="C12" s="19" t="s">
        <v>35</v>
      </c>
      <c r="D12" s="19">
        <f>'Preise Output'!D20</f>
        <v>0</v>
      </c>
      <c r="E12" s="21"/>
      <c r="F12" s="22" t="e">
        <f>$D12*INDEX(Produktpreise!$B$4:$S$26,MATCH(Kosten!$C12,Produktpreise!$C$4:$C$26,0),MATCH(Kosten!F$4,Produktpreise!$B$4:$S$4,0))</f>
        <v>#N/A</v>
      </c>
      <c r="G12" s="22" t="e">
        <f>$D12*INDEX(Produktpreise!$B$4:$S$26,MATCH(Kosten!$C12,Produktpreise!$C$4:$C$26,0),MATCH(Kosten!G$4,Produktpreise!$B$4:$S$4,0))</f>
        <v>#N/A</v>
      </c>
      <c r="H12" s="22" t="e">
        <f>$D12*INDEX(Produktpreise!$B$4:$S$26,MATCH(Kosten!$C12,Produktpreise!$C$4:$C$26,0),MATCH(Kosten!H$4,Produktpreise!$B$4:$S$4,0))</f>
        <v>#N/A</v>
      </c>
      <c r="I12" s="22" t="e">
        <f>$D12*INDEX(Produktpreise!$B$4:$S$26,MATCH(Kosten!$C12,Produktpreise!$C$4:$C$26,0),MATCH(Kosten!I$4,Produktpreise!$B$4:$S$4,0))</f>
        <v>#N/A</v>
      </c>
      <c r="J12" s="22" t="e">
        <f>$D12*INDEX(Produktpreise!$B$4:$S$26,MATCH(Kosten!$C12,Produktpreise!$C$4:$C$26,0),MATCH(Kosten!J$4,Produktpreise!$B$4:$S$4,0))</f>
        <v>#N/A</v>
      </c>
      <c r="K12" s="22" t="e">
        <f>$D12*INDEX(Produktpreise!$B$4:$S$26,MATCH(Kosten!$C12,Produktpreise!$C$4:$C$26,0),MATCH(Kosten!K$4,Produktpreise!$B$4:$S$4,0))</f>
        <v>#N/A</v>
      </c>
      <c r="L12" s="22" t="e">
        <f>$D12*INDEX(Produktpreise!$B$4:$S$26,MATCH(Kosten!$C12,Produktpreise!$C$4:$C$26,0),MATCH(Kosten!L$4,Produktpreise!$B$4:$S$4,0))</f>
        <v>#N/A</v>
      </c>
      <c r="M12" s="22" t="e">
        <f>$D12*INDEX(Produktpreise!$B$4:$S$26,MATCH(Kosten!$C12,Produktpreise!$C$4:$C$26,0),MATCH(Kosten!M$4,Produktpreise!$B$4:$S$4,0))</f>
        <v>#N/A</v>
      </c>
      <c r="N12" s="22" t="e">
        <f>$D12*INDEX(Produktpreise!$B$4:$S$26,MATCH(Kosten!$C12,Produktpreise!$C$4:$C$26,0),MATCH(Kosten!N$4,Produktpreise!$B$4:$S$4,0))</f>
        <v>#N/A</v>
      </c>
      <c r="P12" s="138">
        <f>'Preise Output'!I20</f>
        <v>0</v>
      </c>
      <c r="Q12" s="138" t="e">
        <f t="shared" si="4"/>
        <v>#N/A</v>
      </c>
      <c r="R12" s="138" t="e">
        <f>H12+I12*2+J12*3+M12*3+N12+L12*3+K12*3</f>
        <v>#N/A</v>
      </c>
      <c r="S12" s="138">
        <f>'Preise Output'!L20</f>
        <v>0</v>
      </c>
      <c r="T12" s="138" t="e">
        <f t="shared" ref="T12:T13" si="5">SUM(Q12:S12)</f>
        <v>#N/A</v>
      </c>
      <c r="U12" s="138" t="e">
        <f t="shared" ref="U12:U13" si="6">P12-T12</f>
        <v>#N/A</v>
      </c>
    </row>
    <row r="13" spans="2:21" s="5" customFormat="1" ht="28.8" x14ac:dyDescent="0.3">
      <c r="B13" s="19" t="s">
        <v>86</v>
      </c>
      <c r="C13" s="19" t="s">
        <v>37</v>
      </c>
      <c r="D13" s="19">
        <f>'Preise Output'!D21</f>
        <v>0</v>
      </c>
      <c r="E13" s="21"/>
      <c r="F13" s="22" t="e">
        <f>$D13*INDEX(Produktpreise!$B$4:$S$26,MATCH(Kosten!$C13,Produktpreise!$C$4:$C$26,0),MATCH(Kosten!F$4,Produktpreise!$B$4:$S$4,0))</f>
        <v>#N/A</v>
      </c>
      <c r="G13" s="22" t="e">
        <f>$D13*INDEX(Produktpreise!$B$4:$S$26,MATCH(Kosten!$C13,Produktpreise!$C$4:$C$26,0),MATCH(Kosten!G$4,Produktpreise!$B$4:$S$4,0))</f>
        <v>#N/A</v>
      </c>
      <c r="H13" s="22" t="e">
        <f>$D13*INDEX(Produktpreise!$B$4:$S$26,MATCH(Kosten!$C13,Produktpreise!$C$4:$C$26,0),MATCH(Kosten!H$4,Produktpreise!$B$4:$S$4,0))</f>
        <v>#N/A</v>
      </c>
      <c r="I13" s="22" t="e">
        <f>$D13*INDEX(Produktpreise!$B$4:$S$26,MATCH(Kosten!$C13,Produktpreise!$C$4:$C$26,0),MATCH(Kosten!I$4,Produktpreise!$B$4:$S$4,0))</f>
        <v>#N/A</v>
      </c>
      <c r="J13" s="22" t="e">
        <f>$D13*INDEX(Produktpreise!$B$4:$S$26,MATCH(Kosten!$C13,Produktpreise!$C$4:$C$26,0),MATCH(Kosten!J$4,Produktpreise!$B$4:$S$4,0))</f>
        <v>#N/A</v>
      </c>
      <c r="K13" s="22" t="e">
        <f>$D13*INDEX(Produktpreise!$B$4:$S$26,MATCH(Kosten!$C13,Produktpreise!$C$4:$C$26,0),MATCH(Kosten!K$4,Produktpreise!$B$4:$S$4,0))</f>
        <v>#N/A</v>
      </c>
      <c r="L13" s="22" t="e">
        <f>$D13*INDEX(Produktpreise!$B$4:$S$26,MATCH(Kosten!$C13,Produktpreise!$C$4:$C$26,0),MATCH(Kosten!L$4,Produktpreise!$B$4:$S$4,0))</f>
        <v>#N/A</v>
      </c>
      <c r="M13" s="22" t="e">
        <f>$D13*INDEX(Produktpreise!$B$4:$S$26,MATCH(Kosten!$C13,Produktpreise!$C$4:$C$26,0),MATCH(Kosten!M$4,Produktpreise!$B$4:$S$4,0))</f>
        <v>#N/A</v>
      </c>
      <c r="N13" s="22" t="e">
        <f>$D13*INDEX(Produktpreise!$B$4:$S$26,MATCH(Kosten!$C13,Produktpreise!$C$4:$C$26,0),MATCH(Kosten!N$4,Produktpreise!$B$4:$S$4,0))</f>
        <v>#N/A</v>
      </c>
      <c r="P13" s="138">
        <f>'Preise Output'!I21</f>
        <v>0</v>
      </c>
      <c r="Q13" s="138" t="e">
        <f t="shared" si="4"/>
        <v>#N/A</v>
      </c>
      <c r="R13" s="138" t="e">
        <f>H13+I13*2+J13*3+M13*3+N13+L13*3+K13*3</f>
        <v>#N/A</v>
      </c>
      <c r="S13" s="138">
        <f>'Preise Output'!L21</f>
        <v>0</v>
      </c>
      <c r="T13" s="138" t="e">
        <f t="shared" si="5"/>
        <v>#N/A</v>
      </c>
      <c r="U13" s="138" t="e">
        <f t="shared" si="6"/>
        <v>#N/A</v>
      </c>
    </row>
    <row r="14" spans="2:21" s="5" customFormat="1" x14ac:dyDescent="0.3">
      <c r="B14" s="19" t="s">
        <v>86</v>
      </c>
      <c r="C14" s="19" t="s">
        <v>38</v>
      </c>
      <c r="D14" s="19">
        <f>'Preise Output'!D22</f>
        <v>0</v>
      </c>
      <c r="E14" s="21"/>
      <c r="F14" s="22" t="e">
        <f>$D14*INDEX(Produktpreise!$B$4:$S$26,MATCH(Kosten!$C14,Produktpreise!$C$4:$C$26,0),MATCH(Kosten!F$4,Produktpreise!$B$4:$S$4,0))</f>
        <v>#N/A</v>
      </c>
      <c r="G14" s="22" t="e">
        <f>$D14*INDEX(Produktpreise!$B$4:$S$26,MATCH(Kosten!$C14,Produktpreise!$C$4:$C$26,0),MATCH(Kosten!G$4,Produktpreise!$B$4:$S$4,0))</f>
        <v>#N/A</v>
      </c>
      <c r="H14" s="22" t="e">
        <f>$D14*INDEX(Produktpreise!$B$4:$S$26,MATCH(Kosten!$C14,Produktpreise!$C$4:$C$26,0),MATCH(Kosten!H$4,Produktpreise!$B$4:$S$4,0))</f>
        <v>#N/A</v>
      </c>
      <c r="I14" s="22" t="e">
        <f>$D14*INDEX(Produktpreise!$B$4:$S$26,MATCH(Kosten!$C14,Produktpreise!$C$4:$C$26,0),MATCH(Kosten!I$4,Produktpreise!$B$4:$S$4,0))</f>
        <v>#N/A</v>
      </c>
      <c r="J14" s="22" t="e">
        <f>$D14*INDEX(Produktpreise!$B$4:$S$26,MATCH(Kosten!$C14,Produktpreise!$C$4:$C$26,0),MATCH(Kosten!J$4,Produktpreise!$B$4:$S$4,0))</f>
        <v>#N/A</v>
      </c>
      <c r="K14" s="22" t="e">
        <f>$D14*INDEX(Produktpreise!$B$4:$S$26,MATCH(Kosten!$C14,Produktpreise!$C$4:$C$26,0),MATCH(Kosten!K$4,Produktpreise!$B$4:$S$4,0))</f>
        <v>#N/A</v>
      </c>
      <c r="L14" s="22" t="e">
        <f>$D14*INDEX(Produktpreise!$B$4:$S$26,MATCH(Kosten!$C14,Produktpreise!$C$4:$C$26,0),MATCH(Kosten!L$4,Produktpreise!$B$4:$S$4,0))</f>
        <v>#N/A</v>
      </c>
      <c r="M14" s="22" t="e">
        <f>$D14*INDEX(Produktpreise!$B$4:$S$26,MATCH(Kosten!$C14,Produktpreise!$C$4:$C$26,0),MATCH(Kosten!M$4,Produktpreise!$B$4:$S$4,0))</f>
        <v>#N/A</v>
      </c>
      <c r="N14" s="22" t="e">
        <f>$D14*INDEX(Produktpreise!$B$4:$S$26,MATCH(Kosten!$C14,Produktpreise!$C$4:$C$26,0),MATCH(Kosten!N$4,Produktpreise!$B$4:$S$4,0))</f>
        <v>#N/A</v>
      </c>
      <c r="P14" s="138">
        <f>'Preise Output'!I22</f>
        <v>0</v>
      </c>
      <c r="Q14" s="138" t="e">
        <f t="shared" ref="Q14" si="7">SUM(F14:G14)</f>
        <v>#N/A</v>
      </c>
      <c r="R14" s="138" t="e">
        <f>H14+I14*2+J14*3+M14*3+N14+L14*3+K14*3</f>
        <v>#N/A</v>
      </c>
      <c r="S14" s="138">
        <f>'Preise Output'!L22</f>
        <v>0</v>
      </c>
      <c r="T14" s="138" t="e">
        <f t="shared" ref="T14" si="8">SUM(Q14:S14)</f>
        <v>#N/A</v>
      </c>
      <c r="U14" s="138" t="e">
        <f t="shared" ref="U14" si="9">P14-T14</f>
        <v>#N/A</v>
      </c>
    </row>
    <row r="15" spans="2:21" s="1" customFormat="1" x14ac:dyDescent="0.3">
      <c r="B15" s="31" t="s">
        <v>87</v>
      </c>
      <c r="C15" s="32" t="s">
        <v>39</v>
      </c>
      <c r="D15" s="32">
        <f>'Preise Output'!D23</f>
        <v>0</v>
      </c>
      <c r="E15" s="33" t="e">
        <f>$D15*INDEX(Produktpreise!$B$4:$S$26,MATCH(Kosten!$C15,Produktpreise!$C$4:$C$26,0),MATCH(Kosten!E$4,Produktpreise!$B$4:$S$4,0))</f>
        <v>#N/A</v>
      </c>
      <c r="F15" s="33" t="e">
        <f>$D15*INDEX(Produktpreise!$B$4:$S$26,MATCH(Kosten!$C15,Produktpreise!$C$4:$C$26,0),MATCH(Kosten!F$4,Produktpreise!$B$4:$S$4,0))</f>
        <v>#N/A</v>
      </c>
      <c r="G15" s="33" t="e">
        <f>$D15*INDEX(Produktpreise!$B$4:$S$26,MATCH(Kosten!$C15,Produktpreise!$C$4:$C$26,0),MATCH(Kosten!G$4,Produktpreise!$B$4:$S$4,0))</f>
        <v>#N/A</v>
      </c>
      <c r="H15" s="33" t="e">
        <f>$D15*INDEX(Produktpreise!$B$4:$S$26,MATCH(Kosten!$C15,Produktpreise!$C$4:$C$26,0),MATCH(Kosten!H$4,Produktpreise!$B$4:$S$4,0))</f>
        <v>#N/A</v>
      </c>
      <c r="I15" s="33" t="e">
        <f>$D15*INDEX(Produktpreise!$B$4:$S$26,MATCH(Kosten!$C15,Produktpreise!$C$4:$C$26,0),MATCH(Kosten!I$4,Produktpreise!$B$4:$S$4,0))</f>
        <v>#N/A</v>
      </c>
      <c r="J15" s="33" t="e">
        <f>$D15*INDEX(Produktpreise!$B$4:$S$26,MATCH(Kosten!$C15,Produktpreise!$C$4:$C$26,0),MATCH(Kosten!J$4,Produktpreise!$B$4:$S$4,0))</f>
        <v>#N/A</v>
      </c>
      <c r="K15" s="33"/>
      <c r="L15" s="33" t="e">
        <f>$D15*INDEX(Produktpreise!$B$4:$S$26,MATCH(Kosten!$C15,Produktpreise!$C$4:$C$26,0),MATCH(Kosten!L$4,Produktpreise!$B$4:$S$4,0))</f>
        <v>#N/A</v>
      </c>
      <c r="M15" s="33" t="e">
        <f>$D15*INDEX(Produktpreise!$B$4:$S$26,MATCH(Kosten!$C15,Produktpreise!$C$4:$C$26,0),MATCH(Kosten!M$4,Produktpreise!$B$4:$S$4,0))</f>
        <v>#N/A</v>
      </c>
      <c r="N15" s="33" t="e">
        <f>$D15*INDEX(Produktpreise!$B$4:$S$26,MATCH(Kosten!$C15,Produktpreise!$C$4:$C$26,0),MATCH(Kosten!N$4,Produktpreise!$B$4:$S$4,0))</f>
        <v>#N/A</v>
      </c>
      <c r="P15" s="138">
        <f>'Preise Output'!I23</f>
        <v>0</v>
      </c>
      <c r="Q15" s="138" t="e">
        <f>F15*36+G15+E15</f>
        <v>#N/A</v>
      </c>
      <c r="R15" s="138" t="e">
        <f>H15+I15*2+J15*3+M15*3+N15</f>
        <v>#N/A</v>
      </c>
      <c r="S15" s="138">
        <f>'Preise Output'!L23</f>
        <v>0</v>
      </c>
      <c r="T15" s="138" t="e">
        <f t="shared" si="0"/>
        <v>#N/A</v>
      </c>
      <c r="U15" s="138" t="e">
        <f t="shared" si="1"/>
        <v>#N/A</v>
      </c>
    </row>
    <row r="16" spans="2:21" s="1" customFormat="1" x14ac:dyDescent="0.3">
      <c r="B16" s="31" t="s">
        <v>87</v>
      </c>
      <c r="C16" s="32" t="s">
        <v>40</v>
      </c>
      <c r="D16" s="32">
        <f>'Preise Output'!D24</f>
        <v>1</v>
      </c>
      <c r="E16" s="33"/>
      <c r="F16" s="33" t="e">
        <f>$D16*INDEX(Produktpreise!$B$4:$S$26,MATCH(Kosten!$C16,Produktpreise!$C$4:$C$26,0),MATCH(Kosten!F$4,Produktpreise!$B$4:$S$4,0))</f>
        <v>#N/A</v>
      </c>
      <c r="G16" s="33" t="e">
        <f>$D16*INDEX(Produktpreise!$B$4:$S$26,MATCH(Kosten!$C16,Produktpreise!$C$4:$C$26,0),MATCH(Kosten!G$4,Produktpreise!$B$4:$S$4,0))</f>
        <v>#N/A</v>
      </c>
      <c r="H16" s="33" t="e">
        <f>$D16*INDEX(Produktpreise!$B$4:$S$26,MATCH(Kosten!$C16,Produktpreise!$C$4:$C$26,0),MATCH(Kosten!H$4,Produktpreise!$B$4:$S$4,0))</f>
        <v>#N/A</v>
      </c>
      <c r="I16" s="33" t="e">
        <f>$D16*INDEX(Produktpreise!$B$4:$S$26,MATCH(Kosten!$C16,Produktpreise!$C$4:$C$26,0),MATCH(Kosten!I$4,Produktpreise!$B$4:$S$4,0))</f>
        <v>#N/A</v>
      </c>
      <c r="J16" s="33" t="e">
        <f>$D16*INDEX(Produktpreise!$B$4:$S$26,MATCH(Kosten!$C16,Produktpreise!$C$4:$C$26,0),MATCH(Kosten!J$4,Produktpreise!$B$4:$S$4,0))</f>
        <v>#N/A</v>
      </c>
      <c r="K16" s="33"/>
      <c r="L16" s="33" t="e">
        <f>$D16*INDEX(Produktpreise!$B$4:$S$26,MATCH(Kosten!$C16,Produktpreise!$C$4:$C$26,0),MATCH(Kosten!L$4,Produktpreise!$B$4:$S$4,0))</f>
        <v>#N/A</v>
      </c>
      <c r="M16" s="33" t="e">
        <f>$D16*INDEX(Produktpreise!$B$4:$S$26,MATCH(Kosten!$C16,Produktpreise!$C$4:$C$26,0),MATCH(Kosten!M$4,Produktpreise!$B$4:$S$4,0))</f>
        <v>#N/A</v>
      </c>
      <c r="N16" s="33" t="e">
        <f>$D16*INDEX(Produktpreise!$B$4:$S$26,MATCH(Kosten!$C16,Produktpreise!$C$4:$C$26,0),MATCH(Kosten!N$4,Produktpreise!$B$4:$S$4,0))</f>
        <v>#N/A</v>
      </c>
      <c r="P16" s="138">
        <f>'Preise Output'!I24</f>
        <v>44022</v>
      </c>
      <c r="Q16" s="138" t="e">
        <f>SUM(F16:G16)</f>
        <v>#N/A</v>
      </c>
      <c r="R16" s="138" t="e">
        <f t="shared" ref="R16:R26" si="10">H16+I16*2+J16*3+M16*3+N16</f>
        <v>#N/A</v>
      </c>
      <c r="S16" s="138">
        <f>'Preise Output'!L24</f>
        <v>0</v>
      </c>
      <c r="T16" s="138" t="e">
        <f t="shared" si="0"/>
        <v>#N/A</v>
      </c>
      <c r="U16" s="138" t="e">
        <f t="shared" si="1"/>
        <v>#N/A</v>
      </c>
    </row>
    <row r="17" spans="2:22" s="5" customFormat="1" x14ac:dyDescent="0.3">
      <c r="B17" s="25" t="s">
        <v>88</v>
      </c>
      <c r="C17" s="25" t="s">
        <v>41</v>
      </c>
      <c r="D17" s="25" t="e">
        <f>'Preise Output'!#REF!</f>
        <v>#REF!</v>
      </c>
      <c r="E17" s="26">
        <v>0</v>
      </c>
      <c r="F17" s="27" t="e">
        <f>$D17*INDEX(Produktpreise!$B$4:$S$26,MATCH(Kosten!$C17,Produktpreise!$C$4:$C$26,0),MATCH(Kosten!F$4,Produktpreise!$B$4:$S$4,0))</f>
        <v>#REF!</v>
      </c>
      <c r="G17" s="27" t="e">
        <f>$D17*INDEX(Produktpreise!$B$4:$S$26,MATCH(Kosten!$C17,Produktpreise!$C$4:$C$26,0),MATCH(Kosten!G$4,Produktpreise!$B$4:$S$4,0))</f>
        <v>#REF!</v>
      </c>
      <c r="H17" s="27" t="e">
        <f>$D17*INDEX(Produktpreise!$B$4:$S$26,MATCH(Kosten!$C17,Produktpreise!$C$4:$C$26,0),MATCH(Kosten!H$4,Produktpreise!$B$4:$S$4,0))</f>
        <v>#REF!</v>
      </c>
      <c r="I17" s="27" t="e">
        <f>$D17*INDEX(Produktpreise!$B$4:$S$26,MATCH(Kosten!$C17,Produktpreise!$C$4:$C$26,0),MATCH(Kosten!I$4,Produktpreise!$B$4:$S$4,0))</f>
        <v>#REF!</v>
      </c>
      <c r="J17" s="27" t="e">
        <f>$D17*INDEX(Produktpreise!$B$4:$S$26,MATCH(Kosten!$C17,Produktpreise!$C$4:$C$26,0),MATCH(Kosten!J$4,Produktpreise!$B$4:$S$4,0))</f>
        <v>#REF!</v>
      </c>
      <c r="K17" s="27"/>
      <c r="L17" s="27" t="e">
        <f>$D17*INDEX(Produktpreise!$B$4:$S$26,MATCH(Kosten!$C17,Produktpreise!$C$4:$C$26,0),MATCH(Kosten!L$4,Produktpreise!$B$4:$S$4,0))</f>
        <v>#REF!</v>
      </c>
      <c r="M17" s="27" t="e">
        <f>$D17*INDEX(Produktpreise!$B$4:$S$26,MATCH(Kosten!$C17,Produktpreise!$C$4:$C$26,0),MATCH(Kosten!M$4,Produktpreise!$B$4:$S$4,0))</f>
        <v>#REF!</v>
      </c>
      <c r="N17" s="27" t="e">
        <f>$D17*INDEX(Produktpreise!$B$4:$S$26,MATCH(Kosten!$C17,Produktpreise!$C$4:$C$26,0),MATCH(Kosten!N$4,Produktpreise!$B$4:$S$4,0))</f>
        <v>#REF!</v>
      </c>
      <c r="P17" s="138" t="e">
        <f>'Preise Output'!#REF!</f>
        <v>#REF!</v>
      </c>
      <c r="Q17" s="138" t="e">
        <f t="shared" ref="Q17:Q26" si="11">F17*36+G17</f>
        <v>#REF!</v>
      </c>
      <c r="R17" s="138" t="e">
        <f t="shared" si="10"/>
        <v>#REF!</v>
      </c>
      <c r="S17" s="138" t="e">
        <f>'Preise Output'!#REF!</f>
        <v>#REF!</v>
      </c>
      <c r="T17" s="138" t="e">
        <f t="shared" si="0"/>
        <v>#REF!</v>
      </c>
      <c r="U17" s="138" t="e">
        <f t="shared" si="1"/>
        <v>#REF!</v>
      </c>
    </row>
    <row r="18" spans="2:22" s="5" customFormat="1" x14ac:dyDescent="0.3">
      <c r="B18" s="25" t="s">
        <v>88</v>
      </c>
      <c r="C18" s="25" t="s">
        <v>42</v>
      </c>
      <c r="D18" s="25" t="e">
        <f>'Preise Output'!#REF!</f>
        <v>#REF!</v>
      </c>
      <c r="E18" s="26">
        <v>0</v>
      </c>
      <c r="F18" s="27" t="e">
        <f>$D18*INDEX(Produktpreise!$B$4:$S$26,MATCH(Kosten!$C18,Produktpreise!$C$4:$C$26,0),MATCH(Kosten!F$4,Produktpreise!$B$4:$S$4,0))</f>
        <v>#REF!</v>
      </c>
      <c r="G18" s="27" t="e">
        <f>$D18*INDEX(Produktpreise!$B$4:$S$26,MATCH(Kosten!$C18,Produktpreise!$C$4:$C$26,0),MATCH(Kosten!G$4,Produktpreise!$B$4:$S$4,0))</f>
        <v>#REF!</v>
      </c>
      <c r="H18" s="27" t="e">
        <f>$D18*INDEX(Produktpreise!$B$4:$S$26,MATCH(Kosten!$C18,Produktpreise!$C$4:$C$26,0),MATCH(Kosten!H$4,Produktpreise!$B$4:$S$4,0))</f>
        <v>#REF!</v>
      </c>
      <c r="I18" s="27" t="e">
        <f>$D18*INDEX(Produktpreise!$B$4:$S$26,MATCH(Kosten!$C18,Produktpreise!$C$4:$C$26,0),MATCH(Kosten!I$4,Produktpreise!$B$4:$S$4,0))</f>
        <v>#REF!</v>
      </c>
      <c r="J18" s="27" t="e">
        <f>$D18*INDEX(Produktpreise!$B$4:$S$26,MATCH(Kosten!$C18,Produktpreise!$C$4:$C$26,0),MATCH(Kosten!J$4,Produktpreise!$B$4:$S$4,0))</f>
        <v>#REF!</v>
      </c>
      <c r="K18" s="27"/>
      <c r="L18" s="27" t="e">
        <f>$D18*INDEX(Produktpreise!$B$4:$S$26,MATCH(Kosten!$C18,Produktpreise!$C$4:$C$26,0),MATCH(Kosten!L$4,Produktpreise!$B$4:$S$4,0))</f>
        <v>#REF!</v>
      </c>
      <c r="M18" s="27" t="e">
        <f>$D18*INDEX(Produktpreise!$B$4:$S$26,MATCH(Kosten!$C18,Produktpreise!$C$4:$C$26,0),MATCH(Kosten!M$4,Produktpreise!$B$4:$S$4,0))</f>
        <v>#REF!</v>
      </c>
      <c r="N18" s="27" t="e">
        <f>$D18*INDEX(Produktpreise!$B$4:$S$26,MATCH(Kosten!$C18,Produktpreise!$C$4:$C$26,0),MATCH(Kosten!N$4,Produktpreise!$B$4:$S$4,0))</f>
        <v>#REF!</v>
      </c>
      <c r="P18" s="138" t="e">
        <f>'Preise Output'!#REF!</f>
        <v>#REF!</v>
      </c>
      <c r="Q18" s="138" t="e">
        <f t="shared" si="11"/>
        <v>#REF!</v>
      </c>
      <c r="R18" s="138" t="e">
        <f t="shared" si="10"/>
        <v>#REF!</v>
      </c>
      <c r="S18" s="138" t="e">
        <f>'Preise Output'!#REF!</f>
        <v>#REF!</v>
      </c>
      <c r="T18" s="138" t="e">
        <f t="shared" si="0"/>
        <v>#REF!</v>
      </c>
      <c r="U18" s="138" t="e">
        <f t="shared" si="1"/>
        <v>#REF!</v>
      </c>
    </row>
    <row r="19" spans="2:22" s="5" customFormat="1" x14ac:dyDescent="0.3">
      <c r="B19" s="25" t="s">
        <v>88</v>
      </c>
      <c r="C19" s="25" t="s">
        <v>43</v>
      </c>
      <c r="D19" s="25" t="e">
        <f>'Preise Output'!#REF!</f>
        <v>#REF!</v>
      </c>
      <c r="E19" s="26">
        <v>0</v>
      </c>
      <c r="F19" s="27" t="e">
        <f>$D19*INDEX(Produktpreise!$B$4:$S$26,MATCH(Kosten!$C19,Produktpreise!$C$4:$C$26,0),MATCH(Kosten!F$4,Produktpreise!$B$4:$S$4,0))</f>
        <v>#REF!</v>
      </c>
      <c r="G19" s="27" t="e">
        <f>$D19*INDEX(Produktpreise!$B$4:$S$26,MATCH(Kosten!$C19,Produktpreise!$C$4:$C$26,0),MATCH(Kosten!G$4,Produktpreise!$B$4:$S$4,0))</f>
        <v>#REF!</v>
      </c>
      <c r="H19" s="27" t="e">
        <f>$D19*INDEX(Produktpreise!$B$4:$S$26,MATCH(Kosten!$C19,Produktpreise!$C$4:$C$26,0),MATCH(Kosten!H$4,Produktpreise!$B$4:$S$4,0))</f>
        <v>#REF!</v>
      </c>
      <c r="I19" s="27" t="e">
        <f>$D19*INDEX(Produktpreise!$B$4:$S$26,MATCH(Kosten!$C19,Produktpreise!$C$4:$C$26,0),MATCH(Kosten!I$4,Produktpreise!$B$4:$S$4,0))</f>
        <v>#REF!</v>
      </c>
      <c r="J19" s="27" t="e">
        <f>$D19*INDEX(Produktpreise!$B$4:$S$26,MATCH(Kosten!$C19,Produktpreise!$C$4:$C$26,0),MATCH(Kosten!J$4,Produktpreise!$B$4:$S$4,0))</f>
        <v>#REF!</v>
      </c>
      <c r="K19" s="27"/>
      <c r="L19" s="27" t="e">
        <f>$D19*INDEX(Produktpreise!$B$4:$S$26,MATCH(Kosten!$C19,Produktpreise!$C$4:$C$26,0),MATCH(Kosten!L$4,Produktpreise!$B$4:$S$4,0))</f>
        <v>#REF!</v>
      </c>
      <c r="M19" s="27" t="e">
        <f>$D19*INDEX(Produktpreise!$B$4:$S$26,MATCH(Kosten!$C19,Produktpreise!$C$4:$C$26,0),MATCH(Kosten!M$4,Produktpreise!$B$4:$S$4,0))</f>
        <v>#REF!</v>
      </c>
      <c r="N19" s="27" t="e">
        <f>$D19*INDEX(Produktpreise!$B$4:$S$26,MATCH(Kosten!$C19,Produktpreise!$C$4:$C$26,0),MATCH(Kosten!N$4,Produktpreise!$B$4:$S$4,0))</f>
        <v>#REF!</v>
      </c>
      <c r="P19" s="138" t="e">
        <f>'Preise Output'!#REF!</f>
        <v>#REF!</v>
      </c>
      <c r="Q19" s="138" t="e">
        <f t="shared" si="11"/>
        <v>#REF!</v>
      </c>
      <c r="R19" s="138" t="e">
        <f t="shared" si="10"/>
        <v>#REF!</v>
      </c>
      <c r="S19" s="138" t="e">
        <f>'Preise Output'!#REF!</f>
        <v>#REF!</v>
      </c>
      <c r="T19" s="138" t="e">
        <f t="shared" si="0"/>
        <v>#REF!</v>
      </c>
      <c r="U19" s="138" t="e">
        <f t="shared" si="1"/>
        <v>#REF!</v>
      </c>
    </row>
    <row r="20" spans="2:22" s="5" customFormat="1" x14ac:dyDescent="0.3">
      <c r="B20" s="25" t="s">
        <v>88</v>
      </c>
      <c r="C20" s="25" t="s">
        <v>44</v>
      </c>
      <c r="D20" s="25" t="e">
        <f>'Preise Output'!#REF!</f>
        <v>#REF!</v>
      </c>
      <c r="E20" s="26">
        <v>0</v>
      </c>
      <c r="F20" s="27" t="e">
        <f>$D20*INDEX(Produktpreise!$B$4:$S$26,MATCH(Kosten!$C20,Produktpreise!$C$4:$C$26,0),MATCH(Kosten!F$4,Produktpreise!$B$4:$S$4,0))</f>
        <v>#REF!</v>
      </c>
      <c r="G20" s="27" t="e">
        <f>$D20*INDEX(Produktpreise!$B$4:$S$26,MATCH(Kosten!$C20,Produktpreise!$C$4:$C$26,0),MATCH(Kosten!G$4,Produktpreise!$B$4:$S$4,0))</f>
        <v>#REF!</v>
      </c>
      <c r="H20" s="27" t="e">
        <f>$D20*INDEX(Produktpreise!$B$4:$S$26,MATCH(Kosten!$C20,Produktpreise!$C$4:$C$26,0),MATCH(Kosten!H$4,Produktpreise!$B$4:$S$4,0))</f>
        <v>#REF!</v>
      </c>
      <c r="I20" s="27" t="e">
        <f>$D20*INDEX(Produktpreise!$B$4:$S$26,MATCH(Kosten!$C20,Produktpreise!$C$4:$C$26,0),MATCH(Kosten!I$4,Produktpreise!$B$4:$S$4,0))</f>
        <v>#REF!</v>
      </c>
      <c r="J20" s="27" t="e">
        <f>$D20*INDEX(Produktpreise!$B$4:$S$26,MATCH(Kosten!$C20,Produktpreise!$C$4:$C$26,0),MATCH(Kosten!J$4,Produktpreise!$B$4:$S$4,0))</f>
        <v>#REF!</v>
      </c>
      <c r="K20" s="27"/>
      <c r="L20" s="27" t="e">
        <f>$D20*INDEX(Produktpreise!$B$4:$S$26,MATCH(Kosten!$C20,Produktpreise!$C$4:$C$26,0),MATCH(Kosten!L$4,Produktpreise!$B$4:$S$4,0))</f>
        <v>#REF!</v>
      </c>
      <c r="M20" s="27" t="e">
        <f>$D20*INDEX(Produktpreise!$B$4:$S$26,MATCH(Kosten!$C20,Produktpreise!$C$4:$C$26,0),MATCH(Kosten!M$4,Produktpreise!$B$4:$S$4,0))</f>
        <v>#REF!</v>
      </c>
      <c r="N20" s="27" t="e">
        <f>$D20*INDEX(Produktpreise!$B$4:$S$26,MATCH(Kosten!$C20,Produktpreise!$C$4:$C$26,0),MATCH(Kosten!N$4,Produktpreise!$B$4:$S$4,0))</f>
        <v>#REF!</v>
      </c>
      <c r="P20" s="138" t="e">
        <f>'Preise Output'!#REF!</f>
        <v>#REF!</v>
      </c>
      <c r="Q20" s="138" t="e">
        <f t="shared" si="11"/>
        <v>#REF!</v>
      </c>
      <c r="R20" s="138" t="e">
        <f t="shared" si="10"/>
        <v>#REF!</v>
      </c>
      <c r="S20" s="138" t="e">
        <f>'Preise Output'!#REF!</f>
        <v>#REF!</v>
      </c>
      <c r="T20" s="138" t="e">
        <f t="shared" si="0"/>
        <v>#REF!</v>
      </c>
      <c r="U20" s="138" t="e">
        <f t="shared" si="1"/>
        <v>#REF!</v>
      </c>
    </row>
    <row r="21" spans="2:22" s="5" customFormat="1" x14ac:dyDescent="0.3">
      <c r="B21" s="25" t="s">
        <v>88</v>
      </c>
      <c r="C21" s="25" t="s">
        <v>45</v>
      </c>
      <c r="D21" s="25" t="e">
        <f>'Preise Output'!#REF!</f>
        <v>#REF!</v>
      </c>
      <c r="E21" s="26">
        <v>0</v>
      </c>
      <c r="F21" s="27" t="e">
        <f>$D21*INDEX(Produktpreise!$B$4:$S$26,MATCH(Kosten!$C21,Produktpreise!$C$4:$C$26,0),MATCH(Kosten!F$4,Produktpreise!$B$4:$S$4,0))</f>
        <v>#REF!</v>
      </c>
      <c r="G21" s="27" t="e">
        <f>$D21*INDEX(Produktpreise!$B$4:$S$26,MATCH(Kosten!$C21,Produktpreise!$C$4:$C$26,0),MATCH(Kosten!G$4,Produktpreise!$B$4:$S$4,0))</f>
        <v>#REF!</v>
      </c>
      <c r="H21" s="27" t="e">
        <f>$D21*INDEX(Produktpreise!$B$4:$S$26,MATCH(Kosten!$C21,Produktpreise!$C$4:$C$26,0),MATCH(Kosten!H$4,Produktpreise!$B$4:$S$4,0))</f>
        <v>#REF!</v>
      </c>
      <c r="I21" s="27" t="e">
        <f>$D21*INDEX(Produktpreise!$B$4:$S$26,MATCH(Kosten!$C21,Produktpreise!$C$4:$C$26,0),MATCH(Kosten!I$4,Produktpreise!$B$4:$S$4,0))</f>
        <v>#REF!</v>
      </c>
      <c r="J21" s="27" t="e">
        <f>$D21*INDEX(Produktpreise!$B$4:$S$26,MATCH(Kosten!$C21,Produktpreise!$C$4:$C$26,0),MATCH(Kosten!J$4,Produktpreise!$B$4:$S$4,0))</f>
        <v>#REF!</v>
      </c>
      <c r="K21" s="27"/>
      <c r="L21" s="27" t="e">
        <f>$D21*INDEX(Produktpreise!$B$4:$S$26,MATCH(Kosten!$C21,Produktpreise!$C$4:$C$26,0),MATCH(Kosten!L$4,Produktpreise!$B$4:$S$4,0))</f>
        <v>#REF!</v>
      </c>
      <c r="M21" s="27" t="e">
        <f>$D21*INDEX(Produktpreise!$B$4:$S$26,MATCH(Kosten!$C21,Produktpreise!$C$4:$C$26,0),MATCH(Kosten!M$4,Produktpreise!$B$4:$S$4,0))</f>
        <v>#REF!</v>
      </c>
      <c r="N21" s="27" t="e">
        <f>$D21*INDEX(Produktpreise!$B$4:$S$26,MATCH(Kosten!$C21,Produktpreise!$C$4:$C$26,0),MATCH(Kosten!N$4,Produktpreise!$B$4:$S$4,0))</f>
        <v>#REF!</v>
      </c>
      <c r="P21" s="138" t="e">
        <f>'Preise Output'!#REF!</f>
        <v>#REF!</v>
      </c>
      <c r="Q21" s="138" t="e">
        <f t="shared" si="11"/>
        <v>#REF!</v>
      </c>
      <c r="R21" s="138" t="e">
        <f t="shared" si="10"/>
        <v>#REF!</v>
      </c>
      <c r="S21" s="138" t="e">
        <f>'Preise Output'!#REF!</f>
        <v>#REF!</v>
      </c>
      <c r="T21" s="138" t="e">
        <f t="shared" si="0"/>
        <v>#REF!</v>
      </c>
      <c r="U21" s="138" t="e">
        <f t="shared" si="1"/>
        <v>#REF!</v>
      </c>
    </row>
    <row r="22" spans="2:22" s="5" customFormat="1" x14ac:dyDescent="0.3">
      <c r="B22" s="25" t="s">
        <v>88</v>
      </c>
      <c r="C22" s="25" t="s">
        <v>46</v>
      </c>
      <c r="D22" s="25" t="e">
        <f>'Preise Output'!#REF!</f>
        <v>#REF!</v>
      </c>
      <c r="E22" s="26"/>
      <c r="F22" s="27" t="e">
        <f>$D22*INDEX(Produktpreise!$B$4:$S$26,MATCH(Kosten!$C22,Produktpreise!$C$4:$C$26,0),MATCH(Kosten!F$4,Produktpreise!$B$4:$S$4,0))</f>
        <v>#REF!</v>
      </c>
      <c r="G22" s="27" t="e">
        <f>$D22*INDEX(Produktpreise!$B$4:$S$26,MATCH(Kosten!$C22,Produktpreise!$C$4:$C$26,0),MATCH(Kosten!G$4,Produktpreise!$B$4:$S$4,0))</f>
        <v>#REF!</v>
      </c>
      <c r="H22" s="27" t="e">
        <f>$D22*INDEX(Produktpreise!$B$4:$S$26,MATCH(Kosten!$C22,Produktpreise!$C$4:$C$26,0),MATCH(Kosten!H$4,Produktpreise!$B$4:$S$4,0))</f>
        <v>#REF!</v>
      </c>
      <c r="I22" s="27" t="e">
        <f>$D22*INDEX(Produktpreise!$B$4:$S$26,MATCH(Kosten!$C22,Produktpreise!$C$4:$C$26,0),MATCH(Kosten!I$4,Produktpreise!$B$4:$S$4,0))</f>
        <v>#REF!</v>
      </c>
      <c r="J22" s="27" t="e">
        <f>$D22*INDEX(Produktpreise!$B$4:$S$26,MATCH(Kosten!$C22,Produktpreise!$C$4:$C$26,0),MATCH(Kosten!J$4,Produktpreise!$B$4:$S$4,0))</f>
        <v>#REF!</v>
      </c>
      <c r="K22" s="27"/>
      <c r="L22" s="27" t="e">
        <f>$D22*INDEX(Produktpreise!$B$4:$S$26,MATCH(Kosten!$C22,Produktpreise!$C$4:$C$26,0),MATCH(Kosten!L$4,Produktpreise!$B$4:$S$4,0))</f>
        <v>#REF!</v>
      </c>
      <c r="M22" s="27" t="e">
        <f>$D22*INDEX(Produktpreise!$B$4:$S$26,MATCH(Kosten!$C22,Produktpreise!$C$4:$C$26,0),MATCH(Kosten!M$4,Produktpreise!$B$4:$S$4,0))</f>
        <v>#REF!</v>
      </c>
      <c r="N22" s="27" t="e">
        <f>$D22*INDEX(Produktpreise!$B$4:$S$26,MATCH(Kosten!$C22,Produktpreise!$C$4:$C$26,0),MATCH(Kosten!N$4,Produktpreise!$B$4:$S$4,0))</f>
        <v>#REF!</v>
      </c>
      <c r="P22" s="138" t="e">
        <f>'Preise Output'!#REF!</f>
        <v>#REF!</v>
      </c>
      <c r="Q22" s="138" t="e">
        <f t="shared" si="11"/>
        <v>#REF!</v>
      </c>
      <c r="R22" s="138" t="e">
        <f t="shared" si="10"/>
        <v>#REF!</v>
      </c>
      <c r="S22" s="138" t="e">
        <f>'Preise Output'!#REF!</f>
        <v>#REF!</v>
      </c>
      <c r="T22" s="138" t="e">
        <f t="shared" si="0"/>
        <v>#REF!</v>
      </c>
      <c r="U22" s="138" t="e">
        <f t="shared" si="1"/>
        <v>#REF!</v>
      </c>
    </row>
    <row r="23" spans="2:22" s="5" customFormat="1" x14ac:dyDescent="0.3">
      <c r="B23" s="19" t="s">
        <v>86</v>
      </c>
      <c r="C23" s="19" t="s">
        <v>47</v>
      </c>
      <c r="D23" s="19" t="e">
        <f>'Preise Output'!#REF!</f>
        <v>#REF!</v>
      </c>
      <c r="E23" s="21"/>
      <c r="F23" s="22" t="e">
        <f>$D23*INDEX(Produktpreise!$B$4:$S$26,MATCH(Kosten!$C23,Produktpreise!$C$4:$C$26,0),MATCH(Kosten!F$4,Produktpreise!$B$4:$S$4,0))</f>
        <v>#REF!</v>
      </c>
      <c r="G23" s="22" t="e">
        <f>$D23*INDEX(Produktpreise!$B$4:$S$26,MATCH(Kosten!$C23,Produktpreise!$C$4:$C$26,0),MATCH(Kosten!G$4,Produktpreise!$B$4:$S$4,0))</f>
        <v>#REF!</v>
      </c>
      <c r="H23" s="22" t="e">
        <f>$D23*INDEX(Produktpreise!$B$4:$S$26,MATCH(Kosten!$C23,Produktpreise!$C$4:$C$26,0),MATCH(Kosten!H$4,Produktpreise!$B$4:$S$4,0))</f>
        <v>#REF!</v>
      </c>
      <c r="I23" s="22" t="e">
        <f>$D23*INDEX(Produktpreise!$B$4:$S$26,MATCH(Kosten!$C23,Produktpreise!$C$4:$C$26,0),MATCH(Kosten!I$4,Produktpreise!$B$4:$S$4,0))</f>
        <v>#REF!</v>
      </c>
      <c r="J23" s="22" t="e">
        <f>$D23*INDEX(Produktpreise!$B$4:$S$26,MATCH(Kosten!$C23,Produktpreise!$C$4:$C$26,0),MATCH(Kosten!J$4,Produktpreise!$B$4:$S$4,0))</f>
        <v>#REF!</v>
      </c>
      <c r="K23" s="22" t="e">
        <f>$D23*INDEX(Produktpreise!$B$4:$S$26,MATCH(Kosten!$C23,Produktpreise!$C$4:$C$26,0),MATCH(Kosten!K$4,Produktpreise!$B$4:$S$4,0))</f>
        <v>#REF!</v>
      </c>
      <c r="L23" s="22" t="e">
        <f>$D23*INDEX(Produktpreise!$B$4:$S$26,MATCH(Kosten!$C23,Produktpreise!$C$4:$C$26,0),MATCH(Kosten!L$4,Produktpreise!$B$4:$S$4,0))</f>
        <v>#REF!</v>
      </c>
      <c r="M23" s="22" t="e">
        <f>$D23*INDEX(Produktpreise!$B$4:$S$26,MATCH(Kosten!$C23,Produktpreise!$C$4:$C$26,0),MATCH(Kosten!M$4,Produktpreise!$B$4:$S$4,0))</f>
        <v>#REF!</v>
      </c>
      <c r="N23" s="22" t="e">
        <f>$D23*INDEX(Produktpreise!$B$4:$S$26,MATCH(Kosten!$C23,Produktpreise!$C$4:$C$26,0),MATCH(Kosten!N$4,Produktpreise!$B$4:$S$4,0))</f>
        <v>#REF!</v>
      </c>
      <c r="P23" s="138" t="e">
        <f>'Preise Output'!#REF!</f>
        <v>#REF!</v>
      </c>
      <c r="Q23" s="138" t="e">
        <f t="shared" ref="Q23:Q24" si="12">SUM(F23:G23)</f>
        <v>#REF!</v>
      </c>
      <c r="R23" s="138" t="e">
        <f>H23+I23*2+J23*3+M23*3+N23+L23*3+K23*3</f>
        <v>#REF!</v>
      </c>
      <c r="S23" s="138" t="e">
        <f>'Preise Output'!#REF!</f>
        <v>#REF!</v>
      </c>
      <c r="T23" s="138" t="e">
        <f t="shared" si="0"/>
        <v>#REF!</v>
      </c>
      <c r="U23" s="138" t="e">
        <f t="shared" si="1"/>
        <v>#REF!</v>
      </c>
    </row>
    <row r="24" spans="2:22" s="5" customFormat="1" x14ac:dyDescent="0.3">
      <c r="B24" s="19" t="s">
        <v>86</v>
      </c>
      <c r="C24" s="19" t="s">
        <v>48</v>
      </c>
      <c r="D24" s="19" t="e">
        <f>'Preise Output'!#REF!</f>
        <v>#REF!</v>
      </c>
      <c r="E24" s="21"/>
      <c r="F24" s="22" t="e">
        <f>$D24*INDEX(Produktpreise!$B$4:$S$26,MATCH(Kosten!$C24,Produktpreise!$C$4:$C$26,0),MATCH(Kosten!F$4,Produktpreise!$B$4:$S$4,0))</f>
        <v>#REF!</v>
      </c>
      <c r="G24" s="22" t="e">
        <f>$D24*INDEX(Produktpreise!$B$4:$S$26,MATCH(Kosten!$C24,Produktpreise!$C$4:$C$26,0),MATCH(Kosten!G$4,Produktpreise!$B$4:$S$4,0))</f>
        <v>#REF!</v>
      </c>
      <c r="H24" s="22" t="e">
        <f>$D24*INDEX(Produktpreise!$B$4:$S$26,MATCH(Kosten!$C24,Produktpreise!$C$4:$C$26,0),MATCH(Kosten!H$4,Produktpreise!$B$4:$S$4,0))</f>
        <v>#REF!</v>
      </c>
      <c r="I24" s="22" t="e">
        <f>$D24*INDEX(Produktpreise!$B$4:$S$26,MATCH(Kosten!$C24,Produktpreise!$C$4:$C$26,0),MATCH(Kosten!I$4,Produktpreise!$B$4:$S$4,0))</f>
        <v>#REF!</v>
      </c>
      <c r="J24" s="22" t="e">
        <f>$D24*INDEX(Produktpreise!$B$4:$S$26,MATCH(Kosten!$C24,Produktpreise!$C$4:$C$26,0),MATCH(Kosten!J$4,Produktpreise!$B$4:$S$4,0))</f>
        <v>#REF!</v>
      </c>
      <c r="K24" s="22" t="e">
        <f>$D24*INDEX(Produktpreise!$B$4:$S$26,MATCH(Kosten!$C24,Produktpreise!$C$4:$C$26,0),MATCH(Kosten!K$4,Produktpreise!$B$4:$S$4,0))</f>
        <v>#REF!</v>
      </c>
      <c r="L24" s="22" t="e">
        <f>$D24*INDEX(Produktpreise!$B$4:$S$26,MATCH(Kosten!$C24,Produktpreise!$C$4:$C$26,0),MATCH(Kosten!L$4,Produktpreise!$B$4:$S$4,0))</f>
        <v>#REF!</v>
      </c>
      <c r="M24" s="22" t="e">
        <f>$D24*INDEX(Produktpreise!$B$4:$S$26,MATCH(Kosten!$C24,Produktpreise!$C$4:$C$26,0),MATCH(Kosten!M$4,Produktpreise!$B$4:$S$4,0))</f>
        <v>#REF!</v>
      </c>
      <c r="N24" s="22" t="e">
        <f>$D24*INDEX(Produktpreise!$B$4:$S$26,MATCH(Kosten!$C24,Produktpreise!$C$4:$C$26,0),MATCH(Kosten!N$4,Produktpreise!$B$4:$S$4,0))</f>
        <v>#REF!</v>
      </c>
      <c r="P24" s="138" t="e">
        <f>'Preise Output'!#REF!</f>
        <v>#REF!</v>
      </c>
      <c r="Q24" s="138" t="e">
        <f t="shared" si="12"/>
        <v>#REF!</v>
      </c>
      <c r="R24" s="138" t="e">
        <f>H24+I24*2+J24*3+M24*3+N24+L24*3+K24*3</f>
        <v>#REF!</v>
      </c>
      <c r="S24" s="138" t="e">
        <f>'Preise Output'!#REF!</f>
        <v>#REF!</v>
      </c>
      <c r="T24" s="138" t="e">
        <f t="shared" si="0"/>
        <v>#REF!</v>
      </c>
      <c r="U24" s="138" t="e">
        <f t="shared" si="1"/>
        <v>#REF!</v>
      </c>
    </row>
    <row r="25" spans="2:22" s="5" customFormat="1" x14ac:dyDescent="0.3">
      <c r="B25" s="25" t="s">
        <v>88</v>
      </c>
      <c r="C25" s="25" t="s">
        <v>49</v>
      </c>
      <c r="D25" s="25" t="e">
        <f>'Preise Output'!#REF!</f>
        <v>#REF!</v>
      </c>
      <c r="E25" s="26"/>
      <c r="F25" s="27" t="e">
        <f>$D25*INDEX(Produktpreise!$B$4:$S$26,MATCH(Kosten!$C25,Produktpreise!$C$4:$C$26,0),MATCH(Kosten!F$4,Produktpreise!$B$4:$S$4,0))</f>
        <v>#REF!</v>
      </c>
      <c r="G25" s="27" t="e">
        <f>$D25*INDEX(Produktpreise!$B$4:$S$26,MATCH(Kosten!$C25,Produktpreise!$C$4:$C$26,0),MATCH(Kosten!G$4,Produktpreise!$B$4:$S$4,0))</f>
        <v>#REF!</v>
      </c>
      <c r="H25" s="27" t="e">
        <f>$D25*INDEX(Produktpreise!$B$4:$S$26,MATCH(Kosten!$C25,Produktpreise!$C$4:$C$26,0),MATCH(Kosten!H$4,Produktpreise!$B$4:$S$4,0))</f>
        <v>#REF!</v>
      </c>
      <c r="I25" s="27" t="e">
        <f>$D25*INDEX(Produktpreise!$B$4:$S$26,MATCH(Kosten!$C25,Produktpreise!$C$4:$C$26,0),MATCH(Kosten!I$4,Produktpreise!$B$4:$S$4,0))</f>
        <v>#REF!</v>
      </c>
      <c r="J25" s="27" t="e">
        <f>$D25*INDEX(Produktpreise!$B$4:$S$26,MATCH(Kosten!$C25,Produktpreise!$C$4:$C$26,0),MATCH(Kosten!J$4,Produktpreise!$B$4:$S$4,0))</f>
        <v>#REF!</v>
      </c>
      <c r="K25" s="27"/>
      <c r="L25" s="27" t="e">
        <f>$D25*INDEX(Produktpreise!$B$4:$S$26,MATCH(Kosten!$C25,Produktpreise!$C$4:$C$26,0),MATCH(Kosten!L$4,Produktpreise!$B$4:$S$4,0))</f>
        <v>#REF!</v>
      </c>
      <c r="M25" s="27" t="e">
        <f>$D25*INDEX(Produktpreise!$B$4:$S$26,MATCH(Kosten!$C25,Produktpreise!$C$4:$C$26,0),MATCH(Kosten!M$4,Produktpreise!$B$4:$S$4,0))</f>
        <v>#REF!</v>
      </c>
      <c r="N25" s="27" t="e">
        <f>$D25*INDEX(Produktpreise!$B$4:$S$26,MATCH(Kosten!$C25,Produktpreise!$C$4:$C$26,0),MATCH(Kosten!N$4,Produktpreise!$B$4:$S$4,0))</f>
        <v>#REF!</v>
      </c>
      <c r="P25" s="138" t="e">
        <f>'Preise Output'!#REF!</f>
        <v>#REF!</v>
      </c>
      <c r="Q25" s="138" t="e">
        <f t="shared" si="11"/>
        <v>#REF!</v>
      </c>
      <c r="R25" s="138" t="e">
        <f t="shared" si="10"/>
        <v>#REF!</v>
      </c>
      <c r="S25" s="138" t="e">
        <f>'Preise Output'!#REF!</f>
        <v>#REF!</v>
      </c>
      <c r="T25" s="138" t="e">
        <f t="shared" si="0"/>
        <v>#REF!</v>
      </c>
      <c r="U25" s="138" t="e">
        <f t="shared" si="1"/>
        <v>#REF!</v>
      </c>
    </row>
    <row r="26" spans="2:22" s="5" customFormat="1" x14ac:dyDescent="0.3">
      <c r="B26" s="25" t="s">
        <v>88</v>
      </c>
      <c r="C26" s="25" t="s">
        <v>49</v>
      </c>
      <c r="D26" s="25" t="e">
        <f>'Preise Output'!#REF!</f>
        <v>#REF!</v>
      </c>
      <c r="E26" s="26"/>
      <c r="F26" s="27" t="e">
        <f>$D26*INDEX(Produktpreise!$B$4:$S$26,MATCH(Kosten!$C26,Produktpreise!$C$4:$C$26,0),MATCH(Kosten!F$4,Produktpreise!$B$4:$S$4,0))</f>
        <v>#REF!</v>
      </c>
      <c r="G26" s="27" t="e">
        <f>$D26*INDEX(Produktpreise!$B$4:$S$26,MATCH(Kosten!$C26,Produktpreise!$C$4:$C$26,0),MATCH(Kosten!G$4,Produktpreise!$B$4:$S$4,0))</f>
        <v>#REF!</v>
      </c>
      <c r="H26" s="27" t="e">
        <f>$D26*INDEX(Produktpreise!$B$4:$S$26,MATCH(Kosten!$C26,Produktpreise!$C$4:$C$26,0),MATCH(Kosten!H$4,Produktpreise!$B$4:$S$4,0))</f>
        <v>#REF!</v>
      </c>
      <c r="I26" s="27" t="e">
        <f>$D26*INDEX(Produktpreise!$B$4:$S$26,MATCH(Kosten!$C26,Produktpreise!$C$4:$C$26,0),MATCH(Kosten!I$4,Produktpreise!$B$4:$S$4,0))</f>
        <v>#REF!</v>
      </c>
      <c r="J26" s="27" t="e">
        <f>$D26*INDEX(Produktpreise!$B$4:$S$26,MATCH(Kosten!$C26,Produktpreise!$C$4:$C$26,0),MATCH(Kosten!J$4,Produktpreise!$B$4:$S$4,0))</f>
        <v>#REF!</v>
      </c>
      <c r="K26" s="27"/>
      <c r="L26" s="27" t="e">
        <f>$D26*INDEX(Produktpreise!$B$4:$S$26,MATCH(Kosten!$C26,Produktpreise!$C$4:$C$26,0),MATCH(Kosten!L$4,Produktpreise!$B$4:$S$4,0))</f>
        <v>#REF!</v>
      </c>
      <c r="M26" s="27" t="e">
        <f>$D26*INDEX(Produktpreise!$B$4:$S$26,MATCH(Kosten!$C26,Produktpreise!$C$4:$C$26,0),MATCH(Kosten!M$4,Produktpreise!$B$4:$S$4,0))</f>
        <v>#REF!</v>
      </c>
      <c r="N26" s="27" t="e">
        <f>$D26*INDEX(Produktpreise!$B$4:$S$26,MATCH(Kosten!$C26,Produktpreise!$C$4:$C$26,0),MATCH(Kosten!N$4,Produktpreise!$B$4:$S$4,0))</f>
        <v>#REF!</v>
      </c>
      <c r="P26" s="138" t="e">
        <f>'Preise Output'!#REF!</f>
        <v>#REF!</v>
      </c>
      <c r="Q26" s="138" t="e">
        <f t="shared" si="11"/>
        <v>#REF!</v>
      </c>
      <c r="R26" s="138" t="e">
        <f t="shared" si="10"/>
        <v>#REF!</v>
      </c>
      <c r="S26" s="138" t="e">
        <f>'Preise Output'!#REF!</f>
        <v>#REF!</v>
      </c>
      <c r="T26" s="138" t="e">
        <f t="shared" si="0"/>
        <v>#REF!</v>
      </c>
      <c r="U26" s="138" t="e">
        <f t="shared" si="1"/>
        <v>#REF!</v>
      </c>
    </row>
    <row r="27" spans="2:22" s="5" customFormat="1" x14ac:dyDescent="0.3">
      <c r="E27" s="6"/>
      <c r="F27" s="6"/>
      <c r="G27" s="6"/>
      <c r="H27" s="6"/>
      <c r="I27" s="6"/>
      <c r="J27" s="6"/>
      <c r="K27" s="6"/>
      <c r="L27" s="6"/>
      <c r="M27" s="6"/>
      <c r="N27" s="6"/>
      <c r="P27" s="139" t="e">
        <f>SUM(P5:P26)</f>
        <v>#REF!</v>
      </c>
      <c r="Q27" s="139" t="e">
        <f>SUM(Q5:Q26)</f>
        <v>#REF!</v>
      </c>
      <c r="R27" s="139" t="e">
        <f>SUM(R5:R26)</f>
        <v>#REF!</v>
      </c>
      <c r="S27" s="139" t="e">
        <f>SUM(S5:S26)</f>
        <v>#REF!</v>
      </c>
      <c r="T27" s="140" t="e">
        <f t="shared" si="0"/>
        <v>#REF!</v>
      </c>
      <c r="U27" s="140" t="e">
        <f t="shared" si="1"/>
        <v>#REF!</v>
      </c>
      <c r="V27" s="142" t="e">
        <f>U27/P27</f>
        <v>#REF!</v>
      </c>
    </row>
    <row r="28" spans="2:22" s="5" customFormat="1" x14ac:dyDescent="0.3">
      <c r="E28" s="6"/>
      <c r="F28" s="6"/>
      <c r="G28" s="6"/>
      <c r="H28" s="6"/>
      <c r="I28" s="6"/>
      <c r="J28" s="6"/>
      <c r="K28" s="6"/>
      <c r="L28" s="6"/>
      <c r="M28" s="6"/>
      <c r="N28" s="6"/>
      <c r="P28" s="141" t="e">
        <f t="shared" ref="P28:U28" si="13">ROUND(P27,-3)</f>
        <v>#REF!</v>
      </c>
      <c r="Q28" s="141" t="e">
        <f t="shared" si="13"/>
        <v>#REF!</v>
      </c>
      <c r="R28" s="141" t="e">
        <f t="shared" si="13"/>
        <v>#REF!</v>
      </c>
      <c r="S28" s="141" t="e">
        <f t="shared" si="13"/>
        <v>#REF!</v>
      </c>
      <c r="T28" s="141" t="e">
        <f t="shared" si="13"/>
        <v>#REF!</v>
      </c>
      <c r="U28" s="141" t="e">
        <f t="shared" si="13"/>
        <v>#REF!</v>
      </c>
      <c r="V28" s="141"/>
    </row>
  </sheetData>
  <autoFilter ref="B4:N25" xr:uid="{00000000-0009-0000-0000-000001000000}"/>
  <pageMargins left="0.7" right="0.7" top="0.78740157499999996" bottom="0.78740157499999996" header="0.3" footer="0.3"/>
  <pageSetup paperSize="9" orientation="portrait" r:id="rId1"/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200-000000000000}">
  <sheetPr codeName="Sheet6">
    <tabColor rgb="FFC00000"/>
  </sheetPr>
  <dimension ref="B4:L23"/>
  <sheetViews>
    <sheetView showGridLines="0" workbookViewId="0">
      <selection activeCell="D29" sqref="D29"/>
    </sheetView>
  </sheetViews>
  <sheetFormatPr baseColWidth="10" defaultColWidth="10.5546875" defaultRowHeight="14.4" x14ac:dyDescent="0.3"/>
  <cols>
    <col min="1" max="1" width="6.44140625" customWidth="1"/>
    <col min="2" max="2" width="23.5546875" bestFit="1" customWidth="1"/>
    <col min="3" max="3" width="18.44140625" customWidth="1"/>
    <col min="4" max="5" width="17.44140625" customWidth="1"/>
    <col min="7" max="7" width="26.5546875" customWidth="1"/>
    <col min="8" max="8" width="12.5546875" customWidth="1"/>
    <col min="9" max="9" width="11.44140625" bestFit="1" customWidth="1"/>
    <col min="10" max="10" width="23.5546875" bestFit="1" customWidth="1"/>
    <col min="11" max="11" width="11.44140625" bestFit="1" customWidth="1"/>
    <col min="12" max="12" width="12.44140625" bestFit="1" customWidth="1"/>
    <col min="14" max="14" width="28.5546875" customWidth="1"/>
    <col min="15" max="15" width="12" bestFit="1" customWidth="1"/>
  </cols>
  <sheetData>
    <row r="4" spans="2:3" x14ac:dyDescent="0.3">
      <c r="B4" s="8" t="s">
        <v>154</v>
      </c>
      <c r="C4" s="8" t="s">
        <v>155</v>
      </c>
    </row>
    <row r="5" spans="2:3" x14ac:dyDescent="0.3">
      <c r="B5" s="3" t="s">
        <v>156</v>
      </c>
      <c r="C5" s="4">
        <v>0</v>
      </c>
    </row>
    <row r="6" spans="2:3" x14ac:dyDescent="0.3">
      <c r="B6" s="3" t="s">
        <v>157</v>
      </c>
      <c r="C6" s="4">
        <v>0</v>
      </c>
    </row>
    <row r="7" spans="2:3" x14ac:dyDescent="0.3">
      <c r="B7" s="3" t="s">
        <v>158</v>
      </c>
      <c r="C7" s="4">
        <v>0</v>
      </c>
    </row>
    <row r="8" spans="2:3" x14ac:dyDescent="0.3">
      <c r="B8" s="3" t="s">
        <v>159</v>
      </c>
      <c r="C8" s="4">
        <v>0</v>
      </c>
    </row>
    <row r="9" spans="2:3" x14ac:dyDescent="0.3">
      <c r="B9" s="3" t="s">
        <v>160</v>
      </c>
      <c r="C9" s="4">
        <v>0</v>
      </c>
    </row>
    <row r="11" spans="2:3" x14ac:dyDescent="0.3">
      <c r="B11" s="8" t="s">
        <v>161</v>
      </c>
      <c r="C11" s="8" t="s">
        <v>155</v>
      </c>
    </row>
    <row r="12" spans="2:3" x14ac:dyDescent="0.3">
      <c r="B12" s="3" t="s">
        <v>162</v>
      </c>
      <c r="C12" s="4">
        <v>0</v>
      </c>
    </row>
    <row r="13" spans="2:3" x14ac:dyDescent="0.3">
      <c r="B13" s="3" t="s">
        <v>163</v>
      </c>
      <c r="C13" s="4">
        <v>0</v>
      </c>
    </row>
    <row r="14" spans="2:3" x14ac:dyDescent="0.3">
      <c r="B14" s="3" t="s">
        <v>164</v>
      </c>
      <c r="C14" s="4">
        <v>0.05</v>
      </c>
    </row>
    <row r="15" spans="2:3" x14ac:dyDescent="0.3">
      <c r="B15" s="3" t="s">
        <v>165</v>
      </c>
      <c r="C15" s="4">
        <v>0.15</v>
      </c>
    </row>
    <row r="17" spans="2:12" x14ac:dyDescent="0.3">
      <c r="B17" s="214" t="s">
        <v>166</v>
      </c>
      <c r="C17" s="8"/>
      <c r="D17" s="8" t="s">
        <v>182</v>
      </c>
      <c r="E17" s="116" t="s">
        <v>262</v>
      </c>
      <c r="F17" s="127" t="s">
        <v>183</v>
      </c>
    </row>
    <row r="18" spans="2:12" x14ac:dyDescent="0.3">
      <c r="B18" s="3" t="s">
        <v>167</v>
      </c>
      <c r="C18" s="120">
        <v>15</v>
      </c>
      <c r="D18" s="120"/>
      <c r="E18" s="120"/>
      <c r="F18" s="120">
        <v>15</v>
      </c>
      <c r="H18" s="165"/>
    </row>
    <row r="19" spans="2:12" x14ac:dyDescent="0.3">
      <c r="B19" s="3" t="s">
        <v>168</v>
      </c>
      <c r="C19" s="121">
        <v>20</v>
      </c>
      <c r="D19" s="121"/>
      <c r="E19" s="121"/>
      <c r="F19" s="121">
        <v>20</v>
      </c>
      <c r="H19" s="165"/>
      <c r="I19" s="30"/>
      <c r="J19" s="30"/>
      <c r="K19" s="30"/>
      <c r="L19" s="30"/>
    </row>
    <row r="20" spans="2:12" x14ac:dyDescent="0.3">
      <c r="B20" s="3" t="s">
        <v>169</v>
      </c>
      <c r="C20" s="121">
        <v>30</v>
      </c>
      <c r="D20" s="121">
        <v>50</v>
      </c>
      <c r="E20" s="121">
        <v>30</v>
      </c>
      <c r="F20" s="121">
        <v>40</v>
      </c>
      <c r="G20" s="220">
        <v>50</v>
      </c>
      <c r="H20" s="165"/>
      <c r="I20" s="121">
        <v>45</v>
      </c>
      <c r="J20" s="30"/>
      <c r="K20" s="30"/>
      <c r="L20" s="30"/>
    </row>
    <row r="21" spans="2:12" x14ac:dyDescent="0.3">
      <c r="B21" s="3" t="s">
        <v>7</v>
      </c>
      <c r="C21" s="121">
        <v>35</v>
      </c>
      <c r="D21" s="121">
        <v>60</v>
      </c>
      <c r="E21" s="121">
        <v>35</v>
      </c>
      <c r="F21" s="121">
        <v>47.5</v>
      </c>
      <c r="G21" s="220">
        <v>60</v>
      </c>
      <c r="H21" s="165"/>
      <c r="I21" s="121">
        <v>55</v>
      </c>
    </row>
    <row r="22" spans="2:12" x14ac:dyDescent="0.3">
      <c r="B22" s="3" t="s">
        <v>170</v>
      </c>
      <c r="C22" s="121">
        <v>50</v>
      </c>
      <c r="D22" s="121">
        <v>75</v>
      </c>
      <c r="E22" s="121">
        <v>45</v>
      </c>
      <c r="F22" s="121">
        <v>65</v>
      </c>
      <c r="G22" s="220">
        <v>75</v>
      </c>
      <c r="H22" s="165"/>
      <c r="I22" s="121">
        <v>70</v>
      </c>
    </row>
    <row r="23" spans="2:12" x14ac:dyDescent="0.3">
      <c r="C23" s="2"/>
    </row>
  </sheetData>
  <pageMargins left="0.7" right="0.7" top="0.78740157499999996" bottom="0.78740157499999996" header="0.3" footer="0.3"/>
  <pageSetup paperSize="9" orientation="portrait" verticalDpi="0" r:id="rId1"/>
</worksheet>
</file>

<file path=customXml/_rels/item1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.xml"/></Relationships>
</file>

<file path=customXml/_rels/item2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2.xml"/></Relationships>
</file>

<file path=customXml/_rels/item3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3.xml"/></Relationships>
</file>

<file path=customXml/item1.xml><?xml version="1.0" encoding="utf-8"?>
<p:properties xmlns:p="http://schemas.microsoft.com/office/2006/metadata/properties" xmlns:xsi="http://www.w3.org/2001/XMLSchema-instance" xmlns:pc="http://schemas.microsoft.com/office/infopath/2007/PartnerControls">
  <documentManagement>
    <TaxCatchAll xmlns="0ff8542a-a91c-4213-8a41-8808dc7548c9" xsi:nil="true"/>
    <lcf76f155ced4ddcb4097134ff3c332f xmlns="afe551f1-9bb4-42df-b25d-b04c42b39031">
      <Terms xmlns="http://schemas.microsoft.com/office/infopath/2007/PartnerControls"/>
    </lcf76f155ced4ddcb4097134ff3c332f>
  </documentManagement>
</p:properties>
</file>

<file path=customXml/item2.xml><?xml version="1.0" encoding="utf-8"?>
<ct:contentTypeSchema xmlns:ct="http://schemas.microsoft.com/office/2006/metadata/contentType" xmlns:ma="http://schemas.microsoft.com/office/2006/metadata/properties/metaAttributes" ct:_="" ma:_="" ma:contentTypeName="Dokument" ma:contentTypeID="0x01010083DE3B28B6E46F4E87CCFF8B985080ED" ma:contentTypeVersion="18" ma:contentTypeDescription="Ein neues Dokument erstellen." ma:contentTypeScope="" ma:versionID="ea721a0fc8ed4d4408c4b49b8b81f40b">
  <xsd:schema xmlns:xsd="http://www.w3.org/2001/XMLSchema" xmlns:xs="http://www.w3.org/2001/XMLSchema" xmlns:p="http://schemas.microsoft.com/office/2006/metadata/properties" xmlns:ns2="afe551f1-9bb4-42df-b25d-b04c42b39031" xmlns:ns3="0ff8542a-a91c-4213-8a41-8808dc7548c9" targetNamespace="http://schemas.microsoft.com/office/2006/metadata/properties" ma:root="true" ma:fieldsID="f49c00db9f0dcd3302d96f0196c30c1a" ns2:_="" ns3:_="">
    <xsd:import namespace="afe551f1-9bb4-42df-b25d-b04c42b39031"/>
    <xsd:import namespace="0ff8542a-a91c-4213-8a41-8808dc7548c9"/>
    <xsd:element name="properties">
      <xsd:complexType>
        <xsd:sequence>
          <xsd:element name="documentManagement">
            <xsd:complexType>
              <xsd:all>
                <xsd:element ref="ns2:MediaServiceMetadata" minOccurs="0"/>
                <xsd:element ref="ns2:MediaServiceFastMetadata" minOccurs="0"/>
                <xsd:element ref="ns2:MediaServiceAutoKeyPoints" minOccurs="0"/>
                <xsd:element ref="ns2:MediaServiceKeyPoints" minOccurs="0"/>
                <xsd:element ref="ns2:MediaServiceDateTaken" minOccurs="0"/>
                <xsd:element ref="ns2:MediaServiceAutoTags" minOccurs="0"/>
                <xsd:element ref="ns2:MediaServiceLocation" minOccurs="0"/>
                <xsd:element ref="ns2:MediaServiceOCR" minOccurs="0"/>
                <xsd:element ref="ns2:MediaServiceGenerationTime" minOccurs="0"/>
                <xsd:element ref="ns2:MediaServiceEventHashCode" minOccurs="0"/>
                <xsd:element ref="ns3:SharedWithUsers" minOccurs="0"/>
                <xsd:element ref="ns3:SharedWithDetails" minOccurs="0"/>
                <xsd:element ref="ns2:MediaLengthInSeconds" minOccurs="0"/>
                <xsd:element ref="ns2:lcf76f155ced4ddcb4097134ff3c332f" minOccurs="0"/>
                <xsd:element ref="ns3:TaxCatchAll" minOccurs="0"/>
                <xsd:element ref="ns2:MediaServiceObjectDetectorVersions" minOccurs="0"/>
                <xsd:element ref="ns2:MediaServiceSearchProperties" minOccurs="0"/>
              </xsd:all>
            </xsd:complexType>
          </xsd:element>
        </xsd:sequence>
      </xsd:complexType>
    </xsd:element>
  </xsd:schema>
  <xsd:schema xmlns:xsd="http://www.w3.org/2001/XMLSchema" xmlns:xs="http://www.w3.org/2001/XMLSchema" xmlns:dms="http://schemas.microsoft.com/office/2006/documentManagement/types" xmlns:pc="http://schemas.microsoft.com/office/infopath/2007/PartnerControls" targetNamespace="afe551f1-9bb4-42df-b25d-b04c42b39031" elementFormDefault="qualified">
    <xsd:import namespace="http://schemas.microsoft.com/office/2006/documentManagement/types"/>
    <xsd:import namespace="http://schemas.microsoft.com/office/infopath/2007/PartnerControls"/>
    <xsd:element name="MediaServiceMetadata" ma:index="8" nillable="true" ma:displayName="MediaServiceMetadata" ma:hidden="true" ma:internalName="MediaServiceMetadata" ma:readOnly="true">
      <xsd:simpleType>
        <xsd:restriction base="dms:Note"/>
      </xsd:simpleType>
    </xsd:element>
    <xsd:element name="MediaServiceFastMetadata" ma:index="9" nillable="true" ma:displayName="MediaServiceFastMetadata" ma:hidden="true" ma:internalName="MediaServiceFastMetadata" ma:readOnly="true">
      <xsd:simpleType>
        <xsd:restriction base="dms:Note"/>
      </xsd:simpleType>
    </xsd:element>
    <xsd:element name="MediaServiceAutoKeyPoints" ma:index="10" nillable="true" ma:displayName="MediaServiceAutoKeyPoints" ma:hidden="true" ma:internalName="MediaServiceAutoKeyPoints" ma:readOnly="true">
      <xsd:simpleType>
        <xsd:restriction base="dms:Note"/>
      </xsd:simpleType>
    </xsd:element>
    <xsd:element name="MediaServiceKeyPoints" ma:index="11" nillable="true" ma:displayName="KeyPoints" ma:internalName="MediaServiceKeyPoints" ma:readOnly="true">
      <xsd:simpleType>
        <xsd:restriction base="dms:Note">
          <xsd:maxLength value="255"/>
        </xsd:restriction>
      </xsd:simpleType>
    </xsd:element>
    <xsd:element name="MediaServiceDateTaken" ma:index="12" nillable="true" ma:displayName="MediaServiceDateTaken" ma:hidden="true" ma:internalName="MediaServiceDateTaken" ma:readOnly="true">
      <xsd:simpleType>
        <xsd:restriction base="dms:Text"/>
      </xsd:simpleType>
    </xsd:element>
    <xsd:element name="MediaServiceAutoTags" ma:index="13" nillable="true" ma:displayName="Tags" ma:internalName="MediaServiceAutoTags" ma:readOnly="true">
      <xsd:simpleType>
        <xsd:restriction base="dms:Text"/>
      </xsd:simpleType>
    </xsd:element>
    <xsd:element name="MediaServiceLocation" ma:index="14" nillable="true" ma:displayName="Location" ma:internalName="MediaServiceLocation" ma:readOnly="true">
      <xsd:simpleType>
        <xsd:restriction base="dms:Text"/>
      </xsd:simpleType>
    </xsd:element>
    <xsd:element name="MediaServiceOCR" ma:index="15" nillable="true" ma:displayName="Extracted Text" ma:internalName="MediaServiceOCR" ma:readOnly="true">
      <xsd:simpleType>
        <xsd:restriction base="dms:Note">
          <xsd:maxLength value="255"/>
        </xsd:restriction>
      </xsd:simpleType>
    </xsd:element>
    <xsd:element name="MediaServiceGenerationTime" ma:index="16" nillable="true" ma:displayName="MediaServiceGenerationTime" ma:hidden="true" ma:internalName="MediaServiceGenerationTime" ma:readOnly="true">
      <xsd:simpleType>
        <xsd:restriction base="dms:Text"/>
      </xsd:simpleType>
    </xsd:element>
    <xsd:element name="MediaServiceEventHashCode" ma:index="17" nillable="true" ma:displayName="MediaServiceEventHashCode" ma:hidden="true" ma:internalName="MediaServiceEventHashCode" ma:readOnly="true">
      <xsd:simpleType>
        <xsd:restriction base="dms:Text"/>
      </xsd:simpleType>
    </xsd:element>
    <xsd:element name="MediaLengthInSeconds" ma:index="20" nillable="true" ma:displayName="Length (seconds)" ma:internalName="MediaLengthInSeconds" ma:readOnly="true">
      <xsd:simpleType>
        <xsd:restriction base="dms:Unknown"/>
      </xsd:simpleType>
    </xsd:element>
    <xsd:element name="lcf76f155ced4ddcb4097134ff3c332f" ma:index="22" nillable="true" ma:taxonomy="true" ma:internalName="lcf76f155ced4ddcb4097134ff3c332f" ma:taxonomyFieldName="MediaServiceImageTags" ma:displayName="Bildmarkierungen" ma:readOnly="false" ma:fieldId="{5cf76f15-5ced-4ddc-b409-7134ff3c332f}" ma:taxonomyMulti="true" ma:sspId="d49562af-4b09-409a-b895-1d1ac2d6694d" ma:termSetId="09814cd3-568e-fe90-9814-8d621ff8fb84" ma:anchorId="fba54fb3-c3e1-fe81-a776-ca4b69148c4d" ma:open="true" ma:isKeyword="false">
      <xsd:complexType>
        <xsd:sequence>
          <xsd:element ref="pc:Terms" minOccurs="0" maxOccurs="1"/>
        </xsd:sequence>
      </xsd:complexType>
    </xsd:element>
    <xsd:element name="MediaServiceObjectDetectorVersions" ma:index="24" nillable="true" ma:displayName="MediaServiceObjectDetectorVersions" ma:hidden="true" ma:indexed="true" ma:internalName="MediaServiceObjectDetectorVersions" ma:readOnly="true">
      <xsd:simpleType>
        <xsd:restriction base="dms:Text"/>
      </xsd:simpleType>
    </xsd:element>
    <xsd:element name="MediaServiceSearchProperties" ma:index="25" nillable="true" ma:displayName="MediaServiceSearchProperties" ma:hidden="true" ma:internalName="MediaServiceSearchProperties" ma:readOnly="true">
      <xsd:simpleType>
        <xsd:restriction base="dms:Note"/>
      </xsd:simpleType>
    </xsd:element>
  </xsd:schema>
  <xsd:schema xmlns:xsd="http://www.w3.org/2001/XMLSchema" xmlns:xs="http://www.w3.org/2001/XMLSchema" xmlns:dms="http://schemas.microsoft.com/office/2006/documentManagement/types" xmlns:pc="http://schemas.microsoft.com/office/infopath/2007/PartnerControls" targetNamespace="0ff8542a-a91c-4213-8a41-8808dc7548c9" elementFormDefault="qualified">
    <xsd:import namespace="http://schemas.microsoft.com/office/2006/documentManagement/types"/>
    <xsd:import namespace="http://schemas.microsoft.com/office/infopath/2007/PartnerControls"/>
    <xsd:element name="SharedWithUsers" ma:index="18" nillable="true" ma:displayName="Freigegeben für" ma:internalName="SharedWithUsers" ma:readOnly="true">
      <xsd:complexType>
        <xsd:complexContent>
          <xsd:extension base="dms:UserMulti">
            <xsd:sequence>
              <xsd:element name="UserInfo" minOccurs="0" maxOccurs="unbounded">
                <xsd:complexType>
                  <xsd:sequence>
                    <xsd:element name="DisplayName" type="xsd:string" minOccurs="0"/>
                    <xsd:element name="AccountId" type="dms:UserId" minOccurs="0" nillable="true"/>
                    <xsd:element name="AccountType" type="xsd:string" minOccurs="0"/>
                  </xsd:sequence>
                </xsd:complexType>
              </xsd:element>
            </xsd:sequence>
          </xsd:extension>
        </xsd:complexContent>
      </xsd:complexType>
    </xsd:element>
    <xsd:element name="SharedWithDetails" ma:index="19" nillable="true" ma:displayName="Freigegeben für - Details" ma:internalName="SharedWithDetails" ma:readOnly="true">
      <xsd:simpleType>
        <xsd:restriction base="dms:Note">
          <xsd:maxLength value="255"/>
        </xsd:restriction>
      </xsd:simpleType>
    </xsd:element>
    <xsd:element name="TaxCatchAll" ma:index="23" nillable="true" ma:displayName="Taxonomy Catch All Column" ma:hidden="true" ma:list="{317fe26d-4d49-458e-9373-44f4d1d222dc}" ma:internalName="TaxCatchAll" ma:showField="CatchAllData" ma:web="0ff8542a-a91c-4213-8a41-8808dc7548c9">
      <xsd:complexType>
        <xsd:complexContent>
          <xsd:extension base="dms:MultiChoiceLookup">
            <xsd:sequence>
              <xsd:element name="Value" type="dms:Lookup" maxOccurs="unbounded" minOccurs="0" nillable="true"/>
            </xsd:sequence>
          </xsd:extension>
        </xsd:complexContent>
      </xsd:complexType>
    </xsd:element>
  </xsd:schema>
  <xsd:schema xmlns="http://schemas.openxmlformats.org/package/2006/metadata/core-properties" xmlns:xsd="http://www.w3.org/2001/XMLSchema" xmlns:xsi="http://www.w3.org/2001/XMLSchema-instance" xmlns:dc="http://purl.org/dc/elements/1.1/" xmlns:dcterms="http://purl.org/dc/terms/" xmlns:odoc="http://schemas.microsoft.com/internal/obd" targetNamespace="http://schemas.openxmlformats.org/package/2006/metadata/core-properties" elementFormDefault="qualified" attributeFormDefault="unqualified" blockDefault="#all">
    <xsd:import namespace="http://purl.org/dc/elements/1.1/" schemaLocation="http://dublincore.org/schemas/xmls/qdc/2003/04/02/dc.xsd"/>
    <xsd:import namespace="http://purl.org/dc/terms/" schemaLocation="http://dublincore.org/schemas/xmls/qdc/2003/04/02/dcterms.xsd"/>
    <xsd:element name="coreProperties" type="CT_coreProperties"/>
    <xsd:complexType name="CT_coreProperties">
      <xsd:all>
        <xsd:element ref="dc:creator" minOccurs="0" maxOccurs="1"/>
        <xsd:element ref="dcterms:created" minOccurs="0" maxOccurs="1"/>
        <xsd:element ref="dc:identifier" minOccurs="0" maxOccurs="1"/>
        <xsd:element name="contentType" minOccurs="0" maxOccurs="1" type="xsd:string" ma:index="0" ma:displayName="Inhaltstyp"/>
        <xsd:element ref="dc:title" minOccurs="0" maxOccurs="1" ma:index="4" ma:displayName="Titel"/>
        <xsd:element ref="dc:subject" minOccurs="0" maxOccurs="1"/>
        <xsd:element ref="dc:description" minOccurs="0" maxOccurs="1"/>
        <xsd:element name="keywords" minOccurs="0" maxOccurs="1" type="xsd:string"/>
        <xsd:element ref="dc:language" minOccurs="0" maxOccurs="1"/>
        <xsd:element name="category" minOccurs="0" maxOccurs="1" type="xsd:string"/>
        <xsd:element name="version" minOccurs="0" maxOccurs="1" type="xsd:string"/>
        <xsd:element name="revision" minOccurs="0" maxOccurs="1" type="xsd:string">
          <xsd:annotation>
            <xsd:documentation>
                        This value indicates the number of saves or revisions. The application is responsible for updating this value after each revision.
                    </xsd:documentation>
          </xsd:annotation>
        </xsd:element>
        <xsd:element name="lastModifiedBy" minOccurs="0" maxOccurs="1" type="xsd:string"/>
        <xsd:element ref="dcterms:modified" minOccurs="0" maxOccurs="1"/>
        <xsd:element name="contentStatus" minOccurs="0" maxOccurs="1" type="xsd:string"/>
      </xsd:all>
    </xsd:complexType>
  </xsd:schema>
  <xs:schema xmlns:pc="http://schemas.microsoft.com/office/infopath/2007/PartnerControls" xmlns:xs="http://www.w3.org/2001/XMLSchema" targetNamespace="http://schemas.microsoft.com/office/infopath/2007/PartnerControls" elementFormDefault="qualified" attributeFormDefault="unqualified">
    <xs:element name="Person">
      <xs:complexType>
        <xs:sequence>
          <xs:element ref="pc:DisplayName" minOccurs="0"/>
          <xs:element ref="pc:AccountId" minOccurs="0"/>
          <xs:element ref="pc:AccountType" minOccurs="0"/>
        </xs:sequence>
      </xs:complexType>
    </xs:element>
    <xs:element name="DisplayName" type="xs:string"/>
    <xs:element name="AccountId" type="xs:string"/>
    <xs:element name="AccountType" type="xs:string"/>
    <xs:element name="BDCAssociatedEntity">
      <xs:complexType>
        <xs:sequence>
          <xs:element ref="pc:BDCEntity" minOccurs="0" maxOccurs="unbounded"/>
        </xs:sequence>
        <xs:attribute ref="pc:EntityNamespace"/>
        <xs:attribute ref="pc:EntityName"/>
        <xs:attribute ref="pc:SystemInstanceName"/>
        <xs:attribute ref="pc:AssociationName"/>
      </xs:complexType>
    </xs:element>
    <xs:attribute name="EntityNamespace" type="xs:string"/>
    <xs:attribute name="EntityName" type="xs:string"/>
    <xs:attribute name="SystemInstanceName" type="xs:string"/>
    <xs:attribute name="AssociationName" type="xs:string"/>
    <xs:element name="BDCEntity">
      <xs:complexType>
        <xs:sequence>
          <xs:element ref="pc:EntityDisplayName" minOccurs="0"/>
          <xs:element ref="pc:EntityInstanceReference" minOccurs="0"/>
          <xs:element ref="pc:EntityId1" minOccurs="0"/>
          <xs:element ref="pc:EntityId2" minOccurs="0"/>
          <xs:element ref="pc:EntityId3" minOccurs="0"/>
          <xs:element ref="pc:EntityId4" minOccurs="0"/>
          <xs:element ref="pc:EntityId5" minOccurs="0"/>
        </xs:sequence>
      </xs:complexType>
    </xs:element>
    <xs:element name="EntityDisplayName" type="xs:string"/>
    <xs:element name="EntityInstanceReference" type="xs:string"/>
    <xs:element name="EntityId1" type="xs:string"/>
    <xs:element name="EntityId2" type="xs:string"/>
    <xs:element name="EntityId3" type="xs:string"/>
    <xs:element name="EntityId4" type="xs:string"/>
    <xs:element name="EntityId5" type="xs:string"/>
    <xs:element name="Terms">
      <xs:complexType>
        <xs:sequence>
          <xs:element ref="pc:TermInfo" minOccurs="0" maxOccurs="unbounded"/>
        </xs:sequence>
      </xs:complexType>
    </xs:element>
    <xs:element name="TermInfo">
      <xs:complexType>
        <xs:sequence>
          <xs:element ref="pc:TermName" minOccurs="0"/>
          <xs:element ref="pc:TermId" minOccurs="0"/>
        </xs:sequence>
      </xs:complexType>
    </xs:element>
    <xs:element name="TermName" type="xs:string"/>
    <xs:element name="TermId" type="xs:string"/>
  </xs:schema>
</ct:contentTypeSchema>
</file>

<file path=customXml/item3.xml><?xml version="1.0" encoding="utf-8"?>
<?mso-contentType ?>
<FormTemplates xmlns="http://schemas.microsoft.com/sharepoint/v3/contenttype/forms">
  <Display>DocumentLibraryForm</Display>
  <Edit>DocumentLibraryForm</Edit>
  <New>DocumentLibraryForm</New>
</FormTemplates>
</file>

<file path=customXml/itemProps1.xml><?xml version="1.0" encoding="utf-8"?>
<ds:datastoreItem xmlns:ds="http://schemas.openxmlformats.org/officeDocument/2006/customXml" ds:itemID="{C925B230-9DA2-473D-B9AA-4932DD61E2F9}">
  <ds:schemaRefs>
    <ds:schemaRef ds:uri="http://purl.org/dc/dcmitype/"/>
    <ds:schemaRef ds:uri="http://purl.org/dc/terms/"/>
    <ds:schemaRef ds:uri="0ff8542a-a91c-4213-8a41-8808dc7548c9"/>
    <ds:schemaRef ds:uri="http://schemas.microsoft.com/office/2006/documentManagement/types"/>
    <ds:schemaRef ds:uri="http://purl.org/dc/elements/1.1/"/>
    <ds:schemaRef ds:uri="http://www.w3.org/XML/1998/namespace"/>
    <ds:schemaRef ds:uri="http://schemas.microsoft.com/office/2006/metadata/properties"/>
    <ds:schemaRef ds:uri="http://schemas.microsoft.com/office/infopath/2007/PartnerControls"/>
    <ds:schemaRef ds:uri="http://schemas.openxmlformats.org/package/2006/metadata/core-properties"/>
    <ds:schemaRef ds:uri="afe551f1-9bb4-42df-b25d-b04c42b39031"/>
  </ds:schemaRefs>
</ds:datastoreItem>
</file>

<file path=customXml/itemProps2.xml><?xml version="1.0" encoding="utf-8"?>
<ds:datastoreItem xmlns:ds="http://schemas.openxmlformats.org/officeDocument/2006/customXml" ds:itemID="{926BED0E-DD51-46A7-B236-E29C653F9F1A}"/>
</file>

<file path=customXml/itemProps3.xml><?xml version="1.0" encoding="utf-8"?>
<ds:datastoreItem xmlns:ds="http://schemas.openxmlformats.org/officeDocument/2006/customXml" ds:itemID="{9B853622-50EA-4E25-80C4-04D07DCE8FB4}">
  <ds:schemaRefs>
    <ds:schemaRef ds:uri="http://schemas.microsoft.com/sharepoint/v3/contenttype/forms"/>
  </ds:schemaRefs>
</ds:datastoreItem>
</file>

<file path=docProps/app.xml><?xml version="1.0" encoding="utf-8"?>
<Properties xmlns="http://schemas.openxmlformats.org/officeDocument/2006/extended-properties" xmlns:vt="http://schemas.openxmlformats.org/officeDocument/2006/docPropsVTypes">
  <TotalTime>0</TotalTime>
  <Application>Microsoft Excel</Application>
  <DocSecurity>0</DocSecurity>
  <ScaleCrop>false</ScaleCrop>
  <HeadingPairs>
    <vt:vector size="2" baseType="variant">
      <vt:variant>
        <vt:lpstr>Arbeitsblätter</vt:lpstr>
      </vt:variant>
      <vt:variant>
        <vt:i4>8</vt:i4>
      </vt:variant>
    </vt:vector>
  </HeadingPairs>
  <TitlesOfParts>
    <vt:vector size="8" baseType="lpstr">
      <vt:lpstr>Preise Output</vt:lpstr>
      <vt:lpstr>Sixt</vt:lpstr>
      <vt:lpstr>Preisvergleich</vt:lpstr>
      <vt:lpstr>Produktpreise</vt:lpstr>
      <vt:lpstr>Versionsverlauf</vt:lpstr>
      <vt:lpstr>Cash Flow</vt:lpstr>
      <vt:lpstr>Kosten</vt:lpstr>
      <vt:lpstr>Annahmen</vt:lpstr>
    </vt:vector>
  </TitlesOfParts>
  <Manager/>
  <Company/>
  <LinksUpToDate>false</LinksUpToDate>
  <SharedDoc>false</SharedDoc>
  <HyperlinkBase/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title/>
  <dc:subject/>
  <dc:creator>Mozafari, Amir - Fit Reisen</dc:creator>
  <cp:keywords/>
  <dc:description/>
  <cp:lastModifiedBy>Chiara Lotto</cp:lastModifiedBy>
  <cp:revision/>
  <dcterms:created xsi:type="dcterms:W3CDTF">2019-06-03T13:08:51Z</dcterms:created>
  <dcterms:modified xsi:type="dcterms:W3CDTF">2025-03-19T14:21:53Z</dcterms:modified>
  <cp:category/>
  <cp:contentStatus/>
</cp:coreProperties>
</file>

<file path=docProps/custom.xml><?xml version="1.0" encoding="utf-8"?>
<Properties xmlns="http://schemas.openxmlformats.org/officeDocument/2006/custom-properties" xmlns:vt="http://schemas.openxmlformats.org/officeDocument/2006/docPropsVTypes">
  <property fmtid="{D5CDD505-2E9C-101B-9397-08002B2CF9AE}" pid="2" name="ContentTypeId">
    <vt:lpwstr>0x01010083DE3B28B6E46F4E87CCFF8B985080ED</vt:lpwstr>
  </property>
  <property fmtid="{D5CDD505-2E9C-101B-9397-08002B2CF9AE}" pid="3" name="MediaServiceImageTags">
    <vt:lpwstr/>
  </property>
</Properties>
</file>