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2 Pricing/"/>
    </mc:Choice>
  </mc:AlternateContent>
  <xr:revisionPtr revIDLastSave="27" documentId="8_{207F9823-9F7A-439A-86BD-E629EE244269}" xr6:coauthVersionLast="47" xr6:coauthVersionMax="47" xr10:uidLastSave="{A8526C4D-50F2-4ED3-A1C4-471D11D5103B}"/>
  <bookViews>
    <workbookView xWindow="5280" yWindow="1680" windowWidth="21600" windowHeight="11235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" l="1"/>
  <c r="F5" i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<sst xmlns="http://schemas.openxmlformats.org/spreadsheetml/2006/main" count="509" uniqueCount="296">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</sst>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C7" sqref="C7"/>
    </sheetView>
  </sheetViews>
  <sheetFormatPr baseColWidth="10" defaultColWidth="10.5703125" defaultRowHeight="15.75" outlineLevelCol="2" x14ac:dyDescent="0.3"/>
  <cols>
    <col min="1" max="1" width="4.5703125" style="37" customWidth="1"/>
    <col min="2" max="2" width="61.5703125" style="37" bestFit="1" customWidth="1"/>
    <col min="3" max="3" width="29.5703125" style="37" bestFit="1" customWidth="1"/>
    <col min="4" max="4" width="17.42578125" style="38" customWidth="1"/>
    <col min="5" max="5" width="50.140625" style="37" bestFit="1" customWidth="1"/>
    <col min="6" max="6" width="28.5703125" style="37" bestFit="1" customWidth="1"/>
    <col min="7" max="7" width="24.42578125" style="37" customWidth="1" outlineLevel="1"/>
    <col min="8" max="8" width="24.42578125" style="40" customWidth="1" outlineLevel="1"/>
    <col min="9" max="9" width="31.42578125" style="40" customWidth="1" outlineLevel="1"/>
    <col min="10" max="12" width="24.42578125" style="40" customWidth="1" outlineLevel="1"/>
    <col min="13" max="13" width="18.4257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2578125" style="40" customWidth="1" outlineLevel="1"/>
    <col min="18" max="18" width="25" style="40" customWidth="1" outlineLevel="1"/>
    <col min="19" max="19" width="24.42578125" style="37" customWidth="1"/>
    <col min="20" max="20" width="17.42578125" style="37" customWidth="1"/>
    <col min="21" max="21" width="10.5703125" style="37"/>
    <col min="22" max="22" width="17" style="37" customWidth="1"/>
    <col min="23" max="23" width="16.42578125" style="37" customWidth="1"/>
    <col min="24" max="24" width="19" style="37" customWidth="1"/>
    <col min="25" max="25" width="15" style="37" customWidth="1"/>
    <col min="26" max="26" width="18.42578125" style="37" customWidth="1"/>
    <col min="27" max="27" width="17.5703125" style="37" customWidth="1"/>
    <col min="28" max="29" width="15.42578125" style="37" customWidth="1"/>
    <col min="30" max="32" width="10.5703125" style="37"/>
    <col min="33" max="33" width="16.42578125" style="37" customWidth="1"/>
    <col min="34" max="16384" width="10.5703125" style="37"/>
  </cols>
  <sheetData>
    <row r="1" spans="1:32" ht="7.5" customHeight="1" x14ac:dyDescent="0.3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6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3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">
      <c r="B5" s="48" t="s">
        <v>3</v>
      </c>
      <c r="C5" s="143"/>
      <c r="E5" s="151" t="s">
        <v>5</v>
      </c>
      <c r="F5" s="153">
        <f>INDEX(Annahmen!$B$17:$D$22,MATCH('Preise Output'!$C$7,Annahmen!$B$17:$B$22,0),3)</f>
        <v>50</v>
      </c>
      <c r="G5" s="218"/>
      <c r="H5" s="218"/>
    </row>
    <row r="6" spans="1:32" x14ac:dyDescent="0.3">
      <c r="B6" s="48" t="s">
        <v>4</v>
      </c>
      <c r="C6" s="49"/>
      <c r="E6" s="152" t="s">
        <v>290</v>
      </c>
      <c r="F6" s="37">
        <f>C12*0.65</f>
        <v>0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">
      <c r="B7" s="48" t="s">
        <v>6</v>
      </c>
      <c r="C7" s="49" t="s">
        <v>169</v>
      </c>
      <c r="E7" s="154" t="s">
        <v>8</v>
      </c>
      <c r="F7" s="210">
        <f>INDEX(Annahmen!$B$17:$E$22,MATCH('Preise Output'!$C$7,Annahmen!$B$17:$B$22,0),4)</f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">
      <c r="B8" s="48" t="s">
        <v>9</v>
      </c>
      <c r="C8" s="158"/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">
      <c r="B9" s="48" t="s">
        <v>10</v>
      </c>
      <c r="C9" s="54"/>
      <c r="E9" s="156" t="s">
        <v>246</v>
      </c>
      <c r="F9" s="157" t="str">
        <f>IFERROR(J26,"Bitte Produkt auswählen")</f>
        <v>Bitte Produkt auswählen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">
      <c r="B10" s="48" t="s">
        <v>11</v>
      </c>
      <c r="C10" s="58">
        <f>C8*365*(1-C9)</f>
        <v>0</v>
      </c>
      <c r="E10" s="152" t="s">
        <v>13</v>
      </c>
      <c r="F10" s="168">
        <f>F5*0.75</f>
        <v>37.5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6.5" thickBot="1" x14ac:dyDescent="0.35">
      <c r="B11" s="48" t="s">
        <v>12</v>
      </c>
      <c r="C11" s="59">
        <f>IF(C10*0.15&lt;1000,C10*0.15,1000)</f>
        <v>0</v>
      </c>
      <c r="E11" s="167" t="s">
        <v>14</v>
      </c>
      <c r="F11" s="242">
        <f>+I26</f>
        <v>0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6.5" thickBot="1" x14ac:dyDescent="0.35">
      <c r="B12" s="48" t="s">
        <v>281</v>
      </c>
      <c r="C12" s="158"/>
      <c r="D12" s="61"/>
      <c r="E12" s="155" t="s">
        <v>243</v>
      </c>
      <c r="F12" s="241"/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3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3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75" hidden="1" x14ac:dyDescent="0.3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5" hidden="1" customHeight="1" x14ac:dyDescent="0.3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5" customHeight="1" x14ac:dyDescent="0.3">
      <c r="B24" s="75" t="s">
        <v>264</v>
      </c>
      <c r="C24" s="76" t="s">
        <v>32</v>
      </c>
      <c r="D24" s="159">
        <v>1</v>
      </c>
      <c r="E24" s="76">
        <f>ROUND(G24/F$7,0)</f>
        <v>0</v>
      </c>
      <c r="F24" s="76">
        <v>3</v>
      </c>
      <c r="G24" s="77">
        <f>F12*D24</f>
        <v>0</v>
      </c>
      <c r="H24" s="77">
        <f>$E24*$F$10*1.1-$G24</f>
        <v>0</v>
      </c>
      <c r="I24" s="77">
        <f>G24+H24</f>
        <v>0</v>
      </c>
      <c r="J24" s="78" t="str">
        <f t="shared" si="16"/>
        <v/>
      </c>
      <c r="K24" s="77">
        <v>0</v>
      </c>
      <c r="L24" s="77">
        <v>0</v>
      </c>
      <c r="M24" s="77">
        <f>G24*1.19-G24</f>
        <v>0</v>
      </c>
      <c r="N24" s="77">
        <f t="shared" si="5"/>
        <v>0</v>
      </c>
      <c r="O24" s="77">
        <f>L24-M24-N24</f>
        <v>0</v>
      </c>
      <c r="P24" s="79">
        <f>IFERROR($H24-L24,"")</f>
        <v>0</v>
      </c>
      <c r="Q24" s="78" t="str">
        <f>IFERROR(($H24-L24)/$I24,"")</f>
        <v/>
      </c>
      <c r="R24" s="80" t="str">
        <f>IFERROR((1-Q24)*F24,"")</f>
        <v/>
      </c>
    </row>
    <row r="25" spans="2:32" s="81" customFormat="1" x14ac:dyDescent="0.3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.5" x14ac:dyDescent="0.35">
      <c r="B26" s="87" t="s">
        <v>50</v>
      </c>
      <c r="C26" s="87"/>
      <c r="D26" s="88">
        <f>SUBTOTAL(9,D19:D24)</f>
        <v>1</v>
      </c>
      <c r="E26" s="89">
        <f>SUBTOTAL(9,E19:E24)</f>
        <v>0</v>
      </c>
      <c r="F26" s="89"/>
      <c r="G26" s="89">
        <f>SUBTOTAL(9,G19:G24)</f>
        <v>0</v>
      </c>
      <c r="H26" s="89">
        <f>SUBTOTAL(9,H19:H24)</f>
        <v>0</v>
      </c>
      <c r="I26" s="89">
        <f>SUBTOTAL(9,I19:I24)</f>
        <v>0</v>
      </c>
      <c r="J26" s="90" t="e">
        <f>H26/I26</f>
        <v>#DIV/0!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0</v>
      </c>
      <c r="N26" s="89">
        <f t="shared" si="25"/>
        <v>0</v>
      </c>
      <c r="O26" s="89">
        <f t="shared" si="25"/>
        <v>0</v>
      </c>
      <c r="P26" s="89">
        <f t="shared" si="25"/>
        <v>0</v>
      </c>
      <c r="Q26" s="90" t="e">
        <f>($H26-L26)/$I26</f>
        <v>#DIV/0!</v>
      </c>
      <c r="R26" s="91" t="str">
        <f>IFERROR((1-Q26)*F26,"")</f>
        <v/>
      </c>
    </row>
    <row r="27" spans="2:32" x14ac:dyDescent="0.3">
      <c r="E27" s="221" t="e">
        <f>"Das enspricht "&amp;TEXT(E26/(C10),"0,0%") &amp; " des Leerstands p.a. über 3 Jahre."</f>
        <v>#DIV/0!</v>
      </c>
      <c r="H27" s="208"/>
    </row>
    <row r="28" spans="2:32" x14ac:dyDescent="0.3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5" x14ac:dyDescent="0.25"/>
  <cols>
    <col min="1" max="1" width="43.140625" bestFit="1" customWidth="1"/>
    <col min="2" max="2" width="10.85546875" hidden="1" customWidth="1"/>
    <col min="3" max="3" width="11.85546875" bestFit="1" customWidth="1"/>
    <col min="5" max="5" width="0" hidden="1" customWidth="1"/>
    <col min="8" max="8" width="0" hidden="1" customWidth="1"/>
    <col min="10" max="10" width="13.42578125" customWidth="1"/>
    <col min="11" max="11" width="0" hidden="1" customWidth="1"/>
    <col min="13" max="13" width="13.42578125" customWidth="1"/>
    <col min="14" max="14" width="0" hidden="1" customWidth="1"/>
    <col min="16" max="16" width="11.85546875" bestFit="1" customWidth="1"/>
  </cols>
  <sheetData>
    <row r="1" spans="1:16" ht="78.75" x14ac:dyDescent="0.2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31.5" x14ac:dyDescent="0.2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7.25" x14ac:dyDescent="0.2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75" x14ac:dyDescent="0.2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75" x14ac:dyDescent="0.2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75" x14ac:dyDescent="0.2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75" x14ac:dyDescent="0.2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75" x14ac:dyDescent="0.2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75" x14ac:dyDescent="0.2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75" x14ac:dyDescent="0.2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75" x14ac:dyDescent="0.2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75" x14ac:dyDescent="0.2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75" x14ac:dyDescent="0.2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75" x14ac:dyDescent="0.2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5" thickBot="1" x14ac:dyDescent="0.3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5" thickTop="1" x14ac:dyDescent="0.2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75" x14ac:dyDescent="0.2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75" x14ac:dyDescent="0.2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75" x14ac:dyDescent="0.2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75" x14ac:dyDescent="0.2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75" x14ac:dyDescent="0.2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0" workbookViewId="0">
      <selection activeCell="G27" sqref="G27"/>
    </sheetView>
  </sheetViews>
  <sheetFormatPr baseColWidth="10" defaultColWidth="8.5703125" defaultRowHeight="13.5" x14ac:dyDescent="0.25"/>
  <cols>
    <col min="1" max="1" width="3" style="97" customWidth="1"/>
    <col min="2" max="2" width="41" style="97" bestFit="1" customWidth="1"/>
    <col min="3" max="3" width="37.42578125" style="234" bestFit="1" customWidth="1"/>
    <col min="4" max="5" width="8.5703125" style="97"/>
    <col min="6" max="6" width="11.85546875" style="97" bestFit="1" customWidth="1"/>
    <col min="7" max="16384" width="8.5703125" style="97"/>
  </cols>
  <sheetData>
    <row r="2" spans="2:11" x14ac:dyDescent="0.25">
      <c r="B2" s="103" t="s">
        <v>51</v>
      </c>
      <c r="C2" s="225">
        <v>25</v>
      </c>
    </row>
    <row r="3" spans="2:11" x14ac:dyDescent="0.25">
      <c r="B3" s="103" t="s">
        <v>52</v>
      </c>
      <c r="C3" s="225">
        <v>45</v>
      </c>
    </row>
    <row r="4" spans="2:11" x14ac:dyDescent="0.25">
      <c r="B4" s="103" t="s">
        <v>53</v>
      </c>
      <c r="C4" s="226">
        <f>+C3-C2</f>
        <v>20</v>
      </c>
    </row>
    <row r="5" spans="2:11" ht="6" customHeight="1" x14ac:dyDescent="0.25">
      <c r="C5" s="227"/>
    </row>
    <row r="6" spans="2:11" x14ac:dyDescent="0.25">
      <c r="B6" s="103" t="s">
        <v>54</v>
      </c>
      <c r="C6" s="225" t="s">
        <v>264</v>
      </c>
    </row>
    <row r="7" spans="2:11" x14ac:dyDescent="0.2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0</v>
      </c>
    </row>
    <row r="9" spans="2:11" x14ac:dyDescent="0.25">
      <c r="B9" s="109" t="s">
        <v>56</v>
      </c>
      <c r="C9" s="228"/>
    </row>
    <row r="11" spans="2:11" ht="14.25" thickBot="1" x14ac:dyDescent="0.3">
      <c r="B11" s="106" t="s">
        <v>255</v>
      </c>
      <c r="C11" s="229">
        <f>C12</f>
        <v>0</v>
      </c>
    </row>
    <row r="12" spans="2:11" x14ac:dyDescent="0.25">
      <c r="B12" s="212" t="s">
        <v>285</v>
      </c>
      <c r="C12" s="230">
        <f>F13+F14</f>
        <v>0</v>
      </c>
      <c r="E12" s="97" t="s">
        <v>286</v>
      </c>
      <c r="F12" s="97" t="s">
        <v>287</v>
      </c>
    </row>
    <row r="13" spans="2:11" x14ac:dyDescent="0.2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25" thickBot="1" x14ac:dyDescent="0.3">
      <c r="B14" s="99" t="str">
        <f>"Mehrwertsteuer " &amp; TEXT(E14,"0%")</f>
        <v>Mehrwertsteuer 19%</v>
      </c>
      <c r="C14" s="232">
        <f>F14*E14</f>
        <v>0</v>
      </c>
      <c r="E14" s="223">
        <v>0.19</v>
      </c>
      <c r="F14" s="162">
        <f>(F18-F13*(1+E13))/(1+E14)</f>
        <v>0</v>
      </c>
    </row>
    <row r="15" spans="2:11" hidden="1" x14ac:dyDescent="0.25">
      <c r="B15" s="105" t="s">
        <v>61</v>
      </c>
      <c r="C15" s="233"/>
      <c r="K15" s="162"/>
    </row>
    <row r="16" spans="2:11" hidden="1" x14ac:dyDescent="0.25">
      <c r="B16" s="98" t="s">
        <v>179</v>
      </c>
      <c r="D16" s="162"/>
    </row>
    <row r="17" spans="2:8" ht="14.25" hidden="1" thickBot="1" x14ac:dyDescent="0.3">
      <c r="B17" s="99" t="s">
        <v>62</v>
      </c>
      <c r="C17" s="235"/>
      <c r="D17" s="97" t="s">
        <v>184</v>
      </c>
    </row>
    <row r="18" spans="2:8" x14ac:dyDescent="0.25">
      <c r="B18" s="100" t="s">
        <v>180</v>
      </c>
      <c r="C18" s="236">
        <f>SUM(C12:C14)</f>
        <v>0</v>
      </c>
      <c r="F18" s="97">
        <f>'Preise Output'!G26</f>
        <v>0</v>
      </c>
    </row>
    <row r="21" spans="2:8" x14ac:dyDescent="0.25">
      <c r="B21" s="109" t="s">
        <v>63</v>
      </c>
      <c r="C21" s="228"/>
    </row>
    <row r="22" spans="2:8" ht="6.75" customHeight="1" x14ac:dyDescent="0.25"/>
    <row r="23" spans="2:8" x14ac:dyDescent="0.25">
      <c r="B23" s="101" t="s">
        <v>258</v>
      </c>
    </row>
    <row r="24" spans="2:8" x14ac:dyDescent="0.25">
      <c r="B24" s="107" t="str">
        <f>C7&amp;" "&amp;"Gutscheine"&amp;" "&amp;"x"&amp;" "&amp;ROUND('Preise Output'!F7,2)&amp;"€"&amp;" "&amp;"je"&amp;" "&amp;"Gutschein"</f>
        <v>0 Gutscheine x 30€ je Gutschein</v>
      </c>
      <c r="C24" s="237">
        <f>IFERROR(C7*'Preise Output'!$F$7,"--")</f>
        <v>0</v>
      </c>
    </row>
    <row r="25" spans="2:8" x14ac:dyDescent="0.25">
      <c r="B25" s="97" t="e">
        <f>"Das enspricht "&amp;TEXT('Preise Output'!E26/('Preise Output'!C10),"0,0%") &amp; " des Leerstands p.a."</f>
        <v>#DIV/0!</v>
      </c>
      <c r="C25" s="231"/>
      <c r="E25" s="97" t="s">
        <v>286</v>
      </c>
      <c r="F25" s="97" t="s">
        <v>287</v>
      </c>
    </row>
    <row r="26" spans="2:8" x14ac:dyDescent="0.25">
      <c r="B26" s="98" t="str">
        <f>"Mehrwertsteuer " &amp; TEXT(E26,"0%")</f>
        <v>Mehrwertsteuer 7%</v>
      </c>
      <c r="C26" s="234">
        <f>IFERROR(F26*E26,"--")</f>
        <v>0</v>
      </c>
      <c r="E26" s="223">
        <v>7.0000000000000007E-2</v>
      </c>
      <c r="F26" s="162">
        <f>C24-F27</f>
        <v>0</v>
      </c>
    </row>
    <row r="27" spans="2:8" ht="14.25" thickBot="1" x14ac:dyDescent="0.3">
      <c r="B27" s="99" t="str">
        <f>"Mehrwertsteuer " &amp; TEXT(E27,"0%")</f>
        <v>Mehrwertsteuer 19%</v>
      </c>
      <c r="C27" s="234">
        <f>IFERROR(F27*E27,"--")</f>
        <v>0</v>
      </c>
      <c r="E27" s="223">
        <v>0.19</v>
      </c>
      <c r="F27" s="162">
        <f>G27*C7</f>
        <v>0</v>
      </c>
      <c r="G27" s="104">
        <v>5</v>
      </c>
      <c r="H27" s="97" t="s">
        <v>292</v>
      </c>
    </row>
    <row r="30" spans="2:8" x14ac:dyDescent="0.25">
      <c r="B30" s="96" t="s">
        <v>64</v>
      </c>
    </row>
    <row r="31" spans="2:8" x14ac:dyDescent="0.25">
      <c r="B31" s="107" t="str">
        <f>C4&amp;"€"&amp;" "&amp;"je"&amp;" "&amp;"Gutschein"&amp;" "&amp;"x"&amp;" "&amp;C7&amp;" "&amp;"Roomnights"</f>
        <v>20€ je Gutschein x 0 Roomnights</v>
      </c>
      <c r="C31" s="237">
        <f>C7*C4</f>
        <v>0</v>
      </c>
    </row>
    <row r="32" spans="2:8" x14ac:dyDescent="0.25">
      <c r="B32" s="108" t="s">
        <v>293</v>
      </c>
      <c r="C32" s="229">
        <f>C26+C27</f>
        <v>0</v>
      </c>
    </row>
    <row r="33" spans="2:3" ht="14.25" thickBot="1" x14ac:dyDescent="0.3">
      <c r="B33" s="115" t="s">
        <v>288</v>
      </c>
      <c r="C33" s="238">
        <f>-(C13+C14)</f>
        <v>0</v>
      </c>
    </row>
    <row r="34" spans="2:3" x14ac:dyDescent="0.25">
      <c r="B34" s="96" t="s">
        <v>271</v>
      </c>
      <c r="C34" s="236">
        <f>SUM(C31:C33)</f>
        <v>0</v>
      </c>
    </row>
    <row r="36" spans="2:3" x14ac:dyDescent="0.25">
      <c r="B36" s="102" t="s">
        <v>65</v>
      </c>
      <c r="C36" s="239">
        <f>C12-C34</f>
        <v>0</v>
      </c>
    </row>
    <row r="37" spans="2:3" x14ac:dyDescent="0.25">
      <c r="B37" s="97" t="s">
        <v>289</v>
      </c>
      <c r="C37" s="240" t="e">
        <f>C36/C12</f>
        <v>#DIV/0!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3" width="42" customWidth="1"/>
    <col min="4" max="5" width="24.5703125" customWidth="1"/>
    <col min="6" max="6" width="24.42578125" customWidth="1"/>
    <col min="7" max="7" width="20" customWidth="1"/>
    <col min="8" max="8" width="17.42578125" customWidth="1"/>
    <col min="9" max="12" width="20.42578125" customWidth="1"/>
    <col min="13" max="13" width="18.42578125" customWidth="1"/>
    <col min="14" max="14" width="13.42578125" bestFit="1" customWidth="1"/>
    <col min="15" max="15" width="13.42578125" customWidth="1"/>
    <col min="16" max="16" width="19.42578125" customWidth="1"/>
    <col min="17" max="17" width="20" style="7" customWidth="1"/>
    <col min="18" max="18" width="14.42578125" customWidth="1"/>
    <col min="19" max="19" width="15.42578125" customWidth="1"/>
    <col min="20" max="20" width="12" bestFit="1" customWidth="1"/>
  </cols>
  <sheetData>
    <row r="2" spans="2:19" s="94" customFormat="1" ht="24" customHeight="1" x14ac:dyDescent="0.25">
      <c r="B2" s="94" t="s">
        <v>66</v>
      </c>
      <c r="Q2" s="95"/>
    </row>
    <row r="3" spans="2:19" x14ac:dyDescent="0.25">
      <c r="N3" t="s">
        <v>61</v>
      </c>
      <c r="O3" t="s">
        <v>172</v>
      </c>
    </row>
    <row r="4" spans="2:19" s="1" customFormat="1" ht="45" x14ac:dyDescent="0.2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2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2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2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2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2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2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.75" x14ac:dyDescent="0.2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.75" x14ac:dyDescent="0.2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.75" x14ac:dyDescent="0.2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.75" x14ac:dyDescent="0.2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.75" x14ac:dyDescent="0.2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2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0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0</v>
      </c>
      <c r="R16" s="35">
        <f t="shared" si="4"/>
        <v>0</v>
      </c>
      <c r="S16" s="32"/>
    </row>
    <row r="17" spans="2:19" s="5" customFormat="1" x14ac:dyDescent="0.2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2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2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2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2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2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ht="30" x14ac:dyDescent="0.2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2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2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2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2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2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25">
      <c r="B29" s="94" t="s">
        <v>177</v>
      </c>
      <c r="Q29" s="95"/>
    </row>
    <row r="30" spans="2:19" x14ac:dyDescent="0.2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2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30" x14ac:dyDescent="0.2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2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2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2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2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2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2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.75" x14ac:dyDescent="0.2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.75" x14ac:dyDescent="0.2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.75" x14ac:dyDescent="0.2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.75" x14ac:dyDescent="0.2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.75" x14ac:dyDescent="0.2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2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0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1440</v>
      </c>
      <c r="R44" s="26"/>
      <c r="S44" s="27"/>
    </row>
    <row r="45" spans="2:19" x14ac:dyDescent="0.2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2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2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2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2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ht="30" x14ac:dyDescent="0.2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2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2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2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2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25">
      <c r="Q55"/>
    </row>
    <row r="56" spans="2:20" x14ac:dyDescent="0.25">
      <c r="Q56"/>
    </row>
    <row r="57" spans="2:20" x14ac:dyDescent="0.25">
      <c r="Q57"/>
    </row>
    <row r="58" spans="2:20" x14ac:dyDescent="0.25">
      <c r="Q58"/>
    </row>
    <row r="59" spans="2:20" x14ac:dyDescent="0.25">
      <c r="Q59"/>
    </row>
    <row r="60" spans="2:20" x14ac:dyDescent="0.25">
      <c r="Q60"/>
    </row>
    <row r="61" spans="2:20" x14ac:dyDescent="0.25">
      <c r="Q61"/>
    </row>
    <row r="62" spans="2:20" x14ac:dyDescent="0.25">
      <c r="Q62"/>
    </row>
    <row r="63" spans="2:20" x14ac:dyDescent="0.25">
      <c r="Q63"/>
    </row>
    <row r="64" spans="2:20" x14ac:dyDescent="0.25">
      <c r="Q64"/>
    </row>
    <row r="65" spans="17:17" x14ac:dyDescent="0.25">
      <c r="Q65"/>
    </row>
    <row r="66" spans="17:17" x14ac:dyDescent="0.25">
      <c r="Q66"/>
    </row>
    <row r="67" spans="17:17" x14ac:dyDescent="0.25">
      <c r="Q67"/>
    </row>
    <row r="68" spans="17:17" x14ac:dyDescent="0.25">
      <c r="Q68"/>
    </row>
    <row r="69" spans="17:17" x14ac:dyDescent="0.25">
      <c r="Q69"/>
    </row>
    <row r="70" spans="17:17" x14ac:dyDescent="0.25">
      <c r="Q70"/>
    </row>
    <row r="71" spans="17:17" x14ac:dyDescent="0.25">
      <c r="Q71"/>
    </row>
    <row r="72" spans="17:17" x14ac:dyDescent="0.25">
      <c r="Q72"/>
    </row>
    <row r="73" spans="17:17" x14ac:dyDescent="0.25">
      <c r="Q73"/>
    </row>
    <row r="74" spans="17:17" x14ac:dyDescent="0.25">
      <c r="Q74"/>
    </row>
    <row r="75" spans="17:17" x14ac:dyDescent="0.25">
      <c r="Q75"/>
    </row>
    <row r="76" spans="17:17" x14ac:dyDescent="0.25">
      <c r="Q76"/>
    </row>
    <row r="77" spans="17:17" x14ac:dyDescent="0.25">
      <c r="Q77"/>
    </row>
    <row r="78" spans="17:17" x14ac:dyDescent="0.25">
      <c r="Q78"/>
    </row>
    <row r="79" spans="17:17" x14ac:dyDescent="0.25">
      <c r="Q79"/>
    </row>
    <row r="80" spans="17:17" x14ac:dyDescent="0.25">
      <c r="Q80"/>
    </row>
    <row r="81" spans="17:17" x14ac:dyDescent="0.25">
      <c r="Q81"/>
    </row>
    <row r="82" spans="17:17" x14ac:dyDescent="0.25">
      <c r="Q82"/>
    </row>
    <row r="83" spans="17:17" x14ac:dyDescent="0.25">
      <c r="Q83"/>
    </row>
    <row r="84" spans="17:17" x14ac:dyDescent="0.25">
      <c r="Q84"/>
    </row>
    <row r="85" spans="17:17" x14ac:dyDescent="0.25">
      <c r="Q85"/>
    </row>
    <row r="86" spans="17:17" x14ac:dyDescent="0.25">
      <c r="Q86"/>
    </row>
    <row r="87" spans="17:17" x14ac:dyDescent="0.25">
      <c r="Q87"/>
    </row>
    <row r="88" spans="17:17" x14ac:dyDescent="0.25">
      <c r="Q88"/>
    </row>
    <row r="89" spans="17:17" x14ac:dyDescent="0.25">
      <c r="Q89"/>
    </row>
    <row r="90" spans="17:17" x14ac:dyDescent="0.25">
      <c r="Q90"/>
    </row>
    <row r="91" spans="17:17" x14ac:dyDescent="0.25">
      <c r="Q91"/>
    </row>
    <row r="92" spans="17:17" x14ac:dyDescent="0.25">
      <c r="Q92"/>
    </row>
    <row r="93" spans="17:17" x14ac:dyDescent="0.25">
      <c r="Q93"/>
    </row>
    <row r="94" spans="17:17" x14ac:dyDescent="0.25">
      <c r="Q94"/>
    </row>
    <row r="95" spans="17:17" x14ac:dyDescent="0.25">
      <c r="Q95"/>
    </row>
    <row r="96" spans="17:17" x14ac:dyDescent="0.25">
      <c r="Q96"/>
    </row>
    <row r="97" spans="17:17" x14ac:dyDescent="0.25">
      <c r="Q97"/>
    </row>
    <row r="98" spans="17:17" x14ac:dyDescent="0.25">
      <c r="Q98"/>
    </row>
    <row r="99" spans="17:17" x14ac:dyDescent="0.25">
      <c r="Q99"/>
    </row>
    <row r="100" spans="17:17" x14ac:dyDescent="0.25">
      <c r="Q100"/>
    </row>
    <row r="101" spans="17:17" x14ac:dyDescent="0.25">
      <c r="Q101"/>
    </row>
    <row r="102" spans="17:17" x14ac:dyDescent="0.25">
      <c r="Q102"/>
    </row>
    <row r="103" spans="17:17" x14ac:dyDescent="0.25">
      <c r="Q103"/>
    </row>
    <row r="104" spans="17:17" x14ac:dyDescent="0.25">
      <c r="Q104"/>
    </row>
    <row r="105" spans="17:17" x14ac:dyDescent="0.25">
      <c r="Q105"/>
    </row>
    <row r="106" spans="17:17" x14ac:dyDescent="0.25">
      <c r="Q106"/>
    </row>
    <row r="107" spans="17:17" x14ac:dyDescent="0.25">
      <c r="Q107"/>
    </row>
    <row r="108" spans="17:17" x14ac:dyDescent="0.25">
      <c r="Q108"/>
    </row>
    <row r="109" spans="17:17" x14ac:dyDescent="0.25">
      <c r="Q109"/>
    </row>
    <row r="110" spans="17:17" x14ac:dyDescent="0.25">
      <c r="Q110"/>
    </row>
    <row r="111" spans="17:17" x14ac:dyDescent="0.25">
      <c r="Q111"/>
    </row>
    <row r="112" spans="17:17" x14ac:dyDescent="0.25">
      <c r="Q112"/>
    </row>
    <row r="113" spans="17:17" x14ac:dyDescent="0.25">
      <c r="Q113"/>
    </row>
    <row r="114" spans="17:17" x14ac:dyDescent="0.25">
      <c r="Q114"/>
    </row>
    <row r="115" spans="17:17" x14ac:dyDescent="0.25">
      <c r="Q115"/>
    </row>
    <row r="116" spans="17:17" x14ac:dyDescent="0.25">
      <c r="Q116"/>
    </row>
    <row r="117" spans="17:17" x14ac:dyDescent="0.25">
      <c r="Q117"/>
    </row>
    <row r="118" spans="17:17" x14ac:dyDescent="0.25">
      <c r="Q118"/>
    </row>
    <row r="119" spans="17:17" x14ac:dyDescent="0.25">
      <c r="Q119"/>
    </row>
    <row r="120" spans="17:17" x14ac:dyDescent="0.25">
      <c r="Q120"/>
    </row>
    <row r="121" spans="17:17" x14ac:dyDescent="0.25">
      <c r="Q121"/>
    </row>
    <row r="122" spans="17:17" x14ac:dyDescent="0.25">
      <c r="Q122"/>
    </row>
    <row r="123" spans="17:17" x14ac:dyDescent="0.25">
      <c r="Q123"/>
    </row>
    <row r="124" spans="17:17" x14ac:dyDescent="0.25">
      <c r="Q124"/>
    </row>
    <row r="125" spans="17:17" x14ac:dyDescent="0.25">
      <c r="Q125"/>
    </row>
    <row r="126" spans="17:17" x14ac:dyDescent="0.25">
      <c r="Q126"/>
    </row>
    <row r="127" spans="17:17" x14ac:dyDescent="0.25">
      <c r="Q127"/>
    </row>
    <row r="128" spans="17:17" x14ac:dyDescent="0.25">
      <c r="Q128"/>
    </row>
    <row r="129" spans="17:17" x14ac:dyDescent="0.25">
      <c r="Q129"/>
    </row>
    <row r="130" spans="17:17" x14ac:dyDescent="0.25">
      <c r="Q130"/>
    </row>
    <row r="131" spans="17:17" x14ac:dyDescent="0.25">
      <c r="Q131"/>
    </row>
    <row r="132" spans="17:17" x14ac:dyDescent="0.25">
      <c r="Q132"/>
    </row>
    <row r="133" spans="17:17" x14ac:dyDescent="0.25">
      <c r="Q133"/>
    </row>
    <row r="134" spans="17:17" x14ac:dyDescent="0.25">
      <c r="Q134"/>
    </row>
    <row r="135" spans="17:17" x14ac:dyDescent="0.25">
      <c r="Q135"/>
    </row>
    <row r="136" spans="17:17" x14ac:dyDescent="0.25">
      <c r="Q136"/>
    </row>
    <row r="137" spans="17:17" x14ac:dyDescent="0.25">
      <c r="Q137"/>
    </row>
    <row r="138" spans="17:17" x14ac:dyDescent="0.25">
      <c r="Q138"/>
    </row>
    <row r="139" spans="17:17" x14ac:dyDescent="0.25">
      <c r="Q139"/>
    </row>
    <row r="140" spans="17:17" x14ac:dyDescent="0.25">
      <c r="Q140"/>
    </row>
    <row r="141" spans="17:17" x14ac:dyDescent="0.25">
      <c r="Q141"/>
    </row>
    <row r="142" spans="17:17" x14ac:dyDescent="0.25">
      <c r="Q142"/>
    </row>
    <row r="143" spans="17:17" x14ac:dyDescent="0.25">
      <c r="Q143"/>
    </row>
    <row r="144" spans="17:17" x14ac:dyDescent="0.25">
      <c r="Q144"/>
    </row>
    <row r="145" spans="17:17" x14ac:dyDescent="0.25">
      <c r="Q145"/>
    </row>
    <row r="146" spans="17:17" x14ac:dyDescent="0.25">
      <c r="Q146"/>
    </row>
    <row r="147" spans="17:17" x14ac:dyDescent="0.25">
      <c r="Q147"/>
    </row>
    <row r="148" spans="17:17" x14ac:dyDescent="0.25">
      <c r="Q148"/>
    </row>
    <row r="149" spans="17:17" x14ac:dyDescent="0.25">
      <c r="Q149"/>
    </row>
    <row r="150" spans="17:17" x14ac:dyDescent="0.25">
      <c r="Q150"/>
    </row>
    <row r="151" spans="17:17" x14ac:dyDescent="0.25">
      <c r="Q151"/>
    </row>
    <row r="152" spans="17:17" x14ac:dyDescent="0.25">
      <c r="Q152"/>
    </row>
    <row r="153" spans="17:17" x14ac:dyDescent="0.25">
      <c r="Q153"/>
    </row>
    <row r="154" spans="17:17" x14ac:dyDescent="0.25">
      <c r="Q154"/>
    </row>
    <row r="155" spans="17:17" x14ac:dyDescent="0.25">
      <c r="Q155"/>
    </row>
    <row r="156" spans="17:17" x14ac:dyDescent="0.25">
      <c r="Q156"/>
    </row>
    <row r="157" spans="17:17" x14ac:dyDescent="0.25">
      <c r="Q157"/>
    </row>
    <row r="158" spans="17:17" x14ac:dyDescent="0.25">
      <c r="Q158"/>
    </row>
    <row r="159" spans="17:17" x14ac:dyDescent="0.25">
      <c r="Q159"/>
    </row>
    <row r="160" spans="17:17" x14ac:dyDescent="0.25">
      <c r="Q160"/>
    </row>
    <row r="161" spans="17:17" x14ac:dyDescent="0.25">
      <c r="Q161"/>
    </row>
    <row r="162" spans="17:17" x14ac:dyDescent="0.25">
      <c r="Q162"/>
    </row>
    <row r="163" spans="17:17" x14ac:dyDescent="0.25">
      <c r="Q163"/>
    </row>
    <row r="164" spans="17:17" x14ac:dyDescent="0.25">
      <c r="Q164"/>
    </row>
    <row r="165" spans="17:17" x14ac:dyDescent="0.25">
      <c r="Q165"/>
    </row>
    <row r="166" spans="17:17" x14ac:dyDescent="0.25">
      <c r="Q166"/>
    </row>
    <row r="167" spans="17:17" x14ac:dyDescent="0.25">
      <c r="Q167"/>
    </row>
    <row r="168" spans="17:17" x14ac:dyDescent="0.25">
      <c r="Q168"/>
    </row>
    <row r="169" spans="17:17" x14ac:dyDescent="0.25">
      <c r="Q169"/>
    </row>
    <row r="170" spans="17:17" x14ac:dyDescent="0.25">
      <c r="Q170"/>
    </row>
    <row r="171" spans="17:17" x14ac:dyDescent="0.25">
      <c r="Q171"/>
    </row>
    <row r="172" spans="17:17" x14ac:dyDescent="0.25">
      <c r="Q172"/>
    </row>
    <row r="173" spans="17:17" x14ac:dyDescent="0.25">
      <c r="Q173"/>
    </row>
    <row r="174" spans="17:17" x14ac:dyDescent="0.25">
      <c r="Q174"/>
    </row>
    <row r="175" spans="17:17" x14ac:dyDescent="0.25">
      <c r="Q175"/>
    </row>
    <row r="176" spans="17:17" x14ac:dyDescent="0.25">
      <c r="Q176"/>
    </row>
    <row r="177" spans="17:17" x14ac:dyDescent="0.25">
      <c r="Q177"/>
    </row>
    <row r="178" spans="17:17" x14ac:dyDescent="0.25">
      <c r="Q178"/>
    </row>
    <row r="179" spans="17:17" x14ac:dyDescent="0.25">
      <c r="Q179"/>
    </row>
    <row r="180" spans="17:17" x14ac:dyDescent="0.25">
      <c r="Q180"/>
    </row>
    <row r="181" spans="17:17" x14ac:dyDescent="0.25">
      <c r="Q181"/>
    </row>
    <row r="182" spans="17:17" x14ac:dyDescent="0.25">
      <c r="Q182"/>
    </row>
    <row r="183" spans="17:17" x14ac:dyDescent="0.25">
      <c r="Q183"/>
    </row>
    <row r="184" spans="17:17" x14ac:dyDescent="0.25">
      <c r="Q184"/>
    </row>
    <row r="185" spans="17:17" x14ac:dyDescent="0.25">
      <c r="Q185"/>
    </row>
    <row r="186" spans="17:17" x14ac:dyDescent="0.25">
      <c r="Q186"/>
    </row>
    <row r="187" spans="17:17" x14ac:dyDescent="0.25">
      <c r="Q187"/>
    </row>
    <row r="188" spans="17:17" x14ac:dyDescent="0.25">
      <c r="Q188"/>
    </row>
    <row r="189" spans="17:17" x14ac:dyDescent="0.25">
      <c r="Q189"/>
    </row>
    <row r="190" spans="17:17" x14ac:dyDescent="0.25">
      <c r="Q190"/>
    </row>
    <row r="191" spans="17:17" x14ac:dyDescent="0.25">
      <c r="Q191"/>
    </row>
    <row r="192" spans="17:17" x14ac:dyDescent="0.25">
      <c r="Q192"/>
    </row>
    <row r="193" spans="17:17" x14ac:dyDescent="0.25">
      <c r="Q193"/>
    </row>
    <row r="194" spans="17:17" x14ac:dyDescent="0.25">
      <c r="Q194"/>
    </row>
    <row r="195" spans="17:17" x14ac:dyDescent="0.25">
      <c r="Q195"/>
    </row>
    <row r="196" spans="17:17" x14ac:dyDescent="0.25">
      <c r="Q196"/>
    </row>
    <row r="197" spans="17:17" x14ac:dyDescent="0.25">
      <c r="Q197"/>
    </row>
    <row r="198" spans="17:17" x14ac:dyDescent="0.25">
      <c r="Q198"/>
    </row>
    <row r="199" spans="17:17" x14ac:dyDescent="0.25">
      <c r="Q199"/>
    </row>
    <row r="200" spans="17:17" x14ac:dyDescent="0.2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5" x14ac:dyDescent="0.25"/>
  <cols>
    <col min="1" max="1" width="24.42578125" bestFit="1" customWidth="1"/>
  </cols>
  <sheetData>
    <row r="1" spans="1:2" x14ac:dyDescent="0.25">
      <c r="A1" t="s">
        <v>196</v>
      </c>
      <c r="B1" t="s">
        <v>277</v>
      </c>
    </row>
    <row r="2" spans="1:2" x14ac:dyDescent="0.25">
      <c r="A2">
        <v>221220</v>
      </c>
      <c r="B2" t="s">
        <v>197</v>
      </c>
    </row>
    <row r="3" spans="1:2" x14ac:dyDescent="0.25">
      <c r="B3" t="s">
        <v>198</v>
      </c>
    </row>
    <row r="4" spans="1:2" x14ac:dyDescent="0.25">
      <c r="B4" t="s">
        <v>199</v>
      </c>
    </row>
    <row r="5" spans="1:2" x14ac:dyDescent="0.25">
      <c r="A5">
        <v>230126</v>
      </c>
      <c r="B5" t="s">
        <v>201</v>
      </c>
    </row>
    <row r="6" spans="1:2" x14ac:dyDescent="0.25">
      <c r="B6" t="s">
        <v>202</v>
      </c>
    </row>
    <row r="7" spans="1:2" x14ac:dyDescent="0.25">
      <c r="B7" t="s">
        <v>204</v>
      </c>
    </row>
    <row r="9" spans="1:2" x14ac:dyDescent="0.25">
      <c r="A9" t="s">
        <v>247</v>
      </c>
      <c r="B9" t="s">
        <v>205</v>
      </c>
    </row>
    <row r="10" spans="1:2" x14ac:dyDescent="0.25">
      <c r="B10" t="s">
        <v>248</v>
      </c>
    </row>
    <row r="11" spans="1:2" x14ac:dyDescent="0.25">
      <c r="B11" t="s">
        <v>249</v>
      </c>
    </row>
    <row r="12" spans="1:2" x14ac:dyDescent="0.25">
      <c r="A12" t="s">
        <v>259</v>
      </c>
      <c r="B12" t="s">
        <v>261</v>
      </c>
    </row>
    <row r="13" spans="1:2" x14ac:dyDescent="0.25">
      <c r="B13" t="s">
        <v>260</v>
      </c>
    </row>
    <row r="14" spans="1:2" x14ac:dyDescent="0.25">
      <c r="A14" t="s">
        <v>265</v>
      </c>
      <c r="B14" t="s">
        <v>263</v>
      </c>
    </row>
    <row r="15" spans="1:2" x14ac:dyDescent="0.25">
      <c r="B15" t="s">
        <v>266</v>
      </c>
    </row>
    <row r="16" spans="1:2" x14ac:dyDescent="0.25">
      <c r="A16" t="s">
        <v>267</v>
      </c>
      <c r="B16" t="s">
        <v>270</v>
      </c>
    </row>
    <row r="17" spans="1:2" x14ac:dyDescent="0.25">
      <c r="B17" t="s">
        <v>268</v>
      </c>
    </row>
    <row r="18" spans="1:2" x14ac:dyDescent="0.25">
      <c r="B18" t="s">
        <v>269</v>
      </c>
    </row>
    <row r="19" spans="1:2" x14ac:dyDescent="0.25">
      <c r="A19" t="s">
        <v>272</v>
      </c>
      <c r="B19" t="s">
        <v>273</v>
      </c>
    </row>
    <row r="20" spans="1:2" x14ac:dyDescent="0.25">
      <c r="B20" t="s">
        <v>274</v>
      </c>
    </row>
    <row r="21" spans="1:2" x14ac:dyDescent="0.25">
      <c r="A21" t="s">
        <v>275</v>
      </c>
      <c r="B21" t="s">
        <v>276</v>
      </c>
    </row>
    <row r="22" spans="1:2" x14ac:dyDescent="0.25">
      <c r="A22" t="s">
        <v>279</v>
      </c>
      <c r="B22" t="s">
        <v>280</v>
      </c>
    </row>
    <row r="23" spans="1:2" x14ac:dyDescent="0.25">
      <c r="A23" t="s">
        <v>283</v>
      </c>
      <c r="B23" t="s">
        <v>284</v>
      </c>
    </row>
    <row r="24" spans="1:2" x14ac:dyDescent="0.2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2578125" defaultRowHeight="15" outlineLevelRow="1" x14ac:dyDescent="0.25"/>
  <cols>
    <col min="3" max="3" width="26.5703125" customWidth="1"/>
    <col min="4" max="4" width="12.140625" style="127" customWidth="1"/>
    <col min="5" max="5" width="11.42578125" style="126" bestFit="1" customWidth="1"/>
    <col min="6" max="6" width="11.5703125" style="126" bestFit="1" customWidth="1"/>
    <col min="7" max="7" width="11.42578125" style="126" bestFit="1" customWidth="1"/>
    <col min="8" max="8" width="14.42578125" style="126" customWidth="1"/>
    <col min="9" max="15" width="11.42578125" style="126" bestFit="1" customWidth="1"/>
    <col min="16" max="16" width="10.42578125" bestFit="1" customWidth="1"/>
    <col min="17" max="27" width="11.42578125" bestFit="1" customWidth="1"/>
    <col min="28" max="28" width="10.42578125" bestFit="1" customWidth="1"/>
    <col min="29" max="39" width="11.42578125" bestFit="1" customWidth="1"/>
    <col min="40" max="40" width="12.42578125" bestFit="1" customWidth="1"/>
    <col min="41" max="41" width="10.42578125" bestFit="1" customWidth="1"/>
    <col min="43" max="43" width="12.5703125" bestFit="1" customWidth="1"/>
    <col min="44" max="44" width="11.42578125" bestFit="1" customWidth="1"/>
    <col min="45" max="54" width="10.42578125" bestFit="1" customWidth="1"/>
  </cols>
  <sheetData>
    <row r="2" spans="2:54" s="118" customFormat="1" x14ac:dyDescent="0.2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2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2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2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2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0</v>
      </c>
      <c r="F7" s="129">
        <f>IF($B$6=100%,(('Preise Output'!$F$10-INDEX(Annahmen!$B$18:$C$22,MATCH('Preise Output'!$C$7,Annahmen!$B$18:$B$22,0),2))*'Preise Output'!$E$26)/10,('Preise Output'!$E$26*'Preise Output'!$F$10-$D$6)/10)</f>
        <v>0</v>
      </c>
      <c r="G7" s="129">
        <f>IF($B$6=100%,(('Preise Output'!$F$10-INDEX(Annahmen!$B$18:$C$22,MATCH('Preise Output'!$C$7,Annahmen!$B$18:$B$22,0),2))*'Preise Output'!$E$26)/10,('Preise Output'!$E$26*'Preise Output'!$F$10-$D$6)/10)</f>
        <v>0</v>
      </c>
      <c r="H7" s="129">
        <f>IF($B$6=100%,(('Preise Output'!$F$10-INDEX(Annahmen!$B$18:$C$22,MATCH('Preise Output'!$C$7,Annahmen!$B$18:$B$22,0),2))*'Preise Output'!$E$26)/10,('Preise Output'!$E$26*'Preise Output'!$F$10-$D$6)/10)</f>
        <v>0</v>
      </c>
      <c r="I7" s="129">
        <f>IF($B$6=100%,(('Preise Output'!$F$10-INDEX(Annahmen!$B$18:$C$22,MATCH('Preise Output'!$C$7,Annahmen!$B$18:$B$22,0),2))*'Preise Output'!$E$26)/10,('Preise Output'!$E$26*'Preise Output'!$F$10-$D$6)/10)</f>
        <v>0</v>
      </c>
      <c r="J7" s="129">
        <f>IF($B$6=100%,(('Preise Output'!$F$10-INDEX(Annahmen!$B$18:$C$22,MATCH('Preise Output'!$C$7,Annahmen!$B$18:$B$22,0),2))*'Preise Output'!$E$26)/10,('Preise Output'!$E$26*'Preise Output'!$F$10-$D$6)/10)</f>
        <v>0</v>
      </c>
      <c r="K7" s="129">
        <f>IF($B$6=100%,(('Preise Output'!$F$10-INDEX(Annahmen!$B$18:$C$22,MATCH('Preise Output'!$C$7,Annahmen!$B$18:$B$22,0),2))*'Preise Output'!$E$26)/10,('Preise Output'!$E$26*'Preise Output'!$F$10-$D$6)/10)</f>
        <v>0</v>
      </c>
      <c r="L7" s="129">
        <f>IF($B$6=100%,(('Preise Output'!$F$10-INDEX(Annahmen!$B$18:$C$22,MATCH('Preise Output'!$C$7,Annahmen!$B$18:$B$22,0),2))*'Preise Output'!$E$26)/10,('Preise Output'!$E$26*'Preise Output'!$F$10-$D$6)/10)</f>
        <v>0</v>
      </c>
      <c r="M7" s="129">
        <f>IF($B$6=100%,(('Preise Output'!$F$10-INDEX(Annahmen!$B$18:$C$22,MATCH('Preise Output'!$C$7,Annahmen!$B$18:$B$22,0),2))*'Preise Output'!$E$26)/10,('Preise Output'!$E$26*'Preise Output'!$F$10-$D$6)/10)</f>
        <v>0</v>
      </c>
      <c r="N7" s="129">
        <f>IF($B$6=100%,(('Preise Output'!$F$10-INDEX(Annahmen!$B$18:$C$22,MATCH('Preise Output'!$C$7,Annahmen!$B$18:$B$22,0),2))*'Preise Output'!$E$26)/10,('Preise Output'!$E$26*'Preise Output'!$F$10-$D$6)/10)</f>
        <v>0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0</v>
      </c>
      <c r="R7" s="129">
        <f>IF($B$6=100%,(('Preise Output'!$F$10-INDEX(Annahmen!$B$18:$C$22,MATCH('Preise Output'!$C$7,Annahmen!$B$18:$B$22,0),2))*'Preise Output'!$E$26)/10,('Preise Output'!$E$26*'Preise Output'!$F$10-$D$6)/10)</f>
        <v>0</v>
      </c>
      <c r="S7" s="129">
        <f>IF($B$6=100%,(('Preise Output'!$F$10-INDEX(Annahmen!$B$18:$C$22,MATCH('Preise Output'!$C$7,Annahmen!$B$18:$B$22,0),2))*'Preise Output'!$E$26)/10,('Preise Output'!$E$26*'Preise Output'!$F$10-$D$6)/10)</f>
        <v>0</v>
      </c>
      <c r="T7" s="129">
        <f>IF($B$6=100%,(('Preise Output'!$F$10-INDEX(Annahmen!$B$18:$C$22,MATCH('Preise Output'!$C$7,Annahmen!$B$18:$B$22,0),2))*'Preise Output'!$E$26)/10,('Preise Output'!$E$26*'Preise Output'!$F$10-$D$6)/10)</f>
        <v>0</v>
      </c>
      <c r="U7" s="129">
        <f>IF($B$6=100%,(('Preise Output'!$F$10-INDEX(Annahmen!$B$18:$C$22,MATCH('Preise Output'!$C$7,Annahmen!$B$18:$B$22,0),2))*'Preise Output'!$E$26)/10,('Preise Output'!$E$26*'Preise Output'!$F$10-$D$6)/10)</f>
        <v>0</v>
      </c>
      <c r="V7" s="129">
        <f>IF($B$6=100%,(('Preise Output'!$F$10-INDEX(Annahmen!$B$18:$C$22,MATCH('Preise Output'!$C$7,Annahmen!$B$18:$B$22,0),2))*'Preise Output'!$E$26)/10,('Preise Output'!$E$26*'Preise Output'!$F$10-$D$6)/10)</f>
        <v>0</v>
      </c>
      <c r="W7" s="129">
        <f>IF($B$6=100%,(('Preise Output'!$F$10-INDEX(Annahmen!$B$18:$C$22,MATCH('Preise Output'!$C$7,Annahmen!$B$18:$B$22,0),2))*'Preise Output'!$E$26)/10,('Preise Output'!$E$26*'Preise Output'!$F$10-$D$6)/10)</f>
        <v>0</v>
      </c>
      <c r="X7" s="129">
        <f>IF($B$6=100%,(('Preise Output'!$F$10-INDEX(Annahmen!$B$18:$C$22,MATCH('Preise Output'!$C$7,Annahmen!$B$18:$B$22,0),2))*'Preise Output'!$E$26)/10,('Preise Output'!$E$26*'Preise Output'!$F$10-$D$6)/10)</f>
        <v>0</v>
      </c>
      <c r="Y7" s="129">
        <f>IF($B$6=100%,(('Preise Output'!$F$10-INDEX(Annahmen!$B$18:$C$22,MATCH('Preise Output'!$C$7,Annahmen!$B$18:$B$22,0),2))*'Preise Output'!$E$26)/10,('Preise Output'!$E$26*'Preise Output'!$F$10-$D$6)/10)</f>
        <v>0</v>
      </c>
      <c r="Z7" s="129">
        <f>IF($B$6=100%,(('Preise Output'!$F$10-INDEX(Annahmen!$B$18:$C$22,MATCH('Preise Output'!$C$7,Annahmen!$B$18:$B$22,0),2))*'Preise Output'!$E$26)/10,('Preise Output'!$E$26*'Preise Output'!$F$10-$D$6)/10)</f>
        <v>0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0</v>
      </c>
      <c r="AD7" s="129">
        <f>IF($B$6=100%,(('Preise Output'!$F$10-INDEX(Annahmen!$B$18:$C$22,MATCH('Preise Output'!$C$7,Annahmen!$B$18:$B$22,0),2))*'Preise Output'!$E$26)/10,('Preise Output'!$E$26*'Preise Output'!$F$10-$D$6)/10)</f>
        <v>0</v>
      </c>
      <c r="AE7" s="129">
        <f>IF($B$6=100%,(('Preise Output'!$F$10-INDEX(Annahmen!$B$18:$C$22,MATCH('Preise Output'!$C$7,Annahmen!$B$18:$B$22,0),2))*'Preise Output'!$E$26)/10,('Preise Output'!$E$26*'Preise Output'!$F$10-$D$6)/10)</f>
        <v>0</v>
      </c>
      <c r="AF7" s="129">
        <f>IF($B$6=100%,(('Preise Output'!$F$10-INDEX(Annahmen!$B$18:$C$22,MATCH('Preise Output'!$C$7,Annahmen!$B$18:$B$22,0),2))*'Preise Output'!$E$26)/10,('Preise Output'!$E$26*'Preise Output'!$F$10-$D$6)/10)</f>
        <v>0</v>
      </c>
      <c r="AG7" s="129">
        <f>IF($B$6=100%,(('Preise Output'!$F$10-INDEX(Annahmen!$B$18:$C$22,MATCH('Preise Output'!$C$7,Annahmen!$B$18:$B$22,0),2))*'Preise Output'!$E$26)/10,('Preise Output'!$E$26*'Preise Output'!$F$10-$D$6)/10)</f>
        <v>0</v>
      </c>
      <c r="AH7" s="129">
        <f>IF($B$6=100%,(('Preise Output'!$F$10-INDEX(Annahmen!$B$18:$C$22,MATCH('Preise Output'!$C$7,Annahmen!$B$18:$B$22,0),2))*'Preise Output'!$E$26)/10,('Preise Output'!$E$26*'Preise Output'!$F$10-$D$6)/10)</f>
        <v>0</v>
      </c>
      <c r="AI7" s="129">
        <f>IF($B$6=100%,(('Preise Output'!$F$10-INDEX(Annahmen!$B$18:$C$22,MATCH('Preise Output'!$C$7,Annahmen!$B$18:$B$22,0),2))*'Preise Output'!$E$26)/10,('Preise Output'!$E$26*'Preise Output'!$F$10-$D$6)/10)</f>
        <v>0</v>
      </c>
      <c r="AJ7" s="129">
        <f>IF($B$6=100%,(('Preise Output'!$F$10-INDEX(Annahmen!$B$18:$C$22,MATCH('Preise Output'!$C$7,Annahmen!$B$18:$B$22,0),2))*'Preise Output'!$E$26)/10,('Preise Output'!$E$26*'Preise Output'!$F$10-$D$6)/10)</f>
        <v>0</v>
      </c>
      <c r="AK7" s="129">
        <f>IF($B$6=100%,(('Preise Output'!$F$10-INDEX(Annahmen!$B$18:$C$22,MATCH('Preise Output'!$C$7,Annahmen!$B$18:$B$22,0),2))*'Preise Output'!$E$26)/10,('Preise Output'!$E$26*'Preise Output'!$F$10-$D$6)/10)</f>
        <v>0</v>
      </c>
      <c r="AL7" s="129">
        <f>IF($B$6=100%,(('Preise Output'!$F$10-INDEX(Annahmen!$B$18:$C$22,MATCH('Preise Output'!$C$7,Annahmen!$B$18:$B$22,0),2))*'Preise Output'!$E$26)/10,('Preise Output'!$E$26*'Preise Output'!$F$10-$D$6)/10)</f>
        <v>0</v>
      </c>
      <c r="AM7" s="130"/>
      <c r="AN7" s="130">
        <f t="shared" ref="AN7:AN43" si="0">SUM(D7:AM7)</f>
        <v>0</v>
      </c>
      <c r="AQ7" s="130">
        <f t="shared" ref="AQ7:AQ45" si="1">SUM(D7:F7)</f>
        <v>0</v>
      </c>
      <c r="AR7" s="130">
        <f t="shared" ref="AR7:AR45" si="2">SUM(G7:I7)</f>
        <v>0</v>
      </c>
      <c r="AS7" s="130">
        <f t="shared" ref="AS7:AS45" si="3">SUM(J7:L7)</f>
        <v>0</v>
      </c>
      <c r="AT7" s="130">
        <f t="shared" ref="AT7:AT45" si="4">SUM(M7:O7)</f>
        <v>0</v>
      </c>
      <c r="AU7" s="130">
        <f t="shared" ref="AU7:AU45" si="5">SUM(P7:R7)</f>
        <v>0</v>
      </c>
      <c r="AV7" s="130">
        <f t="shared" ref="AV7:AV45" si="6">SUM(S7:U7)</f>
        <v>0</v>
      </c>
      <c r="AW7" s="130">
        <f t="shared" ref="AW7:AW45" si="7">SUM(V7:X7)</f>
        <v>0</v>
      </c>
      <c r="AX7" s="130">
        <f t="shared" ref="AX7:AX45" si="8">SUM(Y7:AA7)</f>
        <v>0</v>
      </c>
      <c r="AY7" s="130">
        <f t="shared" ref="AY7:AY45" si="9">SUM(AB7:AD7)</f>
        <v>0</v>
      </c>
      <c r="AZ7" s="130">
        <f t="shared" ref="AZ7:AZ45" si="10">SUM(AE7:AG7)</f>
        <v>0</v>
      </c>
      <c r="BA7" s="130">
        <f t="shared" ref="BA7:BA45" si="11">SUM(AH7:AJ7)</f>
        <v>0</v>
      </c>
      <c r="BB7" s="130">
        <f t="shared" ref="BB7:BB45" si="12">SUM(AK7:AM7)</f>
        <v>0</v>
      </c>
    </row>
    <row r="8" spans="2:54" x14ac:dyDescent="0.2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2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2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2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2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2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2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2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2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2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2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2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2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2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2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2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2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2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2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2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2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2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2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2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2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2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2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2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2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2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2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2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2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2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25">
      <c r="C42" s="116" t="s">
        <v>40</v>
      </c>
      <c r="D42" s="129">
        <f>-'Preise Output'!$G$24</f>
        <v>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0</v>
      </c>
      <c r="AQ42" s="134">
        <f t="shared" si="1"/>
        <v>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2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2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2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2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2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2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4" width="35" customWidth="1"/>
    <col min="5" max="5" width="24.42578125" customWidth="1"/>
    <col min="6" max="6" width="21.42578125" bestFit="1" customWidth="1"/>
    <col min="7" max="7" width="20.42578125" customWidth="1"/>
    <col min="8" max="8" width="17.42578125" customWidth="1"/>
    <col min="9" max="11" width="20.42578125" customWidth="1"/>
    <col min="12" max="12" width="18.42578125" customWidth="1"/>
    <col min="13" max="13" width="13.42578125" bestFit="1" customWidth="1"/>
    <col min="14" max="14" width="13.42578125" customWidth="1"/>
    <col min="16" max="16" width="13.42578125" style="137" customWidth="1"/>
    <col min="17" max="17" width="15.42578125" style="137" customWidth="1"/>
    <col min="18" max="18" width="12.42578125" style="137" bestFit="1" customWidth="1"/>
    <col min="19" max="19" width="12.5703125" style="137" bestFit="1" customWidth="1"/>
    <col min="20" max="20" width="12.5703125" style="137" customWidth="1"/>
    <col min="21" max="21" width="13.42578125" style="137" bestFit="1" customWidth="1"/>
  </cols>
  <sheetData>
    <row r="2" spans="2:21" s="94" customFormat="1" ht="24" customHeight="1" x14ac:dyDescent="0.25">
      <c r="B2" s="94" t="s">
        <v>149</v>
      </c>
      <c r="P2" s="136"/>
      <c r="Q2" s="136"/>
      <c r="R2" s="136"/>
      <c r="S2" s="136"/>
      <c r="T2" s="136"/>
      <c r="U2" s="136"/>
    </row>
    <row r="3" spans="2:21" x14ac:dyDescent="0.2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5" x14ac:dyDescent="0.2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2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2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2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2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2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2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30" x14ac:dyDescent="0.2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30" x14ac:dyDescent="0.2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30" x14ac:dyDescent="0.2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2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2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2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0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2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2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2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2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2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2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2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2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2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2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2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2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703125" defaultRowHeight="15" x14ac:dyDescent="0.25"/>
  <cols>
    <col min="1" max="1" width="6.42578125" customWidth="1"/>
    <col min="2" max="2" width="23.5703125" bestFit="1" customWidth="1"/>
    <col min="3" max="3" width="18.42578125" customWidth="1"/>
    <col min="4" max="5" width="17.42578125" customWidth="1"/>
    <col min="7" max="7" width="26.5703125" customWidth="1"/>
    <col min="8" max="8" width="12.5703125" customWidth="1"/>
    <col min="9" max="9" width="11.42578125" bestFit="1" customWidth="1"/>
    <col min="10" max="10" width="23.5703125" bestFit="1" customWidth="1"/>
    <col min="11" max="11" width="11.42578125" bestFit="1" customWidth="1"/>
    <col min="12" max="12" width="12.42578125" bestFit="1" customWidth="1"/>
    <col min="14" max="14" width="28.5703125" customWidth="1"/>
    <col min="15" max="15" width="12" bestFit="1" customWidth="1"/>
  </cols>
  <sheetData>
    <row r="4" spans="2:3" x14ac:dyDescent="0.25">
      <c r="B4" s="8" t="s">
        <v>154</v>
      </c>
      <c r="C4" s="8" t="s">
        <v>155</v>
      </c>
    </row>
    <row r="5" spans="2:3" x14ac:dyDescent="0.25">
      <c r="B5" s="3" t="s">
        <v>156</v>
      </c>
      <c r="C5" s="4">
        <v>0</v>
      </c>
    </row>
    <row r="6" spans="2:3" x14ac:dyDescent="0.25">
      <c r="B6" s="3" t="s">
        <v>157</v>
      </c>
      <c r="C6" s="4">
        <v>0</v>
      </c>
    </row>
    <row r="7" spans="2:3" x14ac:dyDescent="0.25">
      <c r="B7" s="3" t="s">
        <v>158</v>
      </c>
      <c r="C7" s="4">
        <v>0</v>
      </c>
    </row>
    <row r="8" spans="2:3" x14ac:dyDescent="0.25">
      <c r="B8" s="3" t="s">
        <v>159</v>
      </c>
      <c r="C8" s="4">
        <v>0</v>
      </c>
    </row>
    <row r="9" spans="2:3" x14ac:dyDescent="0.25">
      <c r="B9" s="3" t="s">
        <v>160</v>
      </c>
      <c r="C9" s="4">
        <v>0</v>
      </c>
    </row>
    <row r="11" spans="2:3" x14ac:dyDescent="0.25">
      <c r="B11" s="8" t="s">
        <v>161</v>
      </c>
      <c r="C11" s="8" t="s">
        <v>155</v>
      </c>
    </row>
    <row r="12" spans="2:3" x14ac:dyDescent="0.25">
      <c r="B12" s="3" t="s">
        <v>162</v>
      </c>
      <c r="C12" s="4">
        <v>0</v>
      </c>
    </row>
    <row r="13" spans="2:3" x14ac:dyDescent="0.25">
      <c r="B13" s="3" t="s">
        <v>163</v>
      </c>
      <c r="C13" s="4">
        <v>0</v>
      </c>
    </row>
    <row r="14" spans="2:3" x14ac:dyDescent="0.25">
      <c r="B14" s="3" t="s">
        <v>164</v>
      </c>
      <c r="C14" s="4">
        <v>0.05</v>
      </c>
    </row>
    <row r="15" spans="2:3" x14ac:dyDescent="0.25">
      <c r="B15" s="3" t="s">
        <v>165</v>
      </c>
      <c r="C15" s="4">
        <v>0.15</v>
      </c>
    </row>
    <row r="17" spans="2:12" x14ac:dyDescent="0.2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2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2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2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2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2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2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B17BE155-4FD3-48AF-933C-9292C351F828}"/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2024-06-25T13:11:35Z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