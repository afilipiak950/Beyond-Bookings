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Lindtner Hotel Hamburg/2404_Betterspce 24k/"/>
    </mc:Choice>
  </mc:AlternateContent>
  <xr:revisionPtr revIDLastSave="19" documentId="8_{207F9823-9F7A-439A-86BD-E629EE244269}" xr6:coauthVersionLast="47" xr6:coauthVersionMax="47" xr10:uidLastSave="{501B4BCC-3F8F-4B94-80A4-2D89A6477F06}"/>
  <bookViews>
    <workbookView minimized="1" xWindow="2280" yWindow="2280" windowWidth="14400" windowHeight="727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2" i="1" l="1"/>
  <c r="F10" i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<sst xmlns="http://schemas.openxmlformats.org/spreadsheetml/2006/main" count="510" uniqueCount="297">
  <si>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</si>
  <si>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</si>
  <si>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</si>
  <si>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</si>
  <si>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</si>
  <si>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</si>
  <si>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</si>
  <si>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</si>
  <si>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</si>
  <si>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</si>
  <si>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</si>
  <si>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</si>
  <si>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</si>
  <si>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</si>
  <si>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</si>
  <si>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</si>
  <si>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</si>
  <si>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</si>
  <si>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</si>
  <si>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</si>
  <si>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</si>
  <si>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</si>
  <si>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</si>
  <si>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</si>
  <si>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</si>
  <si>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</si>
  <si>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</si>
  <si>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</si>
  <si>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</si>
  <si>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</si>
  <si>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</si>
  <si>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</si>
  <si>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</si>
  <si>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</si>
  <si>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</si>
  <si>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</si>
  <si>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</si>
  <si>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</si>
  <si>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</si>
  <si>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</si>
  <si>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</si>
  <si>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</si>
  <si>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</si>
  <si>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</si>
  <si>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</si>
  <si>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</si>
  <si>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</si>
  <si>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</si>
  <si>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</si>
  <si>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</si>
  <si>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</si>
  <si>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</si>
  <si>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</si>
  <si>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</si>
  <si>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</si>
  <si>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</si>
  <si>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</si>
  <si>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</si>
  <si>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</si>
  <si>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</si>
  <si>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</si>
  <si>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</si>
  <si>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</si>
  <si>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</si>
  <si>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</si>
  <si>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</si>
  <si>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</si>
  <si>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</si>
  <si>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</si>
  <si>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</si>
  <si>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</si>
  <si>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</si>
  <si>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</si>
  <si>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</si>
  <si>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</si>
  <si>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</si>
  <si>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</si>
  <si>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</si>
  <si>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</si>
  <si>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</si>
  <si>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</si>
  <si>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</si>
  <si>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</si>
  <si>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</si>
  <si>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</si>
  <si>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</si>
  <si>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</si>
  <si>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</si>
  <si>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</si>
  <si>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</si>
  <si>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</si>
  <si>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</si>
  <si>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</si>
  <si>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</si>
  <si>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</si>
  <si>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</si>
  <si>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</si>
  <si>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</si>
  <si>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</si>
  <si>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</si>
  <si>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</si>
  <si>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</si>
  <si>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</si>
  <si>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</si>
  <si>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</si>
  <si>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</si>
  <si>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</si>
  <si>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</si>
  <si>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</si>
  <si>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</si>
  <si>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</si>
  <si>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</si>
  <si>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</si>
  <si>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</si>
  <si>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</si>
  <si>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</si>
  <si>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</si>
  <si>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</si>
  <si>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</si>
  <si>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</si>
  <si>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</si>
  <si>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</si>
  <si>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</si>
  <si>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</si>
  <si>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</si>
  <si>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</si>
  <si>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</si>
  <si>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</si>
  <si>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</si>
  <si>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</si>
  <si>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</si>
  <si>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</si>
  <si>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</si>
  <si>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</si>
  <si>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</si>
  <si>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</si>
  <si>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</si>
  <si>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</si>
  <si>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</si>
  <si>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</si>
  <si>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</si>
  <si>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</si>
  <si>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</si>
  <si>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</si>
  <si>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</si>
  <si>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</si>
  <si>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</si>
  <si>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</si>
  <si>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</si>
  <si>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</si>
  <si>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</si>
  <si>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</si>
  <si>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</si>
  <si>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</si>
  <si>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</si>
  <si>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</si>
  <si>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</si>
  <si>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</si>
  <si>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</si>
  <si>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</si>
  <si>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</si>
  <si>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</si>
  <si>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</si>
  <si>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</si>
  <si>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</si>
  <si>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</si>
  <si>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</si>
  <si>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</si>
  <si>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</si>
  <si>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</si>
  <si>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</si>
  <si>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</si>
  <si>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</si>
  <si>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</si>
  <si>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</si>
  <si>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</si>
  <si>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</si>
  <si>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</si>
  <si>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</si>
  <si>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</si>
  <si>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</si>
  <si>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</si>
  <si>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</si>
  <si>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</si>
  <si>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</si>
  <si>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</si>
  <si>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</si>
  <si>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</si>
  <si>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</si>
  <si>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</si>
  <si>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</si>
  <si>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</si>
  <si>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</si>
  <si>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</si>
  <si>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</si>
  <si>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</si>
  <si>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</si>
  <si>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</si>
  <si>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</si>
  <si>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</si>
  <si>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</si>
  <si>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</si>
  <si>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</si>
  <si>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</si>
  <si>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</si>
  <si>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</si>
  <si>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</si>
  <si>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</si>
  <si>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</si>
  <si>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</si>
  <si>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</si>
  <si>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</si>
  <si>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</si>
  <si>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</si>
  <si>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</si>
  <si>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</si>
  <si>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</si>
  <si>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</si>
  <si>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</si>
  <si>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</si>
  <si>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</si>
  <si>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</si>
  <si>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</si>
  <si>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</si>
  <si>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</si>
  <si>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</si>
  <si>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</si>
  <si>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</si>
  <si>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</si>
  <si>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</si>
  <si>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</si>
  <si>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</si>
  <si>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</si>
  <si>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</si>
  <si>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</si>
  <si>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</si>
  <si>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</si>
  <si>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</si>
  <si>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</si>
  <si>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</si>
  <si>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</si>
  <si>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</si>
  <si>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</si>
  <si>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</si>
  <si>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</si>
  <si>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</si>
  <si>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</si>
  <si>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</si>
  <si>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</si>
  <si>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</si>
  <si>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</si>
  <si>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</si>
  <si>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</si>
  <si>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</si>
  <si>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</si>
  <si>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</si>
  <si>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</si>
  <si>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</si>
  <si>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</si>
  <si>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</si>
  <si>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</si>
  <si>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</si>
  <si>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</si>
  <si>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</si>
  <si>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</si>
  <si>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</si>
  <si>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</si>
  <si>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</si>
  <si>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</si>
  <si>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</si>
  <si>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</si>
  <si>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</si>
  <si>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</si>
  <si>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</si>
  <si>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</si>
  <si>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</si>
  <si>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</si>
  <si>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</si>
  <si>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</si>
  <si>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</si>
  <si>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</si>
  <si>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</si>
  <si>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</si>
  <si>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</si>
  <si>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</si>
  <si>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</si>
  <si>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</si>
  <si>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</si>
  <si>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</si>
  <si>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</si>
  <si>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</si>
  <si>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</si>
  <si>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</si>
  <si>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</si>
  <si>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</si>
  <si>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</si>
  <si>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Lindtner Hotel Hamburg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</si>
</sst>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11" sqref="F11"/>
    </sheetView>
  </sheetViews>
  <sheetFormatPr baseColWidth="10" defaultColWidth="10.6328125" defaultRowHeight="15" outlineLevelCol="2" x14ac:dyDescent="0.4"/>
  <cols>
    <col min="1" max="1" width="4.6328125" style="37" customWidth="1"/>
    <col min="2" max="2" width="61.6328125" style="37" bestFit="1" customWidth="1"/>
    <col min="3" max="3" width="29.6328125" style="37" bestFit="1" customWidth="1"/>
    <col min="4" max="4" width="17.36328125" style="38" customWidth="1"/>
    <col min="5" max="5" width="50.1796875" style="37" bestFit="1" customWidth="1"/>
    <col min="6" max="6" width="28.6328125" style="37" bestFit="1" customWidth="1"/>
    <col min="7" max="7" width="24.36328125" style="37" customWidth="1" outlineLevel="1"/>
    <col min="8" max="8" width="24.36328125" style="40" customWidth="1" outlineLevel="1"/>
    <col min="9" max="9" width="31.453125" style="40" customWidth="1" outlineLevel="1"/>
    <col min="10" max="12" width="24.453125" style="40" customWidth="1" outlineLevel="1"/>
    <col min="13" max="13" width="18.3632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36328125" style="37" customWidth="1"/>
    <col min="20" max="20" width="17.453125" style="37" customWidth="1"/>
    <col min="21" max="21" width="10.63281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36328125" style="37" customWidth="1"/>
    <col min="27" max="27" width="17.6328125" style="37" customWidth="1"/>
    <col min="28" max="29" width="15.36328125" style="37" customWidth="1"/>
    <col min="30" max="32" width="10.6328125" style="37"/>
    <col min="33" max="33" width="16.453125" style="37" customWidth="1"/>
    <col min="34" max="16384" width="10.632812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45365</v>
      </c>
      <c r="E5" s="151" t="s">
        <v>5</v>
      </c>
      <c r="F5" s="153">
        <v>79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116.35000000000001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170</v>
      </c>
      <c r="E7" s="154" t="s">
        <v>8</v>
      </c>
      <c r="F7" s="210">
        <v>45.02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128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0.30969623008578773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14016.000000000002</v>
      </c>
      <c r="E10" s="152" t="s">
        <v>13</v>
      </c>
      <c r="F10" s="168">
        <f>F5*0.75</f>
        <v>59.25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34477.575000000004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179</v>
      </c>
      <c r="D12" s="61"/>
      <c r="E12" s="155" t="s">
        <v>243</v>
      </c>
      <c r="F12" s="241">
        <f>20000*1.19</f>
        <v>23800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5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529</v>
      </c>
      <c r="F24" s="76">
        <v>3</v>
      </c>
      <c r="G24" s="77">
        <f>F12*D24</f>
        <v>23800</v>
      </c>
      <c r="H24" s="77">
        <f>$E24*$F$10*1.1-$G24</f>
        <v>10677.575000000004</v>
      </c>
      <c r="I24" s="77">
        <f>G24+H24</f>
        <v>34477.575000000004</v>
      </c>
      <c r="J24" s="78">
        <f t="shared" si="16"/>
        <v>0.30969623008578773</v>
      </c>
      <c r="K24" s="77">
        <v>0</v>
      </c>
      <c r="L24" s="77">
        <v>0</v>
      </c>
      <c r="M24" s="77">
        <f>G24*1.19-G24</f>
        <v>4522</v>
      </c>
      <c r="N24" s="77">
        <f t="shared" si="5"/>
        <v>1488.8043749999999</v>
      </c>
      <c r="O24" s="77">
        <f>L24-M24-N24</f>
        <v>-6010.8043749999997</v>
      </c>
      <c r="P24" s="79">
        <f>IFERROR($H24-L24,"")</f>
        <v>10677.575000000004</v>
      </c>
      <c r="Q24" s="78">
        <f>IFERROR(($H24-L24)/$I24,"")</f>
        <v>0.30969623008578773</v>
      </c>
      <c r="R24" s="80">
        <f>IFERROR((1-Q24)*F24,"")</f>
        <v>2.0709113097426366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529</v>
      </c>
      <c r="F26" s="89"/>
      <c r="G26" s="89">
        <f>SUBTOTAL(9,G19:G24)</f>
        <v>23800</v>
      </c>
      <c r="H26" s="89">
        <f>SUBTOTAL(9,H19:H24)</f>
        <v>10677.575000000004</v>
      </c>
      <c r="I26" s="89">
        <f>SUBTOTAL(9,I19:I24)</f>
        <v>34477.575000000004</v>
      </c>
      <c r="J26" s="90">
        <f>H26/I26</f>
        <v>0.30969623008578773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4522</v>
      </c>
      <c r="N26" s="89">
        <f t="shared" si="25"/>
        <v>1488.8043749999999</v>
      </c>
      <c r="O26" s="89">
        <f t="shared" si="25"/>
        <v>-6010.8043749999997</v>
      </c>
      <c r="P26" s="89">
        <f t="shared" si="25"/>
        <v>10677.575000000004</v>
      </c>
      <c r="Q26" s="90">
        <f>($H26-L26)/$I26</f>
        <v>0.30969623008578773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3,8%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7" workbookViewId="0">
      <selection activeCell="E19" sqref="E19"/>
    </sheetView>
  </sheetViews>
  <sheetFormatPr baseColWidth="10" defaultColWidth="8.6328125" defaultRowHeight="14" x14ac:dyDescent="0.4"/>
  <cols>
    <col min="1" max="1" width="3" style="97" customWidth="1"/>
    <col min="2" max="2" width="41" style="97" bestFit="1" customWidth="1"/>
    <col min="3" max="3" width="37.36328125" style="234" bestFit="1" customWidth="1"/>
    <col min="4" max="5" width="8.6328125" style="97"/>
    <col min="6" max="6" width="11.81640625" style="97" bestFit="1" customWidth="1"/>
    <col min="7" max="16384" width="8.632812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529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20000</v>
      </c>
    </row>
    <row r="12" spans="2:11" x14ac:dyDescent="0.4">
      <c r="B12" s="212" t="s">
        <v>285</v>
      </c>
      <c r="C12" s="230">
        <f>F13+F14</f>
        <v>20000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3800</v>
      </c>
      <c r="E14" s="223">
        <v>0.19</v>
      </c>
      <c r="F14" s="162">
        <f>(F18-F13*(1+E13))/(1+E14)</f>
        <v>20000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23800</v>
      </c>
      <c r="F18" s="97">
        <f>'Preise Output'!G26</f>
        <v>23800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529 Gutscheine x 45,02€ je Gutschein</v>
      </c>
      <c r="C24" s="237">
        <f>IFERROR(C7*'Preise Output'!$F$7,"--")</f>
        <v>23815.58</v>
      </c>
    </row>
    <row r="25" spans="2:8" x14ac:dyDescent="0.4">
      <c r="B25" s="97" t="str">
        <f>"Das enspricht "&amp;TEXT('Preise Output'!E26/('Preise Output'!C10),"0,0%") &amp; " des Leerstands p.a."</f>
        <v>Das enspricht 3,8%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1667.0906000000002</v>
      </c>
      <c r="E26" s="223">
        <v>7.0000000000000007E-2</v>
      </c>
      <c r="F26" s="162">
        <f>C24-F27</f>
        <v>23815.58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0</v>
      </c>
      <c r="E27" s="223">
        <v>0.19</v>
      </c>
      <c r="F27" s="162">
        <f>G27*C7</f>
        <v>0</v>
      </c>
      <c r="G27" s="104">
        <v>0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529 Roomnights</v>
      </c>
      <c r="C31" s="237">
        <f>C7*C4</f>
        <v>10580</v>
      </c>
    </row>
    <row r="32" spans="2:8" x14ac:dyDescent="0.4">
      <c r="B32" s="108" t="s">
        <v>293</v>
      </c>
      <c r="C32" s="229">
        <f>C26+C27</f>
        <v>1667.0906000000002</v>
      </c>
    </row>
    <row r="33" spans="2:3" ht="14.5" thickBot="1" x14ac:dyDescent="0.45">
      <c r="B33" s="115" t="s">
        <v>288</v>
      </c>
      <c r="C33" s="238">
        <f>-(C13+C14)</f>
        <v>-3800</v>
      </c>
    </row>
    <row r="34" spans="2:3" x14ac:dyDescent="0.4">
      <c r="B34" s="96" t="s">
        <v>271</v>
      </c>
      <c r="C34" s="236">
        <f>SUM(C31:C33)</f>
        <v>8447.0905999999995</v>
      </c>
    </row>
    <row r="36" spans="2:3" x14ac:dyDescent="0.4">
      <c r="B36" s="102" t="s">
        <v>65</v>
      </c>
      <c r="C36" s="239">
        <f>C12-C34</f>
        <v>11552.9094</v>
      </c>
    </row>
    <row r="37" spans="2:3" x14ac:dyDescent="0.4">
      <c r="B37" s="97" t="s">
        <v>289</v>
      </c>
      <c r="C37" s="240">
        <f>C36/C12</f>
        <v>0.57764546999999999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3" width="42" customWidth="1"/>
    <col min="4" max="5" width="24.6328125" customWidth="1"/>
    <col min="6" max="6" width="24.36328125" customWidth="1"/>
    <col min="7" max="7" width="20" customWidth="1"/>
    <col min="8" max="8" width="17.36328125" customWidth="1"/>
    <col min="9" max="10" width="20.453125" customWidth="1"/>
    <col min="11" max="12" width="20.36328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36328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20000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20000</v>
      </c>
      <c r="R16" s="35">
        <f t="shared" si="4"/>
        <v>6666.666666666667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20000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21440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6328125" defaultRowHeight="14.5" outlineLevelRow="1" x14ac:dyDescent="0.35"/>
  <cols>
    <col min="3" max="3" width="26.6328125" customWidth="1"/>
    <col min="4" max="4" width="12.1796875" style="127" customWidth="1"/>
    <col min="5" max="5" width="11.36328125" style="126" bestFit="1" customWidth="1"/>
    <col min="6" max="6" width="11.6328125" style="126" bestFit="1" customWidth="1"/>
    <col min="7" max="7" width="11.36328125" style="126" bestFit="1" customWidth="1"/>
    <col min="8" max="8" width="14.453125" style="126" customWidth="1"/>
    <col min="9" max="15" width="11.36328125" style="126" bestFit="1" customWidth="1"/>
    <col min="16" max="16" width="10.453125" bestFit="1" customWidth="1"/>
    <col min="17" max="27" width="11.36328125" bestFit="1" customWidth="1"/>
    <col min="28" max="28" width="10.453125" bestFit="1" customWidth="1"/>
    <col min="29" max="39" width="11.36328125" bestFit="1" customWidth="1"/>
    <col min="40" max="40" width="12.36328125" bestFit="1" customWidth="1"/>
    <col min="41" max="41" width="10.453125" bestFit="1" customWidth="1"/>
    <col min="43" max="43" width="12.6328125" bestFit="1" customWidth="1"/>
    <col min="44" max="44" width="11.36328125" bestFit="1" customWidth="1"/>
    <col min="45" max="50" width="10.36328125" bestFit="1" customWidth="1"/>
    <col min="51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26450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26450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26450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26450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489.32499999999999</v>
      </c>
      <c r="F7" s="129">
        <f>IF($B$6=100%,(('Preise Output'!$F$10-INDEX(Annahmen!$B$18:$C$22,MATCH('Preise Output'!$C$7,Annahmen!$B$18:$B$22,0),2))*'Preise Output'!$E$26)/10,('Preise Output'!$E$26*'Preise Output'!$F$10-$D$6)/10)</f>
        <v>489.32499999999999</v>
      </c>
      <c r="G7" s="129">
        <f>IF($B$6=100%,(('Preise Output'!$F$10-INDEX(Annahmen!$B$18:$C$22,MATCH('Preise Output'!$C$7,Annahmen!$B$18:$B$22,0),2))*'Preise Output'!$E$26)/10,('Preise Output'!$E$26*'Preise Output'!$F$10-$D$6)/10)</f>
        <v>489.32499999999999</v>
      </c>
      <c r="H7" s="129">
        <f>IF($B$6=100%,(('Preise Output'!$F$10-INDEX(Annahmen!$B$18:$C$22,MATCH('Preise Output'!$C$7,Annahmen!$B$18:$B$22,0),2))*'Preise Output'!$E$26)/10,('Preise Output'!$E$26*'Preise Output'!$F$10-$D$6)/10)</f>
        <v>489.32499999999999</v>
      </c>
      <c r="I7" s="129">
        <f>IF($B$6=100%,(('Preise Output'!$F$10-INDEX(Annahmen!$B$18:$C$22,MATCH('Preise Output'!$C$7,Annahmen!$B$18:$B$22,0),2))*'Preise Output'!$E$26)/10,('Preise Output'!$E$26*'Preise Output'!$F$10-$D$6)/10)</f>
        <v>489.32499999999999</v>
      </c>
      <c r="J7" s="129">
        <f>IF($B$6=100%,(('Preise Output'!$F$10-INDEX(Annahmen!$B$18:$C$22,MATCH('Preise Output'!$C$7,Annahmen!$B$18:$B$22,0),2))*'Preise Output'!$E$26)/10,('Preise Output'!$E$26*'Preise Output'!$F$10-$D$6)/10)</f>
        <v>489.32499999999999</v>
      </c>
      <c r="K7" s="129">
        <f>IF($B$6=100%,(('Preise Output'!$F$10-INDEX(Annahmen!$B$18:$C$22,MATCH('Preise Output'!$C$7,Annahmen!$B$18:$B$22,0),2))*'Preise Output'!$E$26)/10,('Preise Output'!$E$26*'Preise Output'!$F$10-$D$6)/10)</f>
        <v>489.32499999999999</v>
      </c>
      <c r="L7" s="129">
        <f>IF($B$6=100%,(('Preise Output'!$F$10-INDEX(Annahmen!$B$18:$C$22,MATCH('Preise Output'!$C$7,Annahmen!$B$18:$B$22,0),2))*'Preise Output'!$E$26)/10,('Preise Output'!$E$26*'Preise Output'!$F$10-$D$6)/10)</f>
        <v>489.32499999999999</v>
      </c>
      <c r="M7" s="129">
        <f>IF($B$6=100%,(('Preise Output'!$F$10-INDEX(Annahmen!$B$18:$C$22,MATCH('Preise Output'!$C$7,Annahmen!$B$18:$B$22,0),2))*'Preise Output'!$E$26)/10,('Preise Output'!$E$26*'Preise Output'!$F$10-$D$6)/10)</f>
        <v>489.32499999999999</v>
      </c>
      <c r="N7" s="129">
        <f>IF($B$6=100%,(('Preise Output'!$F$10-INDEX(Annahmen!$B$18:$C$22,MATCH('Preise Output'!$C$7,Annahmen!$B$18:$B$22,0),2))*'Preise Output'!$E$26)/10,('Preise Output'!$E$26*'Preise Output'!$F$10-$D$6)/10)</f>
        <v>489.32499999999999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489.32499999999999</v>
      </c>
      <c r="R7" s="129">
        <f>IF($B$6=100%,(('Preise Output'!$F$10-INDEX(Annahmen!$B$18:$C$22,MATCH('Preise Output'!$C$7,Annahmen!$B$18:$B$22,0),2))*'Preise Output'!$E$26)/10,('Preise Output'!$E$26*'Preise Output'!$F$10-$D$6)/10)</f>
        <v>489.32499999999999</v>
      </c>
      <c r="S7" s="129">
        <f>IF($B$6=100%,(('Preise Output'!$F$10-INDEX(Annahmen!$B$18:$C$22,MATCH('Preise Output'!$C$7,Annahmen!$B$18:$B$22,0),2))*'Preise Output'!$E$26)/10,('Preise Output'!$E$26*'Preise Output'!$F$10-$D$6)/10)</f>
        <v>489.32499999999999</v>
      </c>
      <c r="T7" s="129">
        <f>IF($B$6=100%,(('Preise Output'!$F$10-INDEX(Annahmen!$B$18:$C$22,MATCH('Preise Output'!$C$7,Annahmen!$B$18:$B$22,0),2))*'Preise Output'!$E$26)/10,('Preise Output'!$E$26*'Preise Output'!$F$10-$D$6)/10)</f>
        <v>489.32499999999999</v>
      </c>
      <c r="U7" s="129">
        <f>IF($B$6=100%,(('Preise Output'!$F$10-INDEX(Annahmen!$B$18:$C$22,MATCH('Preise Output'!$C$7,Annahmen!$B$18:$B$22,0),2))*'Preise Output'!$E$26)/10,('Preise Output'!$E$26*'Preise Output'!$F$10-$D$6)/10)</f>
        <v>489.32499999999999</v>
      </c>
      <c r="V7" s="129">
        <f>IF($B$6=100%,(('Preise Output'!$F$10-INDEX(Annahmen!$B$18:$C$22,MATCH('Preise Output'!$C$7,Annahmen!$B$18:$B$22,0),2))*'Preise Output'!$E$26)/10,('Preise Output'!$E$26*'Preise Output'!$F$10-$D$6)/10)</f>
        <v>489.32499999999999</v>
      </c>
      <c r="W7" s="129">
        <f>IF($B$6=100%,(('Preise Output'!$F$10-INDEX(Annahmen!$B$18:$C$22,MATCH('Preise Output'!$C$7,Annahmen!$B$18:$B$22,0),2))*'Preise Output'!$E$26)/10,('Preise Output'!$E$26*'Preise Output'!$F$10-$D$6)/10)</f>
        <v>489.32499999999999</v>
      </c>
      <c r="X7" s="129">
        <f>IF($B$6=100%,(('Preise Output'!$F$10-INDEX(Annahmen!$B$18:$C$22,MATCH('Preise Output'!$C$7,Annahmen!$B$18:$B$22,0),2))*'Preise Output'!$E$26)/10,('Preise Output'!$E$26*'Preise Output'!$F$10-$D$6)/10)</f>
        <v>489.32499999999999</v>
      </c>
      <c r="Y7" s="129">
        <f>IF($B$6=100%,(('Preise Output'!$F$10-INDEX(Annahmen!$B$18:$C$22,MATCH('Preise Output'!$C$7,Annahmen!$B$18:$B$22,0),2))*'Preise Output'!$E$26)/10,('Preise Output'!$E$26*'Preise Output'!$F$10-$D$6)/10)</f>
        <v>489.32499999999999</v>
      </c>
      <c r="Z7" s="129">
        <f>IF($B$6=100%,(('Preise Output'!$F$10-INDEX(Annahmen!$B$18:$C$22,MATCH('Preise Output'!$C$7,Annahmen!$B$18:$B$22,0),2))*'Preise Output'!$E$26)/10,('Preise Output'!$E$26*'Preise Output'!$F$10-$D$6)/10)</f>
        <v>489.32499999999999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489.32499999999999</v>
      </c>
      <c r="AD7" s="129">
        <f>IF($B$6=100%,(('Preise Output'!$F$10-INDEX(Annahmen!$B$18:$C$22,MATCH('Preise Output'!$C$7,Annahmen!$B$18:$B$22,0),2))*'Preise Output'!$E$26)/10,('Preise Output'!$E$26*'Preise Output'!$F$10-$D$6)/10)</f>
        <v>489.32499999999999</v>
      </c>
      <c r="AE7" s="129">
        <f>IF($B$6=100%,(('Preise Output'!$F$10-INDEX(Annahmen!$B$18:$C$22,MATCH('Preise Output'!$C$7,Annahmen!$B$18:$B$22,0),2))*'Preise Output'!$E$26)/10,('Preise Output'!$E$26*'Preise Output'!$F$10-$D$6)/10)</f>
        <v>489.32499999999999</v>
      </c>
      <c r="AF7" s="129">
        <f>IF($B$6=100%,(('Preise Output'!$F$10-INDEX(Annahmen!$B$18:$C$22,MATCH('Preise Output'!$C$7,Annahmen!$B$18:$B$22,0),2))*'Preise Output'!$E$26)/10,('Preise Output'!$E$26*'Preise Output'!$F$10-$D$6)/10)</f>
        <v>489.32499999999999</v>
      </c>
      <c r="AG7" s="129">
        <f>IF($B$6=100%,(('Preise Output'!$F$10-INDEX(Annahmen!$B$18:$C$22,MATCH('Preise Output'!$C$7,Annahmen!$B$18:$B$22,0),2))*'Preise Output'!$E$26)/10,('Preise Output'!$E$26*'Preise Output'!$F$10-$D$6)/10)</f>
        <v>489.32499999999999</v>
      </c>
      <c r="AH7" s="129">
        <f>IF($B$6=100%,(('Preise Output'!$F$10-INDEX(Annahmen!$B$18:$C$22,MATCH('Preise Output'!$C$7,Annahmen!$B$18:$B$22,0),2))*'Preise Output'!$E$26)/10,('Preise Output'!$E$26*'Preise Output'!$F$10-$D$6)/10)</f>
        <v>489.32499999999999</v>
      </c>
      <c r="AI7" s="129">
        <f>IF($B$6=100%,(('Preise Output'!$F$10-INDEX(Annahmen!$B$18:$C$22,MATCH('Preise Output'!$C$7,Annahmen!$B$18:$B$22,0),2))*'Preise Output'!$E$26)/10,('Preise Output'!$E$26*'Preise Output'!$F$10-$D$6)/10)</f>
        <v>489.32499999999999</v>
      </c>
      <c r="AJ7" s="129">
        <f>IF($B$6=100%,(('Preise Output'!$F$10-INDEX(Annahmen!$B$18:$C$22,MATCH('Preise Output'!$C$7,Annahmen!$B$18:$B$22,0),2))*'Preise Output'!$E$26)/10,('Preise Output'!$E$26*'Preise Output'!$F$10-$D$6)/10)</f>
        <v>489.32499999999999</v>
      </c>
      <c r="AK7" s="129">
        <f>IF($B$6=100%,(('Preise Output'!$F$10-INDEX(Annahmen!$B$18:$C$22,MATCH('Preise Output'!$C$7,Annahmen!$B$18:$B$22,0),2))*'Preise Output'!$E$26)/10,('Preise Output'!$E$26*'Preise Output'!$F$10-$D$6)/10)</f>
        <v>489.32499999999999</v>
      </c>
      <c r="AL7" s="129">
        <f>IF($B$6=100%,(('Preise Output'!$F$10-INDEX(Annahmen!$B$18:$C$22,MATCH('Preise Output'!$C$7,Annahmen!$B$18:$B$22,0),2))*'Preise Output'!$E$26)/10,('Preise Output'!$E$26*'Preise Output'!$F$10-$D$6)/10)</f>
        <v>489.32499999999999</v>
      </c>
      <c r="AM7" s="130"/>
      <c r="AN7" s="130">
        <f t="shared" ref="AN7:AN43" si="0">SUM(D7:AM7)</f>
        <v>14679.750000000007</v>
      </c>
      <c r="AQ7" s="130">
        <f t="shared" ref="AQ7:AQ45" si="1">SUM(D7:F7)</f>
        <v>978.65</v>
      </c>
      <c r="AR7" s="130">
        <f t="shared" ref="AR7:AR45" si="2">SUM(G7:I7)</f>
        <v>1467.9749999999999</v>
      </c>
      <c r="AS7" s="130">
        <f t="shared" ref="AS7:AS45" si="3">SUM(J7:L7)</f>
        <v>1467.9749999999999</v>
      </c>
      <c r="AT7" s="130">
        <f t="shared" ref="AT7:AT45" si="4">SUM(M7:O7)</f>
        <v>978.65</v>
      </c>
      <c r="AU7" s="130">
        <f t="shared" ref="AU7:AU45" si="5">SUM(P7:R7)</f>
        <v>978.65</v>
      </c>
      <c r="AV7" s="130">
        <f t="shared" ref="AV7:AV45" si="6">SUM(S7:U7)</f>
        <v>1467.9749999999999</v>
      </c>
      <c r="AW7" s="130">
        <f t="shared" ref="AW7:AW45" si="7">SUM(V7:X7)</f>
        <v>1467.9749999999999</v>
      </c>
      <c r="AX7" s="130">
        <f t="shared" ref="AX7:AX45" si="8">SUM(Y7:AA7)</f>
        <v>978.65</v>
      </c>
      <c r="AY7" s="130">
        <f t="shared" ref="AY7:AY45" si="9">SUM(AB7:AD7)</f>
        <v>978.65</v>
      </c>
      <c r="AZ7" s="130">
        <f t="shared" ref="AZ7:AZ45" si="10">SUM(AE7:AG7)</f>
        <v>1467.9749999999999</v>
      </c>
      <c r="BA7" s="130">
        <f t="shared" ref="BA7:BA45" si="11">SUM(AH7:AJ7)</f>
        <v>1467.9749999999999</v>
      </c>
      <c r="BB7" s="130">
        <f t="shared" ref="BB7:BB45" si="12">SUM(AK7:AM7)</f>
        <v>978.65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-23800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-23800</v>
      </c>
      <c r="AQ42" s="134">
        <f t="shared" si="1"/>
        <v>-23800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4" width="35" customWidth="1"/>
    <col min="5" max="5" width="24.36328125" customWidth="1"/>
    <col min="6" max="6" width="21.36328125" bestFit="1" customWidth="1"/>
    <col min="7" max="7" width="20.36328125" customWidth="1"/>
    <col min="8" max="8" width="17.36328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36328125" style="137" bestFit="1" customWidth="1"/>
    <col min="19" max="19" width="12.6328125" style="137" bestFit="1" customWidth="1"/>
    <col min="20" max="20" width="12.6328125" style="137" customWidth="1"/>
    <col min="21" max="21" width="13.36328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34477.575000000004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328125" defaultRowHeight="14.5" x14ac:dyDescent="0.35"/>
  <cols>
    <col min="1" max="1" width="6.36328125" customWidth="1"/>
    <col min="2" max="2" width="23.6328125" bestFit="1" customWidth="1"/>
    <col min="3" max="3" width="18.453125" customWidth="1"/>
    <col min="4" max="5" width="17.453125" customWidth="1"/>
    <col min="7" max="7" width="26.6328125" customWidth="1"/>
    <col min="8" max="8" width="12.6328125" customWidth="1"/>
    <col min="9" max="9" width="11.453125" bestFit="1" customWidth="1"/>
    <col min="10" max="10" width="23.6328125" bestFit="1" customWidth="1"/>
    <col min="11" max="11" width="11.453125" bestFit="1" customWidth="1"/>
    <col min="12" max="12" width="12.453125" bestFit="1" customWidth="1"/>
    <col min="14" max="14" width="28.632812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4DF4351B-1A55-444F-82D9-065965F87462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2024-04-05T13:07:33Z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