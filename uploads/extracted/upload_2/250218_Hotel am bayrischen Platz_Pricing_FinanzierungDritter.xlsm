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ittle BIG hotels/"/>
    </mc:Choice>
  </mc:AlternateContent>
  <xr:revisionPtr revIDLastSave="73" documentId="8_{207F9823-9F7A-439A-86BD-E629EE244269}" xr6:coauthVersionLast="47" xr6:coauthVersionMax="47" xr10:uidLastSave="{FF2CF650-BEB1-4888-AAFB-ED307D2B9D8D}"/>
  <bookViews>
    <workbookView minimized="1" xWindow="1440" yWindow="1440" windowWidth="14400" windowHeight="727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<sst xmlns="http://schemas.openxmlformats.org/spreadsheetml/2006/main" count="514" uniqueCount="301">
  <si>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</si>
  <si>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</si>
  <si>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</si>
  <si>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</si>
  <si>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</si>
  <si>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</si>
  <si>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</si>
  <si>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</si>
  <si>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</si>
  <si>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</si>
  <si>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</si>
  <si>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</si>
  <si>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</si>
  <si>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</si>
  <si>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</si>
  <si>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</si>
  <si>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</si>
  <si>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</si>
  <si>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</si>
  <si>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</si>
  <si>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</si>
  <si>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</si>
  <si>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</si>
  <si>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</si>
  <si>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</si>
  <si>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</si>
  <si>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</si>
  <si>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</si>
  <si>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</si>
  <si>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</si>
  <si>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</si>
  <si>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</si>
  <si>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</si>
  <si>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</si>
  <si>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</si>
  <si>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</si>
  <si>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</si>
  <si>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</si>
  <si>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</si>
  <si>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</si>
  <si>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</si>
  <si>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</si>
  <si>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</si>
  <si>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</si>
  <si>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</si>
  <si>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</si>
  <si>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</si>
  <si>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</si>
  <si>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</si>
  <si>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</si>
  <si>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</si>
  <si>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</si>
  <si>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</si>
  <si>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</si>
  <si>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</si>
  <si>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</si>
  <si>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</si>
  <si>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</si>
  <si>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</si>
  <si>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</si>
  <si>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</si>
  <si>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</si>
  <si>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</si>
  <si>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</si>
  <si>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</si>
  <si>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</si>
  <si>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</si>
  <si>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</si>
  <si>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</si>
  <si>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</si>
  <si>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</si>
  <si>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</si>
  <si>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</si>
  <si>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</si>
  <si>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</si>
  <si>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</si>
  <si>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</si>
  <si>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</si>
  <si>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</si>
  <si>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</si>
  <si>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</si>
  <si>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</si>
  <si>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</si>
  <si>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</si>
  <si>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</si>
  <si>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</si>
  <si>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</si>
  <si>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</si>
  <si>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</si>
  <si>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</si>
  <si>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</si>
  <si>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</si>
  <si>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</si>
  <si>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</si>
  <si>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</si>
  <si>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</si>
  <si>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</si>
  <si>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</si>
  <si>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</si>
  <si>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</si>
  <si>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</si>
  <si>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</si>
  <si>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</si>
  <si>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</si>
  <si>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</si>
  <si>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</si>
  <si>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</si>
  <si>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</si>
  <si>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</si>
  <si>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</si>
  <si>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</si>
  <si>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</si>
  <si>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</si>
  <si>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</si>
  <si>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</si>
  <si>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</si>
  <si>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</si>
  <si>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</si>
  <si>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</si>
  <si>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</si>
  <si>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</si>
  <si>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</si>
  <si>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</si>
  <si>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</si>
  <si>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</si>
  <si>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</si>
  <si>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</si>
  <si>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</si>
  <si>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</si>
  <si>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</si>
  <si>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</si>
  <si>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</si>
  <si>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</si>
  <si>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</si>
  <si>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</si>
  <si>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</si>
  <si>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</si>
  <si>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</si>
  <si>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</si>
  <si>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</si>
  <si>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</si>
  <si>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</si>
  <si>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</si>
  <si>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</si>
  <si>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</si>
  <si>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</si>
  <si>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</si>
  <si>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</si>
  <si>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</si>
  <si>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</si>
  <si>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</si>
  <si>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</si>
  <si>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</si>
  <si>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</si>
  <si>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</si>
  <si>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</si>
  <si>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</si>
  <si>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</si>
  <si>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</si>
  <si>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</si>
  <si>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</si>
  <si>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</si>
  <si>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</si>
  <si>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</si>
  <si>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</si>
  <si>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</si>
  <si>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</si>
  <si>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</si>
  <si>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</si>
  <si>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</si>
  <si>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</si>
  <si>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</si>
  <si>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</si>
  <si>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</si>
  <si>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</si>
  <si>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</si>
  <si>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</si>
  <si>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</si>
  <si>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</si>
  <si>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</si>
  <si>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</si>
  <si>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</si>
  <si>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</si>
  <si>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</si>
  <si>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</si>
  <si>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</si>
  <si>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</si>
  <si>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</si>
  <si>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</si>
  <si>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</si>
  <si>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</si>
  <si>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</si>
  <si>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</si>
  <si>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</si>
  <si>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</si>
  <si>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</si>
  <si>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</si>
  <si>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</si>
  <si>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</si>
  <si>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</si>
  <si>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</si>
  <si>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</si>
  <si>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</si>
  <si>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</si>
  <si>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</si>
  <si>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</si>
  <si>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</si>
  <si>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</si>
  <si>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</si>
  <si>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</si>
  <si>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</si>
  <si>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</si>
  <si>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</si>
  <si>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</si>
  <si>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</si>
  <si>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</si>
  <si>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</si>
  <si>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</si>
  <si>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</si>
  <si>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</si>
  <si>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</si>
  <si>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</si>
  <si>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</si>
  <si>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</si>
  <si>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</si>
  <si>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</si>
  <si>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</si>
  <si>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</si>
  <si>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</si>
  <si>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</si>
  <si>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</si>
  <si>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</si>
  <si>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</si>
  <si>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</si>
  <si>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</si>
  <si>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</si>
  <si>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</si>
  <si>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</si>
  <si>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</si>
  <si>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</si>
  <si>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</si>
  <si>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</si>
  <si>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</si>
  <si>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</si>
  <si>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</si>
  <si>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</si>
  <si>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</si>
  <si>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</si>
  <si>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</si>
  <si>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</si>
  <si>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</si>
  <si>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</si>
  <si>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</si>
  <si>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</si>
  <si>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</si>
  <si>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</si>
  <si>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</si>
  <si>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</si>
  <si>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</si>
  <si>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</si>
  <si>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</si>
  <si>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</si>
  <si>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</si>
  <si>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</si>
  <si>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</si>
  <si>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</si>
  <si>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</si>
  <si>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</si>
  <si>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</si>
  <si>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</si>
  <si>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</si>
  <si>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</si>
  <si>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</si>
  <si>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</si>
  <si>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</si>
  <si>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</si>
  <si>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</si>
  <si>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</si>
  <si>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</si>
  <si>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</si>
  <si>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</si>
  <si>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</si>
  <si>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</si>
  <si>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</si>
  <si>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</si>
  <si>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</si>
  <si>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</si>
  <si>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</si>
  <si>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</si>
  <si>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</si>
  <si>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</si>
  <si>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</si>
  <si>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</si>
  <si>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</si>
  <si>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</si>
  <si>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</si>
  <si>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am Bayrischen Platz</t>
  </si>
  <si>
    <t>inkl. Frst.</t>
  </si>
  <si>
    <t>30k gewünscht</t>
  </si>
  <si>
    <t>nicht klassifiziert</t>
  </si>
  <si>
    <t>lt. Animod 59 ok, 49 lieber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</si>
</sst>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0" fontId="17" fillId="0" borderId="0" xfId="0" applyFont="1" applyAlignment="1">
      <alignment horizontal="center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8" sqref="H8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45706</v>
      </c>
      <c r="E5" s="151" t="s">
        <v>5</v>
      </c>
      <c r="F5" s="153">
        <v>49</v>
      </c>
      <c r="G5" s="44" t="s">
        <v>300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98.8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D7" s="243" t="s">
        <v>299</v>
      </c>
      <c r="E7" s="154" t="s">
        <v>8</v>
      </c>
      <c r="F7" s="210"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32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</v>
      </c>
      <c r="E9" s="156" t="s">
        <v>246</v>
      </c>
      <c r="F9" s="157">
        <f>IFERROR(J26,"Bitte Produkt auswählen")</f>
        <v>0.25825584424856224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4672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700.8</v>
      </c>
      <c r="E11" s="167" t="s">
        <v>14</v>
      </c>
      <c r="F11" s="242">
        <f>+I26</f>
        <v>26963.475000000002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152</v>
      </c>
      <c r="D12" s="61"/>
      <c r="E12" s="155" t="s">
        <v>243</v>
      </c>
      <c r="F12" s="241">
        <v>20000</v>
      </c>
      <c r="G12" s="166" t="s">
        <v>298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667</v>
      </c>
      <c r="F24" s="76">
        <v>3</v>
      </c>
      <c r="G24" s="77">
        <f>F12*D24</f>
        <v>20000</v>
      </c>
      <c r="H24" s="77">
        <f>$E24*$F$10*1.1-$G24</f>
        <v>6963.4750000000022</v>
      </c>
      <c r="I24" s="77">
        <f>G24+H24</f>
        <v>26963.475000000002</v>
      </c>
      <c r="J24" s="78">
        <f t="shared" si="16"/>
        <v>0.25825584424856224</v>
      </c>
      <c r="K24" s="77">
        <v>0</v>
      </c>
      <c r="L24" s="77">
        <v>0</v>
      </c>
      <c r="M24" s="77">
        <f>G24*1.19-G24</f>
        <v>3800</v>
      </c>
      <c r="N24" s="77">
        <f t="shared" si="5"/>
        <v>1164.3318750000001</v>
      </c>
      <c r="O24" s="77">
        <f>L24-M24-N24</f>
        <v>-4964.3318749999999</v>
      </c>
      <c r="P24" s="79">
        <f>IFERROR($H24-L24,"")</f>
        <v>6963.4750000000022</v>
      </c>
      <c r="Q24" s="78">
        <f>IFERROR(($H24-L24)/$I24,"")</f>
        <v>0.25825584424856224</v>
      </c>
      <c r="R24" s="80">
        <f>IFERROR((1-Q24)*F24,"")</f>
        <v>2.2252324672543131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667</v>
      </c>
      <c r="F26" s="89"/>
      <c r="G26" s="89">
        <f>SUBTOTAL(9,G19:G24)</f>
        <v>20000</v>
      </c>
      <c r="H26" s="89">
        <f>SUBTOTAL(9,H19:H24)</f>
        <v>6963.4750000000022</v>
      </c>
      <c r="I26" s="89">
        <f>SUBTOTAL(9,I19:I24)</f>
        <v>26963.475000000002</v>
      </c>
      <c r="J26" s="90">
        <f>H26/I26</f>
        <v>0.25825584424856224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1164.3318750000001</v>
      </c>
      <c r="O26" s="89">
        <f t="shared" si="25"/>
        <v>-4964.3318749999999</v>
      </c>
      <c r="P26" s="89">
        <f t="shared" si="25"/>
        <v>6963.4750000000022</v>
      </c>
      <c r="Q26" s="90">
        <f>($H26-L26)/$I26</f>
        <v>0.25825584424856224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14,3%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workbookViewId="0">
      <selection activeCell="F9" sqref="F9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667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16806.722689075632</v>
      </c>
    </row>
    <row r="12" spans="2:11" x14ac:dyDescent="0.4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667 Gutscheine x 30€ je Gutschein</v>
      </c>
      <c r="C24" s="237">
        <f>IFERROR(C7*'Preise Output'!$F$7,"--")</f>
        <v>20010</v>
      </c>
    </row>
    <row r="25" spans="2:8" x14ac:dyDescent="0.4">
      <c r="B25" s="97" t="str">
        <f>"Das enspricht "&amp;TEXT('Preise Output'!E26/('Preise Output'!C10),"0,0%") &amp; " des Leerstands p.a."</f>
        <v>Das enspricht 14,3%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1167.25</v>
      </c>
      <c r="E26" s="223">
        <v>7.0000000000000007E-2</v>
      </c>
      <c r="F26" s="162">
        <f>C24-F27</f>
        <v>16675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633.65</v>
      </c>
      <c r="E27" s="223">
        <v>0.19</v>
      </c>
      <c r="F27" s="162">
        <f>G27*C7</f>
        <v>3335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667 Roomnights</v>
      </c>
      <c r="C31" s="237">
        <f>C7*C4</f>
        <v>11339</v>
      </c>
    </row>
    <row r="32" spans="2:8" x14ac:dyDescent="0.4">
      <c r="B32" s="108" t="s">
        <v>293</v>
      </c>
      <c r="C32" s="229">
        <f>C26+C27</f>
        <v>1800.9</v>
      </c>
    </row>
    <row r="33" spans="2:3" ht="14.5" thickBot="1" x14ac:dyDescent="0.45">
      <c r="B33" s="115" t="s">
        <v>288</v>
      </c>
      <c r="C33" s="238">
        <f>-(C13+C14)</f>
        <v>-3193.2773109243699</v>
      </c>
    </row>
    <row r="34" spans="2:3" x14ac:dyDescent="0.4">
      <c r="B34" s="96" t="s">
        <v>271</v>
      </c>
      <c r="C34" s="236">
        <f>SUM(C31:C33)</f>
        <v>9946.6226890756298</v>
      </c>
    </row>
    <row r="36" spans="2:3" x14ac:dyDescent="0.4">
      <c r="B36" s="102" t="s">
        <v>65</v>
      </c>
      <c r="C36" s="239">
        <f>C12-C34</f>
        <v>6860.1000000000022</v>
      </c>
    </row>
    <row r="37" spans="2:3" x14ac:dyDescent="0.4">
      <c r="B37" s="97" t="s">
        <v>289</v>
      </c>
      <c r="C37" s="240">
        <f>C36/C12</f>
        <v>0.40817595000000007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20010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20010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20010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20010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F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G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H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I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J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K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L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M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N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R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S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T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U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V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W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X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Y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Z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D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E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F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G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H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I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J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K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L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M7" s="130"/>
      <c r="AN7" s="130">
        <f t="shared" ref="AN7:AN43" si="0">SUM(D7:AM7)</f>
        <v>13506.750000000007</v>
      </c>
      <c r="AQ7" s="130">
        <f t="shared" ref="AQ7:AQ45" si="1">SUM(D7:F7)</f>
        <v>900.45</v>
      </c>
      <c r="AR7" s="130">
        <f t="shared" ref="AR7:AR45" si="2">SUM(G7:I7)</f>
        <v>1350.6750000000002</v>
      </c>
      <c r="AS7" s="130">
        <f t="shared" ref="AS7:AS45" si="3">SUM(J7:L7)</f>
        <v>1350.6750000000002</v>
      </c>
      <c r="AT7" s="130">
        <f t="shared" ref="AT7:AT45" si="4">SUM(M7:O7)</f>
        <v>900.45</v>
      </c>
      <c r="AU7" s="130">
        <f t="shared" ref="AU7:AU45" si="5">SUM(P7:R7)</f>
        <v>900.45</v>
      </c>
      <c r="AV7" s="130">
        <f t="shared" ref="AV7:AV45" si="6">SUM(S7:U7)</f>
        <v>1350.6750000000002</v>
      </c>
      <c r="AW7" s="130">
        <f t="shared" ref="AW7:AW45" si="7">SUM(V7:X7)</f>
        <v>1350.6750000000002</v>
      </c>
      <c r="AX7" s="130">
        <f t="shared" ref="AX7:AX45" si="8">SUM(Y7:AA7)</f>
        <v>900.45</v>
      </c>
      <c r="AY7" s="130">
        <f t="shared" ref="AY7:AY45" si="9">SUM(AB7:AD7)</f>
        <v>900.45</v>
      </c>
      <c r="AZ7" s="130">
        <f t="shared" ref="AZ7:AZ45" si="10">SUM(AE7:AG7)</f>
        <v>1350.6750000000002</v>
      </c>
      <c r="BA7" s="130">
        <f t="shared" ref="BA7:BA45" si="11">SUM(AH7:AJ7)</f>
        <v>1350.6750000000002</v>
      </c>
      <c r="BB7" s="130">
        <f t="shared" ref="BB7:BB45" si="12">SUM(AK7:AM7)</f>
        <v>900.45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26963.475000000002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722B78FA-1F60-490B-A95C-41E4E831DF22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2025-02-19T12:55:09Z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