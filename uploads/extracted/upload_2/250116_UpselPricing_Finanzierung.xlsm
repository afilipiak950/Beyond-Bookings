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GreenLine Hotel Residenz/Vertragsdokumente/250116_Upsell bebo convert/Vertragsordner/"/>
    </mc:Choice>
  </mc:AlternateContent>
  <xr:revisionPtr revIDLastSave="67" documentId="8_{207F9823-9F7A-439A-86BD-E629EE244269}" xr6:coauthVersionLast="47" xr6:coauthVersionMax="47" xr10:uidLastSave="{2746090E-0E1C-4908-9795-4DF630FEAC7C}"/>
  <bookViews>
    <workbookView xWindow="22932" yWindow="-108" windowWidth="30936" windowHeight="16776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<sst xmlns="http://schemas.openxmlformats.org/spreadsheetml/2006/main" count="519" uniqueCount="306">
  <si>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</si>
  <si>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</si>
  <si>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</si>
  <si>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</si>
  <si>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</si>
  <si>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</si>
  <si>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</si>
  <si>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</si>
  <si>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</si>
  <si>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</si>
  <si>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</si>
  <si>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</si>
  <si>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</si>
  <si>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</si>
  <si>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</si>
  <si>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</si>
  <si>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</si>
  <si>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</si>
  <si>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</si>
  <si>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</si>
  <si>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</si>
  <si>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</si>
  <si>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</si>
  <si>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</si>
  <si>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</si>
  <si>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</si>
  <si>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</si>
  <si>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</si>
  <si>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</si>
  <si>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</si>
  <si>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</si>
  <si>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</si>
  <si>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</si>
  <si>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</si>
  <si>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</si>
  <si>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</si>
  <si>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</si>
  <si>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</si>
  <si>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</si>
  <si>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</si>
  <si>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</si>
  <si>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</si>
  <si>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</si>
  <si>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</si>
  <si>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</si>
  <si>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</si>
  <si>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</si>
  <si>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</si>
  <si>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</si>
  <si>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</si>
  <si>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</si>
  <si>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</si>
  <si>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</si>
  <si>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</si>
  <si>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</si>
  <si>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</si>
  <si>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</si>
  <si>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</si>
  <si>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</si>
  <si>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</si>
  <si>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</si>
  <si>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</si>
  <si>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</si>
  <si>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</si>
  <si>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</si>
  <si>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</si>
  <si>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</si>
  <si>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</si>
  <si>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</si>
  <si>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</si>
  <si>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</si>
  <si>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</si>
  <si>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</si>
  <si>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</si>
  <si>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</si>
  <si>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</si>
  <si>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</si>
  <si>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</si>
  <si>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</si>
  <si>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</si>
  <si>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</si>
  <si>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</si>
  <si>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</si>
  <si>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</si>
  <si>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</si>
  <si>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</si>
  <si>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</si>
  <si>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</si>
  <si>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</si>
  <si>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</si>
  <si>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</si>
  <si>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</si>
  <si>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</si>
  <si>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</si>
  <si>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</si>
  <si>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</si>
  <si>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</si>
  <si>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</si>
  <si>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</si>
  <si>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</si>
  <si>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</si>
  <si>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</si>
  <si>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</si>
  <si>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</si>
  <si>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</si>
  <si>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</si>
  <si>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</si>
  <si>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</si>
  <si>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</si>
  <si>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</si>
  <si>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</si>
  <si>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</si>
  <si>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</si>
  <si>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</si>
  <si>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</si>
  <si>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</si>
  <si>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</si>
  <si>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</si>
  <si>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</si>
  <si>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</si>
  <si>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</si>
  <si>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</si>
  <si>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</si>
  <si>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</si>
  <si>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</si>
  <si>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</si>
  <si>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</si>
  <si>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</si>
  <si>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</si>
  <si>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</si>
  <si>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</si>
  <si>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</si>
  <si>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</si>
  <si>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</si>
  <si>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</si>
  <si>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</si>
  <si>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</si>
  <si>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</si>
  <si>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</si>
  <si>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</si>
  <si>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</si>
  <si>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</si>
  <si>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</si>
  <si>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</si>
  <si>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</si>
  <si>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</si>
  <si>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</si>
  <si>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</si>
  <si>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</si>
  <si>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</si>
  <si>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</si>
  <si>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</si>
  <si>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</si>
  <si>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</si>
  <si>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</si>
  <si>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</si>
  <si>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</si>
  <si>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</si>
  <si>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</si>
  <si>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</si>
  <si>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</si>
  <si>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</si>
  <si>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</si>
  <si>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</si>
  <si>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</si>
  <si>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</si>
  <si>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</si>
  <si>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</si>
  <si>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</si>
  <si>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</si>
  <si>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</si>
  <si>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</si>
  <si>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</si>
  <si>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</si>
  <si>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</si>
  <si>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</si>
  <si>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</si>
  <si>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</si>
  <si>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</si>
  <si>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</si>
  <si>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</si>
  <si>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</si>
  <si>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</si>
  <si>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</si>
  <si>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</si>
  <si>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</si>
  <si>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</si>
  <si>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</si>
  <si>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</si>
  <si>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</si>
  <si>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</si>
  <si>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</si>
  <si>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</si>
  <si>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</si>
  <si>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</si>
  <si>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</si>
  <si>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</si>
  <si>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</si>
  <si>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</si>
  <si>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</si>
  <si>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</si>
  <si>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</si>
  <si>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</si>
  <si>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</si>
  <si>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</si>
  <si>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</si>
  <si>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</si>
  <si>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</si>
  <si>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</si>
  <si>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</si>
  <si>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</si>
  <si>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</si>
  <si>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</si>
  <si>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</si>
  <si>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</si>
  <si>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</si>
  <si>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</si>
  <si>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</si>
  <si>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</si>
  <si>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</si>
  <si>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</si>
  <si>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</si>
  <si>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</si>
  <si>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</si>
  <si>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</si>
  <si>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</si>
  <si>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</si>
  <si>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</si>
  <si>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</si>
  <si>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</si>
  <si>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</si>
  <si>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</si>
  <si>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</si>
  <si>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</si>
  <si>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</si>
  <si>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</si>
  <si>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</si>
  <si>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</si>
  <si>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</si>
  <si>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</si>
  <si>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</si>
  <si>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</si>
  <si>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</si>
  <si>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</si>
  <si>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</si>
  <si>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</si>
  <si>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</si>
  <si>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</si>
  <si>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</si>
  <si>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</si>
  <si>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</si>
  <si>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</si>
  <si>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</si>
  <si>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</si>
  <si>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</si>
  <si>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</si>
  <si>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</si>
  <si>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</si>
  <si>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</si>
  <si>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</si>
  <si>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</si>
  <si>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</si>
  <si>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</si>
  <si>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</si>
  <si>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</si>
  <si>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</si>
  <si>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</si>
  <si>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</si>
  <si>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</si>
  <si>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</si>
  <si>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</si>
  <si>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</si>
  <si>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</si>
  <si>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</si>
  <si>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</si>
  <si>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</si>
  <si>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</si>
  <si>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</si>
  <si>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</si>
  <si>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</si>
  <si>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</si>
  <si>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</si>
  <si>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</si>
  <si>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</si>
  <si>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</si>
  <si>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</si>
  <si>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</si>
  <si>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</si>
  <si>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</si>
  <si>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</si>
  <si>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</si>
  <si>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</si>
  <si>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</si>
  <si>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</si>
  <si>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</si>
  <si>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</si>
  <si>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Greenline Residenz Hotel</t>
  </si>
  <si>
    <t>TRIPZ exposure: € 42 VK, VK läuft gut</t>
  </si>
  <si>
    <t>Einlösezahlen (60%): 800 RN abgewohnt, 127 RN zukünftig reserviert, 260 RN noch nicht abgerufen, 1474 RN verkauft</t>
  </si>
  <si>
    <t>zwei Vorverträge: 25,00 / 2023: 801 + 2024: 960</t>
  </si>
  <si>
    <t>2023: 20k + 2024: 24k</t>
  </si>
  <si>
    <t>27,50 OK AB  - 17012025</t>
  </si>
  <si>
    <t>42€ OK AB .. Aber versuchen für 45 zu verkaufen! - 17012025</t>
  </si>
  <si>
    <t>21% OK AB  - 17012025</t>
  </si>
  <si>
    <t>2024 Vertrag VK im Schnitt an die 45,00, da Aktionen besser gelaufen sind. Zielwert 45,00 laut Laura ok</t>
  </si>
  <si>
    <t>max 1.200 RN - AB -20.01.2025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</si>
</sst>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1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4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60" zoomScaleNormal="60" workbookViewId="0">
      <pane xSplit="3" ySplit="17" topLeftCell="D24" activePane="bottomRight" state="frozen"/>
      <selection pane="topRight" activeCell="D1" sqref="D1"/>
      <selection pane="bottomLeft" activeCell="A15" sqref="A15"/>
      <selection pane="bottomRight" activeCell="G35" sqref="G35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58.81640625" style="37" bestFit="1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2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45673</v>
      </c>
      <c r="E5" s="151" t="s">
        <v>5</v>
      </c>
      <c r="F5" s="153">
        <v>42</v>
      </c>
      <c r="G5" s="37" t="s">
        <v>302</v>
      </c>
      <c r="H5" s="44" t="s">
        <v>297</v>
      </c>
      <c r="I5" s="40" t="s">
        <v>304</v>
      </c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72.8</v>
      </c>
      <c r="H6" s="216"/>
      <c r="I6" s="216"/>
      <c r="J6" s="216"/>
      <c r="K6" s="216"/>
      <c r="L6" s="216"/>
      <c r="M6" s="216"/>
      <c r="N6" s="216"/>
      <c r="O6" s="216"/>
      <c r="P6" s="216"/>
      <c r="Q6" s="216"/>
      <c r="R6" s="216"/>
    </row>
    <row r="7" spans="1:32" x14ac:dyDescent="0.4">
      <c r="B7" s="48" t="s">
        <v>6</v>
      </c>
      <c r="C7" s="49" t="s">
        <v>169</v>
      </c>
      <c r="E7" s="154" t="s">
        <v>8</v>
      </c>
      <c r="F7" s="209">
        <v>27.5</v>
      </c>
      <c r="G7" s="37" t="s">
        <v>301</v>
      </c>
      <c r="H7" s="37" t="s">
        <v>299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50</v>
      </c>
      <c r="E8" s="217"/>
      <c r="F8" s="217"/>
      <c r="H8" s="217"/>
      <c r="I8" s="217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0.65</v>
      </c>
      <c r="E9" s="156" t="s">
        <v>246</v>
      </c>
      <c r="F9" s="157">
        <f>IFERROR(J26,"Bitte Produkt auswählen")</f>
        <v>0.20634920634920634</v>
      </c>
      <c r="G9" s="37" t="s">
        <v>303</v>
      </c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6387.5</v>
      </c>
      <c r="E10" s="152" t="s">
        <v>13</v>
      </c>
      <c r="F10" s="168">
        <f>F5*0.75</f>
        <v>31.5</v>
      </c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958.125</v>
      </c>
      <c r="E11" s="167" t="s">
        <v>14</v>
      </c>
      <c r="F11" s="240">
        <f>+I26</f>
        <v>41580</v>
      </c>
      <c r="H11" s="55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112</v>
      </c>
      <c r="D12" s="61"/>
      <c r="E12" s="155" t="s">
        <v>243</v>
      </c>
      <c r="F12" s="239">
        <v>33000</v>
      </c>
      <c r="G12" s="37" t="s">
        <v>305</v>
      </c>
      <c r="H12" s="166" t="s">
        <v>300</v>
      </c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0"/>
      <c r="F13" s="220"/>
      <c r="H13" s="166" t="s">
        <v>298</v>
      </c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0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1200</v>
      </c>
      <c r="F24" s="76">
        <v>3</v>
      </c>
      <c r="G24" s="77">
        <f>F12*D24</f>
        <v>33000</v>
      </c>
      <c r="H24" s="77">
        <f>$E24*$F$10*1.1-$G24</f>
        <v>8580</v>
      </c>
      <c r="I24" s="77">
        <f>G24+H24</f>
        <v>41580</v>
      </c>
      <c r="J24" s="78">
        <f t="shared" si="16"/>
        <v>0.20634920634920634</v>
      </c>
      <c r="K24" s="77">
        <v>0</v>
      </c>
      <c r="L24" s="77">
        <v>0</v>
      </c>
      <c r="M24" s="77">
        <f>G24*1.19-G24</f>
        <v>6270</v>
      </c>
      <c r="N24" s="77">
        <f t="shared" si="5"/>
        <v>1795.5</v>
      </c>
      <c r="O24" s="77">
        <f>L24-M24-N24</f>
        <v>-8065.5</v>
      </c>
      <c r="P24" s="79">
        <f>IFERROR($H24-L24,"")</f>
        <v>8580</v>
      </c>
      <c r="Q24" s="78">
        <f>IFERROR(($H24-L24)/$I24,"")</f>
        <v>0.20634920634920634</v>
      </c>
      <c r="R24" s="80">
        <f>IFERROR((1-Q24)*F24,"")</f>
        <v>2.3809523809523814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1200</v>
      </c>
      <c r="F26" s="89"/>
      <c r="G26" s="89">
        <f>SUBTOTAL(9,G19:G24)</f>
        <v>33000</v>
      </c>
      <c r="H26" s="89">
        <f>SUBTOTAL(9,H19:H24)</f>
        <v>8580</v>
      </c>
      <c r="I26" s="89">
        <f>SUBTOTAL(9,I19:I24)</f>
        <v>41580</v>
      </c>
      <c r="J26" s="90">
        <f>H26/I26</f>
        <v>0.20634920634920634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6270</v>
      </c>
      <c r="N26" s="89">
        <f t="shared" si="25"/>
        <v>1795.5</v>
      </c>
      <c r="O26" s="89">
        <f t="shared" si="25"/>
        <v>-8065.5</v>
      </c>
      <c r="P26" s="89">
        <f t="shared" si="25"/>
        <v>8580</v>
      </c>
      <c r="Q26" s="90">
        <f>($H26-L26)/$I26</f>
        <v>0.20634920634920634</v>
      </c>
      <c r="R26" s="91">
        <f>IFERROR((1-Q26)*F26,"")</f>
        <v>0</v>
      </c>
    </row>
    <row r="27" spans="2:32" x14ac:dyDescent="0.4">
      <c r="E27" s="219" t="str">
        <f>"Das enspricht "&amp;TEXT(E26/(C10),"0,0%") &amp; " des Leerstands p.a. über 3 Jahre."</f>
        <v>Das enspricht 18,8%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0" workbookViewId="0">
      <selection activeCell="G27" sqref="G2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2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3">
        <v>25</v>
      </c>
    </row>
    <row r="3" spans="2:11" x14ac:dyDescent="0.4">
      <c r="B3" s="103" t="s">
        <v>52</v>
      </c>
      <c r="C3" s="223">
        <v>45</v>
      </c>
    </row>
    <row r="4" spans="2:11" x14ac:dyDescent="0.4">
      <c r="B4" s="103" t="s">
        <v>53</v>
      </c>
      <c r="C4" s="224">
        <f>+C3-C2</f>
        <v>20</v>
      </c>
    </row>
    <row r="5" spans="2:11" ht="6" customHeight="1" x14ac:dyDescent="0.4">
      <c r="C5" s="225"/>
    </row>
    <row r="6" spans="2:11" x14ac:dyDescent="0.4">
      <c r="B6" s="103" t="s">
        <v>54</v>
      </c>
      <c r="C6" s="223" t="s">
        <v>264</v>
      </c>
    </row>
    <row r="7" spans="2:11" x14ac:dyDescent="0.4">
      <c r="B7" s="103" t="s">
        <v>55</v>
      </c>
      <c r="C7" s="224">
        <f>IFERROR(INDEX('Preise Output'!$B$19:$E$24,MATCH(Preisvergleich!$C$6,'Preise Output'!$B$19:$B$24,0),4)/INDEX('Preise Output'!$B$19:$E$24,MATCH(Preisvergleich!$C$6,'Preise Output'!$B$19:$B$24,0),3),"--")</f>
        <v>1200</v>
      </c>
    </row>
    <row r="9" spans="2:11" x14ac:dyDescent="0.4">
      <c r="B9" s="109" t="s">
        <v>56</v>
      </c>
      <c r="C9" s="226"/>
    </row>
    <row r="11" spans="2:11" ht="14.5" thickBot="1" x14ac:dyDescent="0.45">
      <c r="B11" s="106" t="s">
        <v>255</v>
      </c>
      <c r="C11" s="227">
        <f>C12</f>
        <v>27731.092436974792</v>
      </c>
    </row>
    <row r="12" spans="2:11" x14ac:dyDescent="0.4">
      <c r="B12" s="211" t="s">
        <v>285</v>
      </c>
      <c r="C12" s="228">
        <f>F13+F14</f>
        <v>27731.092436974792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29">
        <f>E13*F13</f>
        <v>0</v>
      </c>
      <c r="E13" s="221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0">
        <f>F14*E14</f>
        <v>5268.9075630252109</v>
      </c>
      <c r="E14" s="221">
        <v>0.19</v>
      </c>
      <c r="F14" s="162">
        <f>(F18-F13*(1+E13))/(1+E14)</f>
        <v>27731.092436974792</v>
      </c>
    </row>
    <row r="15" spans="2:11" hidden="1" x14ac:dyDescent="0.4">
      <c r="B15" s="105" t="s">
        <v>61</v>
      </c>
      <c r="C15" s="231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3"/>
      <c r="D17" s="97" t="s">
        <v>184</v>
      </c>
    </row>
    <row r="18" spans="2:8" x14ac:dyDescent="0.4">
      <c r="B18" s="100" t="s">
        <v>180</v>
      </c>
      <c r="C18" s="234">
        <f>SUM(C12:C14)</f>
        <v>33000</v>
      </c>
      <c r="F18" s="97">
        <f>'Preise Output'!G26</f>
        <v>33000</v>
      </c>
    </row>
    <row r="21" spans="2:8" x14ac:dyDescent="0.4">
      <c r="B21" s="109" t="s">
        <v>63</v>
      </c>
      <c r="C21" s="226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1200 Gutscheine x 27,5€ je Gutschein</v>
      </c>
      <c r="C24" s="235">
        <f>IFERROR(C7*'Preise Output'!$F$7,"--")</f>
        <v>33000</v>
      </c>
    </row>
    <row r="25" spans="2:8" x14ac:dyDescent="0.4">
      <c r="B25" s="97" t="str">
        <f>"Das enspricht "&amp;TEXT('Preise Output'!E26/('Preise Output'!C10),"0,0%") &amp; " des Leerstands p.a."</f>
        <v>Das enspricht 18,8% des Leerstands p.a.</v>
      </c>
      <c r="C25" s="229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2">
        <f>IFERROR(F26*E26,"--")</f>
        <v>1890.0000000000002</v>
      </c>
      <c r="E26" s="221">
        <v>7.0000000000000007E-2</v>
      </c>
      <c r="F26" s="162">
        <f>C24-F27</f>
        <v>27000</v>
      </c>
    </row>
    <row r="27" spans="2:8" ht="14.5" thickBot="1" x14ac:dyDescent="0.45">
      <c r="B27" s="99" t="str">
        <f>"Mehrwertsteuer " &amp; TEXT(E27,"0%")</f>
        <v>Mehrwertsteuer 19%</v>
      </c>
      <c r="C27" s="232">
        <f>IFERROR(F27*E27,"--")</f>
        <v>1140</v>
      </c>
      <c r="E27" s="221">
        <v>0.19</v>
      </c>
      <c r="F27" s="162">
        <f>G27*C7</f>
        <v>6000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1200 Roomnights</v>
      </c>
      <c r="C31" s="235">
        <f>C7*C4</f>
        <v>24000</v>
      </c>
    </row>
    <row r="32" spans="2:8" x14ac:dyDescent="0.4">
      <c r="B32" s="108" t="s">
        <v>293</v>
      </c>
      <c r="C32" s="227">
        <f>C26+C27</f>
        <v>3030</v>
      </c>
    </row>
    <row r="33" spans="2:3" ht="14.5" thickBot="1" x14ac:dyDescent="0.45">
      <c r="B33" s="115" t="s">
        <v>288</v>
      </c>
      <c r="C33" s="236">
        <f>-(C13+C14)</f>
        <v>-5268.9075630252109</v>
      </c>
    </row>
    <row r="34" spans="2:3" x14ac:dyDescent="0.4">
      <c r="B34" s="96" t="s">
        <v>271</v>
      </c>
      <c r="C34" s="234">
        <f>SUM(C31:C33)</f>
        <v>21761.092436974788</v>
      </c>
    </row>
    <row r="36" spans="2:3" x14ac:dyDescent="0.4">
      <c r="B36" s="102" t="s">
        <v>65</v>
      </c>
      <c r="C36" s="237">
        <f>C12-C34</f>
        <v>5970.0000000000036</v>
      </c>
    </row>
    <row r="37" spans="2:3" x14ac:dyDescent="0.4">
      <c r="B37" s="97" t="s">
        <v>289</v>
      </c>
      <c r="C37" s="238">
        <f>C36/C12</f>
        <v>0.2152818181818183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2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4">
        <f>(Sixt!F15*Sixt!G15/SUM(Sixt!F7:F9))*12/1.19</f>
        <v>604.73949579831935</v>
      </c>
      <c r="I13" s="214">
        <f>(Sixt!F13*Sixt!G13/SUM(Sixt!F7:F9))*12/1.19</f>
        <v>302.42016806722688</v>
      </c>
      <c r="J13" s="214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0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5">
        <f>(Sixt!I15*Sixt!J15/SUM(Sixt!I7:I9))*12/1.19</f>
        <v>604.73949579831935</v>
      </c>
      <c r="I14" s="215">
        <f>(Sixt!I13*Sixt!J13/SUM(Sixt!I7:I9))*12/1.19</f>
        <v>302.42016806722688</v>
      </c>
      <c r="J14" s="215"/>
      <c r="K14" s="11"/>
      <c r="L14" s="215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5">
        <f>(Sixt!L15*Sixt!M15/SUM(Sixt!L7:L9))*12/1.19</f>
        <v>604.73949579831935</v>
      </c>
      <c r="I15" s="215">
        <f>(Sixt!L13*Sixt!M13/SUM(Sixt!L7:L9))*12/1.19</f>
        <v>0</v>
      </c>
      <c r="J15" s="215"/>
      <c r="K15" s="215"/>
      <c r="L15" s="215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27731.092436974792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27731.092436974792</v>
      </c>
      <c r="R16" s="35">
        <f t="shared" si="4"/>
        <v>9243.6974789915967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0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27731.092436974792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29171.092436974792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36000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36000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36000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36000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180</v>
      </c>
      <c r="F7" s="129">
        <f>IF($B$6=100%,(('Preise Output'!$F$10-INDEX(Annahmen!$B$18:$C$22,MATCH('Preise Output'!$C$7,Annahmen!$B$18:$B$22,0),2))*'Preise Output'!$E$26)/10,('Preise Output'!$E$26*'Preise Output'!$F$10-$D$6)/10)</f>
        <v>180</v>
      </c>
      <c r="G7" s="129">
        <f>IF($B$6=100%,(('Preise Output'!$F$10-INDEX(Annahmen!$B$18:$C$22,MATCH('Preise Output'!$C$7,Annahmen!$B$18:$B$22,0),2))*'Preise Output'!$E$26)/10,('Preise Output'!$E$26*'Preise Output'!$F$10-$D$6)/10)</f>
        <v>180</v>
      </c>
      <c r="H7" s="129">
        <f>IF($B$6=100%,(('Preise Output'!$F$10-INDEX(Annahmen!$B$18:$C$22,MATCH('Preise Output'!$C$7,Annahmen!$B$18:$B$22,0),2))*'Preise Output'!$E$26)/10,('Preise Output'!$E$26*'Preise Output'!$F$10-$D$6)/10)</f>
        <v>180</v>
      </c>
      <c r="I7" s="129">
        <f>IF($B$6=100%,(('Preise Output'!$F$10-INDEX(Annahmen!$B$18:$C$22,MATCH('Preise Output'!$C$7,Annahmen!$B$18:$B$22,0),2))*'Preise Output'!$E$26)/10,('Preise Output'!$E$26*'Preise Output'!$F$10-$D$6)/10)</f>
        <v>180</v>
      </c>
      <c r="J7" s="129">
        <f>IF($B$6=100%,(('Preise Output'!$F$10-INDEX(Annahmen!$B$18:$C$22,MATCH('Preise Output'!$C$7,Annahmen!$B$18:$B$22,0),2))*'Preise Output'!$E$26)/10,('Preise Output'!$E$26*'Preise Output'!$F$10-$D$6)/10)</f>
        <v>180</v>
      </c>
      <c r="K7" s="129">
        <f>IF($B$6=100%,(('Preise Output'!$F$10-INDEX(Annahmen!$B$18:$C$22,MATCH('Preise Output'!$C$7,Annahmen!$B$18:$B$22,0),2))*'Preise Output'!$E$26)/10,('Preise Output'!$E$26*'Preise Output'!$F$10-$D$6)/10)</f>
        <v>180</v>
      </c>
      <c r="L7" s="129">
        <f>IF($B$6=100%,(('Preise Output'!$F$10-INDEX(Annahmen!$B$18:$C$22,MATCH('Preise Output'!$C$7,Annahmen!$B$18:$B$22,0),2))*'Preise Output'!$E$26)/10,('Preise Output'!$E$26*'Preise Output'!$F$10-$D$6)/10)</f>
        <v>180</v>
      </c>
      <c r="M7" s="129">
        <f>IF($B$6=100%,(('Preise Output'!$F$10-INDEX(Annahmen!$B$18:$C$22,MATCH('Preise Output'!$C$7,Annahmen!$B$18:$B$22,0),2))*'Preise Output'!$E$26)/10,('Preise Output'!$E$26*'Preise Output'!$F$10-$D$6)/10)</f>
        <v>180</v>
      </c>
      <c r="N7" s="129">
        <f>IF($B$6=100%,(('Preise Output'!$F$10-INDEX(Annahmen!$B$18:$C$22,MATCH('Preise Output'!$C$7,Annahmen!$B$18:$B$22,0),2))*'Preise Output'!$E$26)/10,('Preise Output'!$E$26*'Preise Output'!$F$10-$D$6)/10)</f>
        <v>180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180</v>
      </c>
      <c r="R7" s="129">
        <f>IF($B$6=100%,(('Preise Output'!$F$10-INDEX(Annahmen!$B$18:$C$22,MATCH('Preise Output'!$C$7,Annahmen!$B$18:$B$22,0),2))*'Preise Output'!$E$26)/10,('Preise Output'!$E$26*'Preise Output'!$F$10-$D$6)/10)</f>
        <v>180</v>
      </c>
      <c r="S7" s="129">
        <f>IF($B$6=100%,(('Preise Output'!$F$10-INDEX(Annahmen!$B$18:$C$22,MATCH('Preise Output'!$C$7,Annahmen!$B$18:$B$22,0),2))*'Preise Output'!$E$26)/10,('Preise Output'!$E$26*'Preise Output'!$F$10-$D$6)/10)</f>
        <v>180</v>
      </c>
      <c r="T7" s="129">
        <f>IF($B$6=100%,(('Preise Output'!$F$10-INDEX(Annahmen!$B$18:$C$22,MATCH('Preise Output'!$C$7,Annahmen!$B$18:$B$22,0),2))*'Preise Output'!$E$26)/10,('Preise Output'!$E$26*'Preise Output'!$F$10-$D$6)/10)</f>
        <v>180</v>
      </c>
      <c r="U7" s="129">
        <f>IF($B$6=100%,(('Preise Output'!$F$10-INDEX(Annahmen!$B$18:$C$22,MATCH('Preise Output'!$C$7,Annahmen!$B$18:$B$22,0),2))*'Preise Output'!$E$26)/10,('Preise Output'!$E$26*'Preise Output'!$F$10-$D$6)/10)</f>
        <v>180</v>
      </c>
      <c r="V7" s="129">
        <f>IF($B$6=100%,(('Preise Output'!$F$10-INDEX(Annahmen!$B$18:$C$22,MATCH('Preise Output'!$C$7,Annahmen!$B$18:$B$22,0),2))*'Preise Output'!$E$26)/10,('Preise Output'!$E$26*'Preise Output'!$F$10-$D$6)/10)</f>
        <v>180</v>
      </c>
      <c r="W7" s="129">
        <f>IF($B$6=100%,(('Preise Output'!$F$10-INDEX(Annahmen!$B$18:$C$22,MATCH('Preise Output'!$C$7,Annahmen!$B$18:$B$22,0),2))*'Preise Output'!$E$26)/10,('Preise Output'!$E$26*'Preise Output'!$F$10-$D$6)/10)</f>
        <v>180</v>
      </c>
      <c r="X7" s="129">
        <f>IF($B$6=100%,(('Preise Output'!$F$10-INDEX(Annahmen!$B$18:$C$22,MATCH('Preise Output'!$C$7,Annahmen!$B$18:$B$22,0),2))*'Preise Output'!$E$26)/10,('Preise Output'!$E$26*'Preise Output'!$F$10-$D$6)/10)</f>
        <v>180</v>
      </c>
      <c r="Y7" s="129">
        <f>IF($B$6=100%,(('Preise Output'!$F$10-INDEX(Annahmen!$B$18:$C$22,MATCH('Preise Output'!$C$7,Annahmen!$B$18:$B$22,0),2))*'Preise Output'!$E$26)/10,('Preise Output'!$E$26*'Preise Output'!$F$10-$D$6)/10)</f>
        <v>180</v>
      </c>
      <c r="Z7" s="129">
        <f>IF($B$6=100%,(('Preise Output'!$F$10-INDEX(Annahmen!$B$18:$C$22,MATCH('Preise Output'!$C$7,Annahmen!$B$18:$B$22,0),2))*'Preise Output'!$E$26)/10,('Preise Output'!$E$26*'Preise Output'!$F$10-$D$6)/10)</f>
        <v>180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180</v>
      </c>
      <c r="AD7" s="129">
        <f>IF($B$6=100%,(('Preise Output'!$F$10-INDEX(Annahmen!$B$18:$C$22,MATCH('Preise Output'!$C$7,Annahmen!$B$18:$B$22,0),2))*'Preise Output'!$E$26)/10,('Preise Output'!$E$26*'Preise Output'!$F$10-$D$6)/10)</f>
        <v>180</v>
      </c>
      <c r="AE7" s="129">
        <f>IF($B$6=100%,(('Preise Output'!$F$10-INDEX(Annahmen!$B$18:$C$22,MATCH('Preise Output'!$C$7,Annahmen!$B$18:$B$22,0),2))*'Preise Output'!$E$26)/10,('Preise Output'!$E$26*'Preise Output'!$F$10-$D$6)/10)</f>
        <v>180</v>
      </c>
      <c r="AF7" s="129">
        <f>IF($B$6=100%,(('Preise Output'!$F$10-INDEX(Annahmen!$B$18:$C$22,MATCH('Preise Output'!$C$7,Annahmen!$B$18:$B$22,0),2))*'Preise Output'!$E$26)/10,('Preise Output'!$E$26*'Preise Output'!$F$10-$D$6)/10)</f>
        <v>180</v>
      </c>
      <c r="AG7" s="129">
        <f>IF($B$6=100%,(('Preise Output'!$F$10-INDEX(Annahmen!$B$18:$C$22,MATCH('Preise Output'!$C$7,Annahmen!$B$18:$B$22,0),2))*'Preise Output'!$E$26)/10,('Preise Output'!$E$26*'Preise Output'!$F$10-$D$6)/10)</f>
        <v>180</v>
      </c>
      <c r="AH7" s="129">
        <f>IF($B$6=100%,(('Preise Output'!$F$10-INDEX(Annahmen!$B$18:$C$22,MATCH('Preise Output'!$C$7,Annahmen!$B$18:$B$22,0),2))*'Preise Output'!$E$26)/10,('Preise Output'!$E$26*'Preise Output'!$F$10-$D$6)/10)</f>
        <v>180</v>
      </c>
      <c r="AI7" s="129">
        <f>IF($B$6=100%,(('Preise Output'!$F$10-INDEX(Annahmen!$B$18:$C$22,MATCH('Preise Output'!$C$7,Annahmen!$B$18:$B$22,0),2))*'Preise Output'!$E$26)/10,('Preise Output'!$E$26*'Preise Output'!$F$10-$D$6)/10)</f>
        <v>180</v>
      </c>
      <c r="AJ7" s="129">
        <f>IF($B$6=100%,(('Preise Output'!$F$10-INDEX(Annahmen!$B$18:$C$22,MATCH('Preise Output'!$C$7,Annahmen!$B$18:$B$22,0),2))*'Preise Output'!$E$26)/10,('Preise Output'!$E$26*'Preise Output'!$F$10-$D$6)/10)</f>
        <v>180</v>
      </c>
      <c r="AK7" s="129">
        <f>IF($B$6=100%,(('Preise Output'!$F$10-INDEX(Annahmen!$B$18:$C$22,MATCH('Preise Output'!$C$7,Annahmen!$B$18:$B$22,0),2))*'Preise Output'!$E$26)/10,('Preise Output'!$E$26*'Preise Output'!$F$10-$D$6)/10)</f>
        <v>180</v>
      </c>
      <c r="AL7" s="129">
        <f>IF($B$6=100%,(('Preise Output'!$F$10-INDEX(Annahmen!$B$18:$C$22,MATCH('Preise Output'!$C$7,Annahmen!$B$18:$B$22,0),2))*'Preise Output'!$E$26)/10,('Preise Output'!$E$26*'Preise Output'!$F$10-$D$6)/10)</f>
        <v>180</v>
      </c>
      <c r="AM7" s="130"/>
      <c r="AN7" s="130">
        <f t="shared" ref="AN7:AN43" si="0">SUM(D7:AM7)</f>
        <v>5400</v>
      </c>
      <c r="AQ7" s="130">
        <f t="shared" ref="AQ7:AQ45" si="1">SUM(D7:F7)</f>
        <v>360</v>
      </c>
      <c r="AR7" s="130">
        <f t="shared" ref="AR7:AR45" si="2">SUM(G7:I7)</f>
        <v>540</v>
      </c>
      <c r="AS7" s="130">
        <f t="shared" ref="AS7:AS45" si="3">SUM(J7:L7)</f>
        <v>540</v>
      </c>
      <c r="AT7" s="130">
        <f t="shared" ref="AT7:AT45" si="4">SUM(M7:O7)</f>
        <v>360</v>
      </c>
      <c r="AU7" s="130">
        <f t="shared" ref="AU7:AU45" si="5">SUM(P7:R7)</f>
        <v>360</v>
      </c>
      <c r="AV7" s="130">
        <f t="shared" ref="AV7:AV45" si="6">SUM(S7:U7)</f>
        <v>540</v>
      </c>
      <c r="AW7" s="130">
        <f t="shared" ref="AW7:AW45" si="7">SUM(V7:X7)</f>
        <v>540</v>
      </c>
      <c r="AX7" s="130">
        <f t="shared" ref="AX7:AX45" si="8">SUM(Y7:AA7)</f>
        <v>360</v>
      </c>
      <c r="AY7" s="130">
        <f t="shared" ref="AY7:AY45" si="9">SUM(AB7:AD7)</f>
        <v>360</v>
      </c>
      <c r="AZ7" s="130">
        <f t="shared" ref="AZ7:AZ45" si="10">SUM(AE7:AG7)</f>
        <v>540</v>
      </c>
      <c r="BA7" s="130">
        <f t="shared" ref="BA7:BA45" si="11">SUM(AH7:AJ7)</f>
        <v>540</v>
      </c>
      <c r="BB7" s="130">
        <f t="shared" ref="BB7:BB45" si="12">SUM(AK7:AM7)</f>
        <v>360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-33000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-33000</v>
      </c>
      <c r="AQ42" s="134">
        <f t="shared" si="1"/>
        <v>-33000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41580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3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18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18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18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450C5D4-D55A-4379-B780-F610FBD14E4A}"/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2025-01-20T07:41:34Z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