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idori - The Green Guesthouse/"/>
    </mc:Choice>
  </mc:AlternateContent>
  <xr:revisionPtr revIDLastSave="21" documentId="8_{207F9823-9F7A-439A-86BD-E629EE244269}" xr6:coauthVersionLast="47" xr6:coauthVersionMax="47" xr10:uidLastSave="{2A98BC70-45BA-4FB1-8579-33FE79F9EFF5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<sst xmlns="http://schemas.openxmlformats.org/spreadsheetml/2006/main" count="510" uniqueCount="297">
  <si>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</si>
  <si>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</si>
  <si>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</si>
  <si>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</si>
  <si>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</si>
  <si>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</si>
  <si>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</si>
  <si>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</si>
  <si>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</si>
  <si>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</si>
  <si>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</si>
  <si>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</si>
  <si>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</si>
  <si>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</si>
  <si>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</si>
  <si>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</si>
  <si>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</si>
  <si>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</si>
  <si>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</si>
  <si>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</si>
  <si>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</si>
  <si>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</si>
  <si>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</si>
  <si>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</si>
  <si>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</si>
  <si>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</si>
  <si>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</si>
  <si>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</si>
  <si>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</si>
  <si>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</si>
  <si>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</si>
  <si>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</si>
  <si>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</si>
  <si>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</si>
  <si>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</si>
  <si>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</si>
  <si>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</si>
  <si>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</si>
  <si>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</si>
  <si>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</si>
  <si>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</si>
  <si>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</si>
  <si>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</si>
  <si>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</si>
  <si>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</si>
  <si>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</si>
  <si>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</si>
  <si>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</si>
  <si>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</si>
  <si>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</si>
  <si>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</si>
  <si>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</si>
  <si>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</si>
  <si>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</si>
  <si>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</si>
  <si>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</si>
  <si>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</si>
  <si>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</si>
  <si>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</si>
  <si>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</si>
  <si>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</si>
  <si>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</si>
  <si>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</si>
  <si>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</si>
  <si>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</si>
  <si>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</si>
  <si>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</si>
  <si>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</si>
  <si>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</si>
  <si>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</si>
  <si>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</si>
  <si>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</si>
  <si>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</si>
  <si>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</si>
  <si>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</si>
  <si>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</si>
  <si>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</si>
  <si>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</si>
  <si>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</si>
  <si>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</si>
  <si>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</si>
  <si>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</si>
  <si>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</si>
  <si>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</si>
  <si>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</si>
  <si>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</si>
  <si>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</si>
  <si>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</si>
  <si>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</si>
  <si>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</si>
  <si>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</si>
  <si>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</si>
  <si>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</si>
  <si>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</si>
  <si>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</si>
  <si>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</si>
  <si>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</si>
  <si>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</si>
  <si>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</si>
  <si>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</si>
  <si>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</si>
  <si>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</si>
  <si>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</si>
  <si>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</si>
  <si>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</si>
  <si>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</si>
  <si>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</si>
  <si>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</si>
  <si>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</si>
  <si>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</si>
  <si>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</si>
  <si>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</si>
  <si>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</si>
  <si>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</si>
  <si>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</si>
  <si>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</si>
  <si>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</si>
  <si>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</si>
  <si>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</si>
  <si>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</si>
  <si>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</si>
  <si>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</si>
  <si>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</si>
  <si>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</si>
  <si>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</si>
  <si>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</si>
  <si>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</si>
  <si>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</si>
  <si>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</si>
  <si>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</si>
  <si>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</si>
  <si>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</si>
  <si>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</si>
  <si>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</si>
  <si>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</si>
  <si>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</si>
  <si>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</si>
  <si>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</si>
  <si>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</si>
  <si>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</si>
  <si>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</si>
  <si>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</si>
  <si>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</si>
  <si>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</si>
  <si>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</si>
  <si>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</si>
  <si>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</si>
  <si>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</si>
  <si>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</si>
  <si>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</si>
  <si>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</si>
  <si>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</si>
  <si>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</si>
  <si>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</si>
  <si>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</si>
  <si>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</si>
  <si>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</si>
  <si>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</si>
  <si>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</si>
  <si>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</si>
  <si>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</si>
  <si>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</si>
  <si>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</si>
  <si>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</si>
  <si>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</si>
  <si>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</si>
  <si>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</si>
  <si>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</si>
  <si>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</si>
  <si>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</si>
  <si>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</si>
  <si>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</si>
  <si>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</si>
  <si>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</si>
  <si>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</si>
  <si>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</si>
  <si>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</si>
  <si>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</si>
  <si>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</si>
  <si>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</si>
  <si>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</si>
  <si>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</si>
  <si>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</si>
  <si>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</si>
  <si>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</si>
  <si>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</si>
  <si>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</si>
  <si>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</si>
  <si>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</si>
  <si>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</si>
  <si>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</si>
  <si>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</si>
  <si>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</si>
  <si>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</si>
  <si>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</si>
  <si>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</si>
  <si>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</si>
  <si>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</si>
  <si>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</si>
  <si>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</si>
  <si>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</si>
  <si>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</si>
  <si>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</si>
  <si>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</si>
  <si>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</si>
  <si>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</si>
  <si>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</si>
  <si>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</si>
  <si>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</si>
  <si>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</si>
  <si>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</si>
  <si>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</si>
  <si>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</si>
  <si>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</si>
  <si>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</si>
  <si>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</si>
  <si>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</si>
  <si>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</si>
  <si>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</si>
  <si>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</si>
  <si>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</si>
  <si>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</si>
  <si>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</si>
  <si>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</si>
  <si>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</si>
  <si>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</si>
  <si>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</si>
  <si>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</si>
  <si>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</si>
  <si>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</si>
  <si>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</si>
  <si>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</si>
  <si>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</si>
  <si>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</si>
  <si>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</si>
  <si>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</si>
  <si>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</si>
  <si>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</si>
  <si>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</si>
  <si>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</si>
  <si>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</si>
  <si>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</si>
  <si>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</si>
  <si>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</si>
  <si>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</si>
  <si>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</si>
  <si>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</si>
  <si>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</si>
  <si>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</si>
  <si>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</si>
  <si>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</si>
  <si>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</si>
  <si>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</si>
  <si>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</si>
  <si>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</si>
  <si>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</si>
  <si>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</si>
  <si>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</si>
  <si>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</si>
  <si>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</si>
  <si>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</si>
  <si>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</si>
  <si>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</si>
  <si>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</si>
  <si>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</si>
  <si>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</si>
  <si>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</si>
  <si>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</si>
  <si>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</si>
  <si>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</si>
  <si>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</si>
  <si>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</si>
  <si>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</si>
  <si>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</si>
  <si>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</si>
  <si>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</si>
  <si>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</si>
  <si>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</si>
  <si>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</si>
  <si>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</si>
  <si>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</si>
  <si>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</si>
  <si>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</si>
  <si>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</si>
  <si>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</si>
  <si>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</si>
  <si>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</si>
  <si>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</si>
  <si>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</si>
  <si>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</si>
  <si>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</si>
  <si>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</si>
  <si>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</si>
  <si>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</si>
  <si>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</si>
  <si>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</si>
  <si>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Midori - The Green Guesthouse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</si>
</sst>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26" fillId="3" borderId="1" xfId="0" applyFont="1" applyFill="1" applyBorder="1" applyAlignment="1" applyProtection="1">
      <alignment vertical="top" wrapText="1"/>
      <protection locked="0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H12" sqref="H12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2187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45418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5">
      <c r="B6" s="48" t="s">
        <v>4</v>
      </c>
      <c r="C6" s="243" t="s">
        <v>296</v>
      </c>
      <c r="E6" s="152" t="s">
        <v>290</v>
      </c>
      <c r="F6" s="37">
        <f>C12*0.65</f>
        <v>60.45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70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7665.0000000000009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93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8,7%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zoomScale="90" zoomScaleNormal="90" workbookViewId="0">
      <selection activeCell="C34" sqref="C34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77734375" style="97" bestFit="1" customWidth="1"/>
    <col min="7" max="16384" width="8.664062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f>+C3-C2</f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35">
      <c r="B25" s="97" t="str">
        <f>"Das enspricht "&amp;TEXT('Preise Output'!E26/('Preise Output'!C10),"0,0%") &amp; " des Leerstands p.a."</f>
        <v>Das enspricht 8,7%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35">
      <c r="B32" s="108" t="s">
        <v>293</v>
      </c>
      <c r="C32" s="229">
        <f>C26+C27</f>
        <v>1800.9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9946.6226890756298</v>
      </c>
    </row>
    <row r="36" spans="2:3" x14ac:dyDescent="0.35">
      <c r="B36" s="102" t="s">
        <v>65</v>
      </c>
      <c r="C36" s="239">
        <f>C12-C34</f>
        <v>6860.1000000000022</v>
      </c>
    </row>
    <row r="37" spans="2:3" x14ac:dyDescent="0.35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2187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C8C95FE1-13DD-4D83-98DD-8A96312BB808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Constantin Wunderlin</cp:lastModifiedBy>
  <cp:revision/>
  <dcterms:created xsi:type="dcterms:W3CDTF">2019-06-03T13:08:51Z</dcterms:created>
  <dcterms:modified xsi:type="dcterms:W3CDTF">2024-05-08T10:37:24Z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