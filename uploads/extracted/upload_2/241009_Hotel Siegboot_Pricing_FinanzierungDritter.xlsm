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Hotel Siegboot/"/>
    </mc:Choice>
  </mc:AlternateContent>
  <xr:revisionPtr revIDLastSave="47" documentId="8_{207F9823-9F7A-439A-86BD-E629EE244269}" xr6:coauthVersionLast="47" xr6:coauthVersionMax="47" xr10:uidLastSave="{BA681C4E-A39A-48D7-B913-1776CB8A01D6}"/>
  <bookViews>
    <workbookView xWindow="-110" yWindow="-110" windowWidth="19420" windowHeight="1030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<sst xmlns="http://schemas.openxmlformats.org/spreadsheetml/2006/main" count="510" uniqueCount="297">
  <si>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</si>
  <si>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</si>
  <si>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</si>
  <si>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</si>
  <si>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</si>
  <si>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</si>
  <si>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</si>
  <si>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</si>
  <si>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</si>
  <si>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</si>
  <si>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</si>
  <si>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</si>
  <si>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</si>
  <si>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</si>
  <si>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</si>
  <si>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</si>
  <si>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</si>
  <si>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</si>
  <si>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</si>
  <si>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</si>
  <si>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</si>
  <si>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</si>
  <si>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</si>
  <si>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</si>
  <si>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</si>
  <si>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</si>
  <si>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</si>
  <si>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</si>
  <si>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</si>
  <si>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</si>
  <si>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</si>
  <si>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</si>
  <si>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</si>
  <si>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</si>
  <si>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</si>
  <si>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</si>
  <si>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</si>
  <si>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</si>
  <si>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</si>
  <si>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</si>
  <si>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</si>
  <si>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</si>
  <si>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</si>
  <si>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</si>
  <si>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</si>
  <si>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</si>
  <si>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</si>
  <si>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</si>
  <si>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</si>
  <si>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</si>
  <si>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</si>
  <si>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</si>
  <si>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</si>
  <si>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</si>
  <si>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</si>
  <si>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</si>
  <si>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</si>
  <si>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</si>
  <si>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</si>
  <si>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</si>
  <si>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</si>
  <si>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</si>
  <si>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</si>
  <si>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</si>
  <si>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</si>
  <si>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</si>
  <si>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</si>
  <si>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</si>
  <si>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</si>
  <si>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</si>
  <si>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</si>
  <si>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</si>
  <si>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</si>
  <si>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</si>
  <si>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</si>
  <si>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</si>
  <si>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</si>
  <si>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</si>
  <si>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</si>
  <si>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</si>
  <si>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</si>
  <si>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</si>
  <si>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</si>
  <si>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</si>
  <si>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</si>
  <si>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</si>
  <si>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</si>
  <si>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</si>
  <si>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</si>
  <si>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</si>
  <si>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</si>
  <si>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</si>
  <si>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</si>
  <si>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</si>
  <si>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</si>
  <si>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</si>
  <si>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</si>
  <si>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</si>
  <si>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</si>
  <si>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</si>
  <si>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</si>
  <si>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</si>
  <si>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</si>
  <si>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</si>
  <si>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</si>
  <si>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</si>
  <si>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</si>
  <si>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</si>
  <si>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</si>
  <si>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</si>
  <si>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</si>
  <si>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</si>
  <si>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</si>
  <si>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</si>
  <si>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</si>
  <si>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</si>
  <si>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</si>
  <si>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</si>
  <si>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</si>
  <si>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</si>
  <si>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</si>
  <si>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</si>
  <si>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</si>
  <si>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</si>
  <si>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</si>
  <si>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</si>
  <si>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</si>
  <si>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</si>
  <si>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</si>
  <si>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</si>
  <si>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</si>
  <si>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</si>
  <si>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</si>
  <si>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</si>
  <si>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</si>
  <si>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</si>
  <si>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</si>
  <si>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</si>
  <si>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</si>
  <si>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</si>
  <si>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</si>
  <si>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</si>
  <si>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</si>
  <si>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</si>
  <si>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</si>
  <si>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</si>
  <si>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</si>
  <si>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</si>
  <si>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</si>
  <si>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</si>
  <si>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</si>
  <si>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</si>
  <si>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</si>
  <si>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</si>
  <si>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</si>
  <si>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</si>
  <si>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</si>
  <si>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</si>
  <si>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</si>
  <si>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</si>
  <si>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</si>
  <si>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</si>
  <si>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</si>
  <si>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</si>
  <si>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</si>
  <si>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</si>
  <si>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</si>
  <si>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</si>
  <si>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</si>
  <si>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</si>
  <si>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</si>
  <si>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</si>
  <si>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</si>
  <si>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</si>
  <si>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</si>
  <si>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</si>
  <si>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</si>
  <si>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</si>
  <si>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</si>
  <si>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</si>
  <si>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</si>
  <si>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</si>
  <si>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</si>
  <si>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</si>
  <si>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</si>
  <si>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</si>
  <si>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</si>
  <si>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</si>
  <si>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</si>
  <si>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</si>
  <si>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</si>
  <si>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</si>
  <si>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</si>
  <si>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</si>
  <si>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</si>
  <si>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</si>
  <si>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</si>
  <si>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</si>
  <si>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</si>
  <si>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</si>
  <si>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</si>
  <si>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</si>
  <si>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</si>
  <si>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</si>
  <si>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</si>
  <si>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</si>
  <si>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</si>
  <si>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</si>
  <si>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</si>
  <si>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</si>
  <si>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</si>
  <si>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</si>
  <si>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</si>
  <si>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</si>
  <si>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</si>
  <si>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</si>
  <si>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</si>
  <si>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</si>
  <si>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</si>
  <si>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</si>
  <si>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</si>
  <si>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</si>
  <si>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</si>
  <si>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</si>
  <si>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</si>
  <si>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</si>
  <si>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</si>
  <si>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</si>
  <si>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</si>
  <si>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</si>
  <si>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</si>
  <si>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</si>
  <si>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</si>
  <si>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</si>
  <si>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</si>
  <si>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</si>
  <si>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</si>
  <si>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</si>
  <si>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</si>
  <si>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</si>
  <si>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</si>
  <si>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</si>
  <si>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</si>
  <si>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</si>
  <si>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</si>
  <si>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</si>
  <si>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</si>
  <si>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</si>
  <si>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</si>
  <si>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</si>
  <si>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</si>
  <si>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</si>
  <si>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</si>
  <si>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</si>
  <si>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</si>
  <si>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</si>
  <si>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</si>
  <si>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</si>
  <si>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</si>
  <si>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</si>
  <si>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</si>
  <si>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</si>
  <si>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</si>
  <si>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</si>
  <si>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</si>
  <si>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</si>
  <si>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</si>
  <si>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</si>
  <si>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</si>
  <si>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</si>
  <si>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</si>
  <si>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</si>
  <si>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</si>
  <si>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</si>
  <si>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</si>
  <si>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</si>
  <si>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</si>
  <si>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</si>
  <si>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</si>
  <si>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</si>
  <si>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</si>
  <si>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</si>
  <si>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</si>
  <si>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</si>
  <si>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</si>
  <si>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</si>
  <si>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</si>
  <si>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</si>
  <si>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</si>
  <si>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</si>
  <si>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</si>
  <si>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</si>
  <si>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</si>
  <si>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</si>
  <si>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</si>
  <si>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</si>
  <si>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Hotel Siegboot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</si>
</sst>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13" sqref="G13"/>
    </sheetView>
  </sheetViews>
  <sheetFormatPr baseColWidth="10" defaultColWidth="10.54296875" defaultRowHeight="15" outlineLevelCol="2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45574</v>
      </c>
      <c r="E5" s="151" t="s">
        <v>5</v>
      </c>
      <c r="F5" s="153">
        <v>55</v>
      </c>
      <c r="G5" s="218"/>
      <c r="H5" s="218"/>
    </row>
    <row r="6" spans="1:32">
      <c r="B6" s="48" t="s">
        <v>4</v>
      </c>
      <c r="C6" s="49" t="s">
        <v>296</v>
      </c>
      <c r="E6" s="152" t="s">
        <v>290</v>
      </c>
      <c r="F6" s="37">
        <f>C12*0.65</f>
        <v>71.5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>
      <c r="B7" s="48" t="s">
        <v>6</v>
      </c>
      <c r="C7" s="49" t="s">
        <v>169</v>
      </c>
      <c r="E7" s="154" t="s">
        <v>8</v>
      </c>
      <c r="F7" s="210">
        <v>29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9</v>
      </c>
      <c r="C8" s="158">
        <v>29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10</v>
      </c>
      <c r="C9" s="54">
        <v>0.7</v>
      </c>
      <c r="E9" s="156" t="s">
        <v>246</v>
      </c>
      <c r="F9" s="157">
        <f>IFERROR(J26,"Bitte Produkt auswählen")</f>
        <v>0.36120094222861021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11</v>
      </c>
      <c r="C10" s="58">
        <f>C8*365*(1-C9)</f>
        <v>3175.5000000000005</v>
      </c>
      <c r="E10" s="152" t="s">
        <v>13</v>
      </c>
      <c r="F10" s="168">
        <f>F5*0.75</f>
        <v>41.25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>
      <c r="B11" s="48" t="s">
        <v>12</v>
      </c>
      <c r="C11" s="59">
        <f>IF(C10*0.15&lt;1000,C10*0.15,1000)</f>
        <v>476.32500000000005</v>
      </c>
      <c r="E11" s="167" t="s">
        <v>14</v>
      </c>
      <c r="F11" s="242">
        <f>+I26</f>
        <v>18785.25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>
      <c r="B12" s="48" t="s">
        <v>281</v>
      </c>
      <c r="C12" s="158">
        <v>110</v>
      </c>
      <c r="D12" s="61"/>
      <c r="E12" s="155" t="s">
        <v>243</v>
      </c>
      <c r="F12" s="241">
        <v>12000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>
      <c r="B24" s="75" t="s">
        <v>264</v>
      </c>
      <c r="C24" s="76" t="s">
        <v>32</v>
      </c>
      <c r="D24" s="159">
        <v>1</v>
      </c>
      <c r="E24" s="76">
        <f>ROUND(G24/F$7,0)</f>
        <v>414</v>
      </c>
      <c r="F24" s="76">
        <v>3</v>
      </c>
      <c r="G24" s="77">
        <f>F12*D24</f>
        <v>12000</v>
      </c>
      <c r="H24" s="77">
        <f>$E24*$F$10*1.1-$G24</f>
        <v>6785.25</v>
      </c>
      <c r="I24" s="77">
        <f>G24+H24</f>
        <v>18785.25</v>
      </c>
      <c r="J24" s="78">
        <f t="shared" si="16"/>
        <v>0.36120094222861021</v>
      </c>
      <c r="K24" s="77">
        <v>0</v>
      </c>
      <c r="L24" s="77">
        <v>0</v>
      </c>
      <c r="M24" s="77">
        <f>G24*1.19-G24</f>
        <v>2280</v>
      </c>
      <c r="N24" s="77">
        <f t="shared" si="5"/>
        <v>811.18125000000009</v>
      </c>
      <c r="O24" s="77">
        <f>L24-M24-N24</f>
        <v>-3091.1812500000001</v>
      </c>
      <c r="P24" s="79">
        <f>IFERROR($H24-L24,"")</f>
        <v>6785.25</v>
      </c>
      <c r="Q24" s="78">
        <f>IFERROR(($H24-L24)/$I24,"")</f>
        <v>0.36120094222861021</v>
      </c>
      <c r="R24" s="80">
        <f>IFERROR((1-Q24)*F24,"")</f>
        <v>1.9163971733141694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>
      <c r="B26" s="87" t="s">
        <v>50</v>
      </c>
      <c r="C26" s="87"/>
      <c r="D26" s="88">
        <f>SUBTOTAL(9,D19:D24)</f>
        <v>1</v>
      </c>
      <c r="E26" s="89">
        <f>SUBTOTAL(9,E19:E24)</f>
        <v>414</v>
      </c>
      <c r="F26" s="89"/>
      <c r="G26" s="89">
        <f>SUBTOTAL(9,G19:G24)</f>
        <v>12000</v>
      </c>
      <c r="H26" s="89">
        <f>SUBTOTAL(9,H19:H24)</f>
        <v>6785.25</v>
      </c>
      <c r="I26" s="89">
        <f>SUBTOTAL(9,I19:I24)</f>
        <v>18785.25</v>
      </c>
      <c r="J26" s="90">
        <f>H26/I26</f>
        <v>0.36120094222861021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2280</v>
      </c>
      <c r="N26" s="89">
        <f t="shared" si="25"/>
        <v>811.18125000000009</v>
      </c>
      <c r="O26" s="89">
        <f t="shared" si="25"/>
        <v>-3091.1812500000001</v>
      </c>
      <c r="P26" s="89">
        <f t="shared" si="25"/>
        <v>6785.25</v>
      </c>
      <c r="Q26" s="90">
        <f>($H26-L26)/$I26</f>
        <v>0.36120094222861021</v>
      </c>
      <c r="R26" s="91">
        <f>IFERROR((1-Q26)*F26,"")</f>
        <v>0</v>
      </c>
    </row>
    <row r="27" spans="2:32">
      <c r="E27" s="221" t="str">
        <f>"Das enspricht "&amp;TEXT(E26/(C10),"0,0%") &amp; " des Leerstands p.a. über 3 Jahre."</f>
        <v>Das enspricht 13,0%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topLeftCell="A4" workbookViewId="0">
      <selection activeCell="C3" sqref="C3"/>
    </sheetView>
  </sheetViews>
  <sheetFormatPr baseColWidth="10" defaultColWidth="8.54296875" defaultRowHeight="1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>
      <c r="B2" s="103" t="s">
        <v>51</v>
      </c>
      <c r="C2" s="225">
        <v>25</v>
      </c>
    </row>
    <row r="3" spans="2:11">
      <c r="B3" s="103" t="s">
        <v>52</v>
      </c>
      <c r="C3" s="225">
        <v>42</v>
      </c>
    </row>
    <row r="4" spans="2:11">
      <c r="B4" s="103" t="s">
        <v>53</v>
      </c>
      <c r="C4" s="226">
        <f>+C3-C2</f>
        <v>17</v>
      </c>
    </row>
    <row r="5" spans="2:11" ht="6" customHeight="1">
      <c r="C5" s="227"/>
    </row>
    <row r="6" spans="2:11">
      <c r="B6" s="103" t="s">
        <v>54</v>
      </c>
      <c r="C6" s="225" t="s">
        <v>264</v>
      </c>
    </row>
    <row r="7" spans="2:11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414</v>
      </c>
    </row>
    <row r="9" spans="2:11">
      <c r="B9" s="109" t="s">
        <v>56</v>
      </c>
      <c r="C9" s="228"/>
    </row>
    <row r="11" spans="2:11" ht="14.5" thickBot="1">
      <c r="B11" s="106" t="s">
        <v>255</v>
      </c>
      <c r="C11" s="229">
        <f>C12</f>
        <v>10084.033613445379</v>
      </c>
    </row>
    <row r="12" spans="2:11">
      <c r="B12" s="212" t="s">
        <v>285</v>
      </c>
      <c r="C12" s="230">
        <f>F13+F14</f>
        <v>10084.033613445379</v>
      </c>
      <c r="E12" s="97" t="s">
        <v>286</v>
      </c>
      <c r="F12" s="97" t="s">
        <v>287</v>
      </c>
    </row>
    <row r="13" spans="2:11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>
      <c r="B14" s="99" t="str">
        <f>"Mehrwertsteuer " &amp; TEXT(E14,"0%")</f>
        <v>Mehrwertsteuer 19%</v>
      </c>
      <c r="C14" s="232">
        <f>F14*E14</f>
        <v>1915.966386554622</v>
      </c>
      <c r="E14" s="223">
        <v>0.19</v>
      </c>
      <c r="F14" s="162">
        <f>(F18-F13*(1+E13))/(1+E14)</f>
        <v>10084.033613445379</v>
      </c>
    </row>
    <row r="15" spans="2:11" hidden="1">
      <c r="B15" s="105" t="s">
        <v>61</v>
      </c>
      <c r="C15" s="233"/>
      <c r="K15" s="162"/>
    </row>
    <row r="16" spans="2:11" hidden="1">
      <c r="B16" s="98" t="s">
        <v>179</v>
      </c>
      <c r="D16" s="162"/>
    </row>
    <row r="17" spans="2:8" ht="14.5" hidden="1" thickBot="1">
      <c r="B17" s="99" t="s">
        <v>62</v>
      </c>
      <c r="C17" s="235"/>
      <c r="D17" s="97" t="s">
        <v>184</v>
      </c>
    </row>
    <row r="18" spans="2:8">
      <c r="B18" s="100" t="s">
        <v>180</v>
      </c>
      <c r="C18" s="236">
        <f>SUM(C12:C14)</f>
        <v>12000.000000000002</v>
      </c>
      <c r="F18" s="97">
        <f>'Preise Output'!G26</f>
        <v>12000</v>
      </c>
    </row>
    <row r="21" spans="2:8">
      <c r="B21" s="109" t="s">
        <v>63</v>
      </c>
      <c r="C21" s="228"/>
    </row>
    <row r="22" spans="2:8" ht="6.75" customHeight="1"/>
    <row r="23" spans="2:8">
      <c r="B23" s="101" t="s">
        <v>258</v>
      </c>
    </row>
    <row r="24" spans="2:8">
      <c r="B24" s="107" t="str">
        <f>C7&amp;" "&amp;"Gutscheine"&amp;" "&amp;"x"&amp;" "&amp;ROUND('Preise Output'!F7,2)&amp;"€"&amp;" "&amp;"je"&amp;" "&amp;"Gutschein"</f>
        <v>414 Gutscheine x 29€ je Gutschein</v>
      </c>
      <c r="C24" s="237">
        <f>IFERROR(C7*'Preise Output'!$F$7,"--")</f>
        <v>12006</v>
      </c>
    </row>
    <row r="25" spans="2:8">
      <c r="B25" s="97" t="str">
        <f>"Das enspricht "&amp;TEXT('Preise Output'!E26/('Preise Output'!C10),"0,0%") &amp; " des Leerstands p.a."</f>
        <v>Das enspricht 13,0% des Leerstands p.a.</v>
      </c>
      <c r="C25" s="231"/>
      <c r="E25" s="97" t="s">
        <v>286</v>
      </c>
      <c r="F25" s="97" t="s">
        <v>287</v>
      </c>
    </row>
    <row r="26" spans="2:8">
      <c r="B26" s="98" t="str">
        <f>"Mehrwertsteuer " &amp; TEXT(E26,"0%")</f>
        <v>Mehrwertsteuer 7%</v>
      </c>
      <c r="C26" s="234">
        <f>IFERROR(F26*E26,"--")</f>
        <v>695.5200000000001</v>
      </c>
      <c r="E26" s="223">
        <v>7.0000000000000007E-2</v>
      </c>
      <c r="F26" s="162">
        <f>C24-F27</f>
        <v>9936</v>
      </c>
    </row>
    <row r="27" spans="2:8" ht="14.5" thickBot="1">
      <c r="B27" s="99" t="str">
        <f>"Mehrwertsteuer " &amp; TEXT(E27,"0%")</f>
        <v>Mehrwertsteuer 19%</v>
      </c>
      <c r="C27" s="234">
        <f>IFERROR(F27*E27,"--")</f>
        <v>393.3</v>
      </c>
      <c r="E27" s="223">
        <v>0.19</v>
      </c>
      <c r="F27" s="162">
        <f>G27*C7</f>
        <v>2070</v>
      </c>
      <c r="G27" s="104">
        <v>5</v>
      </c>
      <c r="H27" s="97" t="s">
        <v>292</v>
      </c>
    </row>
    <row r="30" spans="2:8">
      <c r="B30" s="96" t="s">
        <v>64</v>
      </c>
    </row>
    <row r="31" spans="2:8">
      <c r="B31" s="107" t="str">
        <f>C4&amp;"€"&amp;" "&amp;"je"&amp;" "&amp;"Gutschein"&amp;" "&amp;"x"&amp;" "&amp;C7&amp;" "&amp;"Roomnights"</f>
        <v>17€ je Gutschein x 414 Roomnights</v>
      </c>
      <c r="C31" s="237">
        <f>C7*C4</f>
        <v>7038</v>
      </c>
    </row>
    <row r="32" spans="2:8">
      <c r="B32" s="108" t="s">
        <v>293</v>
      </c>
      <c r="C32" s="229">
        <f>C26+C27</f>
        <v>1088.8200000000002</v>
      </c>
    </row>
    <row r="33" spans="2:3" ht="14.5" thickBot="1">
      <c r="B33" s="115" t="s">
        <v>288</v>
      </c>
      <c r="C33" s="238">
        <f>-(C13+C14)</f>
        <v>-1915.966386554622</v>
      </c>
    </row>
    <row r="34" spans="2:3">
      <c r="B34" s="96" t="s">
        <v>271</v>
      </c>
      <c r="C34" s="236">
        <f>SUM(C31:C33)</f>
        <v>6210.853613445378</v>
      </c>
    </row>
    <row r="36" spans="2:3">
      <c r="B36" s="102" t="s">
        <v>65</v>
      </c>
      <c r="C36" s="239">
        <f>C12-C34</f>
        <v>3873.1800000000012</v>
      </c>
    </row>
    <row r="37" spans="2:3">
      <c r="B37" s="97" t="s">
        <v>289</v>
      </c>
      <c r="C37" s="240">
        <f>C36/C12</f>
        <v>0.38409035000000008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>
      <c r="B2" s="94" t="s">
        <v>66</v>
      </c>
      <c r="Q2" s="95"/>
    </row>
    <row r="3" spans="2:19">
      <c r="N3" t="s">
        <v>61</v>
      </c>
      <c r="O3" t="s">
        <v>172</v>
      </c>
    </row>
    <row r="4" spans="2:19" s="1" customFormat="1" ht="43.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10084.033613445379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10084.033613445379</v>
      </c>
      <c r="R16" s="35">
        <f t="shared" si="4"/>
        <v>3361.3445378151264</v>
      </c>
      <c r="S16" s="32"/>
    </row>
    <row r="17" spans="2:19" s="5" customFormat="1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177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10084.033613445379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11524.033613445379</v>
      </c>
      <c r="R44" s="26"/>
      <c r="S44" s="27"/>
    </row>
    <row r="45" spans="2:19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/>
  <cols>
    <col min="1" max="1" width="24.453125" bestFit="1" customWidth="1"/>
  </cols>
  <sheetData>
    <row r="1" spans="1:2">
      <c r="A1" t="s">
        <v>196</v>
      </c>
      <c r="B1" t="s">
        <v>277</v>
      </c>
    </row>
    <row r="2" spans="1:2">
      <c r="A2">
        <v>221220</v>
      </c>
      <c r="B2" t="s">
        <v>197</v>
      </c>
    </row>
    <row r="3" spans="1:2">
      <c r="B3" t="s">
        <v>198</v>
      </c>
    </row>
    <row r="4" spans="1:2">
      <c r="B4" t="s">
        <v>199</v>
      </c>
    </row>
    <row r="5" spans="1:2">
      <c r="A5">
        <v>230126</v>
      </c>
      <c r="B5" t="s">
        <v>201</v>
      </c>
    </row>
    <row r="6" spans="1:2">
      <c r="B6" t="s">
        <v>202</v>
      </c>
    </row>
    <row r="7" spans="1:2">
      <c r="B7" t="s">
        <v>204</v>
      </c>
    </row>
    <row r="9" spans="1:2">
      <c r="A9" t="s">
        <v>247</v>
      </c>
      <c r="B9" t="s">
        <v>205</v>
      </c>
    </row>
    <row r="10" spans="1:2">
      <c r="B10" t="s">
        <v>248</v>
      </c>
    </row>
    <row r="11" spans="1:2">
      <c r="B11" t="s">
        <v>249</v>
      </c>
    </row>
    <row r="12" spans="1:2">
      <c r="A12" t="s">
        <v>259</v>
      </c>
      <c r="B12" t="s">
        <v>261</v>
      </c>
    </row>
    <row r="13" spans="1:2">
      <c r="B13" t="s">
        <v>260</v>
      </c>
    </row>
    <row r="14" spans="1:2">
      <c r="A14" t="s">
        <v>265</v>
      </c>
      <c r="B14" t="s">
        <v>263</v>
      </c>
    </row>
    <row r="15" spans="1:2">
      <c r="B15" t="s">
        <v>266</v>
      </c>
    </row>
    <row r="16" spans="1:2">
      <c r="A16" t="s">
        <v>267</v>
      </c>
      <c r="B16" t="s">
        <v>270</v>
      </c>
    </row>
    <row r="17" spans="1:2">
      <c r="B17" t="s">
        <v>268</v>
      </c>
    </row>
    <row r="18" spans="1:2">
      <c r="B18" t="s">
        <v>269</v>
      </c>
    </row>
    <row r="19" spans="1:2">
      <c r="A19" t="s">
        <v>272</v>
      </c>
      <c r="B19" t="s">
        <v>273</v>
      </c>
    </row>
    <row r="20" spans="1:2">
      <c r="B20" t="s">
        <v>274</v>
      </c>
    </row>
    <row r="21" spans="1:2">
      <c r="A21" t="s">
        <v>275</v>
      </c>
      <c r="B21" t="s">
        <v>276</v>
      </c>
    </row>
    <row r="22" spans="1:2">
      <c r="A22" t="s">
        <v>279</v>
      </c>
      <c r="B22" t="s">
        <v>280</v>
      </c>
    </row>
    <row r="23" spans="1:2">
      <c r="A23" t="s">
        <v>283</v>
      </c>
      <c r="B23" t="s">
        <v>284</v>
      </c>
    </row>
    <row r="24" spans="1:2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12420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12420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12420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12420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465.75</v>
      </c>
      <c r="F7" s="129">
        <f>IF($B$6=100%,(('Preise Output'!$F$10-INDEX(Annahmen!$B$18:$C$22,MATCH('Preise Output'!$C$7,Annahmen!$B$18:$B$22,0),2))*'Preise Output'!$E$26)/10,('Preise Output'!$E$26*'Preise Output'!$F$10-$D$6)/10)</f>
        <v>465.75</v>
      </c>
      <c r="G7" s="129">
        <f>IF($B$6=100%,(('Preise Output'!$F$10-INDEX(Annahmen!$B$18:$C$22,MATCH('Preise Output'!$C$7,Annahmen!$B$18:$B$22,0),2))*'Preise Output'!$E$26)/10,('Preise Output'!$E$26*'Preise Output'!$F$10-$D$6)/10)</f>
        <v>465.75</v>
      </c>
      <c r="H7" s="129">
        <f>IF($B$6=100%,(('Preise Output'!$F$10-INDEX(Annahmen!$B$18:$C$22,MATCH('Preise Output'!$C$7,Annahmen!$B$18:$B$22,0),2))*'Preise Output'!$E$26)/10,('Preise Output'!$E$26*'Preise Output'!$F$10-$D$6)/10)</f>
        <v>465.75</v>
      </c>
      <c r="I7" s="129">
        <f>IF($B$6=100%,(('Preise Output'!$F$10-INDEX(Annahmen!$B$18:$C$22,MATCH('Preise Output'!$C$7,Annahmen!$B$18:$B$22,0),2))*'Preise Output'!$E$26)/10,('Preise Output'!$E$26*'Preise Output'!$F$10-$D$6)/10)</f>
        <v>465.75</v>
      </c>
      <c r="J7" s="129">
        <f>IF($B$6=100%,(('Preise Output'!$F$10-INDEX(Annahmen!$B$18:$C$22,MATCH('Preise Output'!$C$7,Annahmen!$B$18:$B$22,0),2))*'Preise Output'!$E$26)/10,('Preise Output'!$E$26*'Preise Output'!$F$10-$D$6)/10)</f>
        <v>465.75</v>
      </c>
      <c r="K7" s="129">
        <f>IF($B$6=100%,(('Preise Output'!$F$10-INDEX(Annahmen!$B$18:$C$22,MATCH('Preise Output'!$C$7,Annahmen!$B$18:$B$22,0),2))*'Preise Output'!$E$26)/10,('Preise Output'!$E$26*'Preise Output'!$F$10-$D$6)/10)</f>
        <v>465.75</v>
      </c>
      <c r="L7" s="129">
        <f>IF($B$6=100%,(('Preise Output'!$F$10-INDEX(Annahmen!$B$18:$C$22,MATCH('Preise Output'!$C$7,Annahmen!$B$18:$B$22,0),2))*'Preise Output'!$E$26)/10,('Preise Output'!$E$26*'Preise Output'!$F$10-$D$6)/10)</f>
        <v>465.75</v>
      </c>
      <c r="M7" s="129">
        <f>IF($B$6=100%,(('Preise Output'!$F$10-INDEX(Annahmen!$B$18:$C$22,MATCH('Preise Output'!$C$7,Annahmen!$B$18:$B$22,0),2))*'Preise Output'!$E$26)/10,('Preise Output'!$E$26*'Preise Output'!$F$10-$D$6)/10)</f>
        <v>465.75</v>
      </c>
      <c r="N7" s="129">
        <f>IF($B$6=100%,(('Preise Output'!$F$10-INDEX(Annahmen!$B$18:$C$22,MATCH('Preise Output'!$C$7,Annahmen!$B$18:$B$22,0),2))*'Preise Output'!$E$26)/10,('Preise Output'!$E$26*'Preise Output'!$F$10-$D$6)/10)</f>
        <v>465.75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465.75</v>
      </c>
      <c r="R7" s="129">
        <f>IF($B$6=100%,(('Preise Output'!$F$10-INDEX(Annahmen!$B$18:$C$22,MATCH('Preise Output'!$C$7,Annahmen!$B$18:$B$22,0),2))*'Preise Output'!$E$26)/10,('Preise Output'!$E$26*'Preise Output'!$F$10-$D$6)/10)</f>
        <v>465.75</v>
      </c>
      <c r="S7" s="129">
        <f>IF($B$6=100%,(('Preise Output'!$F$10-INDEX(Annahmen!$B$18:$C$22,MATCH('Preise Output'!$C$7,Annahmen!$B$18:$B$22,0),2))*'Preise Output'!$E$26)/10,('Preise Output'!$E$26*'Preise Output'!$F$10-$D$6)/10)</f>
        <v>465.75</v>
      </c>
      <c r="T7" s="129">
        <f>IF($B$6=100%,(('Preise Output'!$F$10-INDEX(Annahmen!$B$18:$C$22,MATCH('Preise Output'!$C$7,Annahmen!$B$18:$B$22,0),2))*'Preise Output'!$E$26)/10,('Preise Output'!$E$26*'Preise Output'!$F$10-$D$6)/10)</f>
        <v>465.75</v>
      </c>
      <c r="U7" s="129">
        <f>IF($B$6=100%,(('Preise Output'!$F$10-INDEX(Annahmen!$B$18:$C$22,MATCH('Preise Output'!$C$7,Annahmen!$B$18:$B$22,0),2))*'Preise Output'!$E$26)/10,('Preise Output'!$E$26*'Preise Output'!$F$10-$D$6)/10)</f>
        <v>465.75</v>
      </c>
      <c r="V7" s="129">
        <f>IF($B$6=100%,(('Preise Output'!$F$10-INDEX(Annahmen!$B$18:$C$22,MATCH('Preise Output'!$C$7,Annahmen!$B$18:$B$22,0),2))*'Preise Output'!$E$26)/10,('Preise Output'!$E$26*'Preise Output'!$F$10-$D$6)/10)</f>
        <v>465.75</v>
      </c>
      <c r="W7" s="129">
        <f>IF($B$6=100%,(('Preise Output'!$F$10-INDEX(Annahmen!$B$18:$C$22,MATCH('Preise Output'!$C$7,Annahmen!$B$18:$B$22,0),2))*'Preise Output'!$E$26)/10,('Preise Output'!$E$26*'Preise Output'!$F$10-$D$6)/10)</f>
        <v>465.75</v>
      </c>
      <c r="X7" s="129">
        <f>IF($B$6=100%,(('Preise Output'!$F$10-INDEX(Annahmen!$B$18:$C$22,MATCH('Preise Output'!$C$7,Annahmen!$B$18:$B$22,0),2))*'Preise Output'!$E$26)/10,('Preise Output'!$E$26*'Preise Output'!$F$10-$D$6)/10)</f>
        <v>465.75</v>
      </c>
      <c r="Y7" s="129">
        <f>IF($B$6=100%,(('Preise Output'!$F$10-INDEX(Annahmen!$B$18:$C$22,MATCH('Preise Output'!$C$7,Annahmen!$B$18:$B$22,0),2))*'Preise Output'!$E$26)/10,('Preise Output'!$E$26*'Preise Output'!$F$10-$D$6)/10)</f>
        <v>465.75</v>
      </c>
      <c r="Z7" s="129">
        <f>IF($B$6=100%,(('Preise Output'!$F$10-INDEX(Annahmen!$B$18:$C$22,MATCH('Preise Output'!$C$7,Annahmen!$B$18:$B$22,0),2))*'Preise Output'!$E$26)/10,('Preise Output'!$E$26*'Preise Output'!$F$10-$D$6)/10)</f>
        <v>465.75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465.75</v>
      </c>
      <c r="AD7" s="129">
        <f>IF($B$6=100%,(('Preise Output'!$F$10-INDEX(Annahmen!$B$18:$C$22,MATCH('Preise Output'!$C$7,Annahmen!$B$18:$B$22,0),2))*'Preise Output'!$E$26)/10,('Preise Output'!$E$26*'Preise Output'!$F$10-$D$6)/10)</f>
        <v>465.75</v>
      </c>
      <c r="AE7" s="129">
        <f>IF($B$6=100%,(('Preise Output'!$F$10-INDEX(Annahmen!$B$18:$C$22,MATCH('Preise Output'!$C$7,Annahmen!$B$18:$B$22,0),2))*'Preise Output'!$E$26)/10,('Preise Output'!$E$26*'Preise Output'!$F$10-$D$6)/10)</f>
        <v>465.75</v>
      </c>
      <c r="AF7" s="129">
        <f>IF($B$6=100%,(('Preise Output'!$F$10-INDEX(Annahmen!$B$18:$C$22,MATCH('Preise Output'!$C$7,Annahmen!$B$18:$B$22,0),2))*'Preise Output'!$E$26)/10,('Preise Output'!$E$26*'Preise Output'!$F$10-$D$6)/10)</f>
        <v>465.75</v>
      </c>
      <c r="AG7" s="129">
        <f>IF($B$6=100%,(('Preise Output'!$F$10-INDEX(Annahmen!$B$18:$C$22,MATCH('Preise Output'!$C$7,Annahmen!$B$18:$B$22,0),2))*'Preise Output'!$E$26)/10,('Preise Output'!$E$26*'Preise Output'!$F$10-$D$6)/10)</f>
        <v>465.75</v>
      </c>
      <c r="AH7" s="129">
        <f>IF($B$6=100%,(('Preise Output'!$F$10-INDEX(Annahmen!$B$18:$C$22,MATCH('Preise Output'!$C$7,Annahmen!$B$18:$B$22,0),2))*'Preise Output'!$E$26)/10,('Preise Output'!$E$26*'Preise Output'!$F$10-$D$6)/10)</f>
        <v>465.75</v>
      </c>
      <c r="AI7" s="129">
        <f>IF($B$6=100%,(('Preise Output'!$F$10-INDEX(Annahmen!$B$18:$C$22,MATCH('Preise Output'!$C$7,Annahmen!$B$18:$B$22,0),2))*'Preise Output'!$E$26)/10,('Preise Output'!$E$26*'Preise Output'!$F$10-$D$6)/10)</f>
        <v>465.75</v>
      </c>
      <c r="AJ7" s="129">
        <f>IF($B$6=100%,(('Preise Output'!$F$10-INDEX(Annahmen!$B$18:$C$22,MATCH('Preise Output'!$C$7,Annahmen!$B$18:$B$22,0),2))*'Preise Output'!$E$26)/10,('Preise Output'!$E$26*'Preise Output'!$F$10-$D$6)/10)</f>
        <v>465.75</v>
      </c>
      <c r="AK7" s="129">
        <f>IF($B$6=100%,(('Preise Output'!$F$10-INDEX(Annahmen!$B$18:$C$22,MATCH('Preise Output'!$C$7,Annahmen!$B$18:$B$22,0),2))*'Preise Output'!$E$26)/10,('Preise Output'!$E$26*'Preise Output'!$F$10-$D$6)/10)</f>
        <v>465.75</v>
      </c>
      <c r="AL7" s="129">
        <f>IF($B$6=100%,(('Preise Output'!$F$10-INDEX(Annahmen!$B$18:$C$22,MATCH('Preise Output'!$C$7,Annahmen!$B$18:$B$22,0),2))*'Preise Output'!$E$26)/10,('Preise Output'!$E$26*'Preise Output'!$F$10-$D$6)/10)</f>
        <v>465.75</v>
      </c>
      <c r="AM7" s="130"/>
      <c r="AN7" s="130">
        <f t="shared" ref="AN7:AN43" si="0">SUM(D7:AM7)</f>
        <v>13972.5</v>
      </c>
      <c r="AQ7" s="130">
        <f t="shared" ref="AQ7:AQ45" si="1">SUM(D7:F7)</f>
        <v>931.5</v>
      </c>
      <c r="AR7" s="130">
        <f t="shared" ref="AR7:AR45" si="2">SUM(G7:I7)</f>
        <v>1397.25</v>
      </c>
      <c r="AS7" s="130">
        <f t="shared" ref="AS7:AS45" si="3">SUM(J7:L7)</f>
        <v>1397.25</v>
      </c>
      <c r="AT7" s="130">
        <f t="shared" ref="AT7:AT45" si="4">SUM(M7:O7)</f>
        <v>931.5</v>
      </c>
      <c r="AU7" s="130">
        <f t="shared" ref="AU7:AU45" si="5">SUM(P7:R7)</f>
        <v>931.5</v>
      </c>
      <c r="AV7" s="130">
        <f t="shared" ref="AV7:AV45" si="6">SUM(S7:U7)</f>
        <v>1397.25</v>
      </c>
      <c r="AW7" s="130">
        <f t="shared" ref="AW7:AW45" si="7">SUM(V7:X7)</f>
        <v>1397.25</v>
      </c>
      <c r="AX7" s="130">
        <f t="shared" ref="AX7:AX45" si="8">SUM(Y7:AA7)</f>
        <v>931.5</v>
      </c>
      <c r="AY7" s="130">
        <f t="shared" ref="AY7:AY45" si="9">SUM(AB7:AD7)</f>
        <v>931.5</v>
      </c>
      <c r="AZ7" s="130">
        <f t="shared" ref="AZ7:AZ45" si="10">SUM(AE7:AG7)</f>
        <v>1397.25</v>
      </c>
      <c r="BA7" s="130">
        <f t="shared" ref="BA7:BA45" si="11">SUM(AH7:AJ7)</f>
        <v>1397.25</v>
      </c>
      <c r="BB7" s="130">
        <f t="shared" ref="BB7:BB45" si="12">SUM(AK7:AM7)</f>
        <v>931.5</v>
      </c>
    </row>
    <row r="8" spans="2:54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40</v>
      </c>
      <c r="D42" s="129">
        <f>-'Preise Output'!$G$24</f>
        <v>-12000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-12000</v>
      </c>
      <c r="AQ42" s="134">
        <f t="shared" si="1"/>
        <v>-12000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>
      <c r="B2" s="94" t="s">
        <v>149</v>
      </c>
      <c r="P2" s="136"/>
      <c r="Q2" s="136"/>
      <c r="R2" s="136"/>
      <c r="S2" s="136"/>
      <c r="T2" s="136"/>
      <c r="U2" s="136"/>
    </row>
    <row r="3" spans="2:21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18785.25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>
      <c r="B4" s="8" t="s">
        <v>154</v>
      </c>
      <c r="C4" s="8" t="s">
        <v>155</v>
      </c>
    </row>
    <row r="5" spans="2:3">
      <c r="B5" s="3" t="s">
        <v>156</v>
      </c>
      <c r="C5" s="4">
        <v>0</v>
      </c>
    </row>
    <row r="6" spans="2:3">
      <c r="B6" s="3" t="s">
        <v>157</v>
      </c>
      <c r="C6" s="4">
        <v>0</v>
      </c>
    </row>
    <row r="7" spans="2:3">
      <c r="B7" s="3" t="s">
        <v>158</v>
      </c>
      <c r="C7" s="4">
        <v>0</v>
      </c>
    </row>
    <row r="8" spans="2:3">
      <c r="B8" s="3" t="s">
        <v>159</v>
      </c>
      <c r="C8" s="4">
        <v>0</v>
      </c>
    </row>
    <row r="9" spans="2:3">
      <c r="B9" s="3" t="s">
        <v>160</v>
      </c>
      <c r="C9" s="4">
        <v>0</v>
      </c>
    </row>
    <row r="11" spans="2:3">
      <c r="B11" s="8" t="s">
        <v>161</v>
      </c>
      <c r="C11" s="8" t="s">
        <v>155</v>
      </c>
    </row>
    <row r="12" spans="2:3">
      <c r="B12" s="3" t="s">
        <v>162</v>
      </c>
      <c r="C12" s="4">
        <v>0</v>
      </c>
    </row>
    <row r="13" spans="2:3">
      <c r="B13" s="3" t="s">
        <v>163</v>
      </c>
      <c r="C13" s="4">
        <v>0</v>
      </c>
    </row>
    <row r="14" spans="2:3">
      <c r="B14" s="3" t="s">
        <v>164</v>
      </c>
      <c r="C14" s="4">
        <v>0.05</v>
      </c>
    </row>
    <row r="15" spans="2:3">
      <c r="B15" s="3" t="s">
        <v>165</v>
      </c>
      <c r="C15" s="4">
        <v>0.15</v>
      </c>
    </row>
    <row r="17" spans="2:12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5DAD73E8-C6D8-4DBE-8AF3-B74F9FA62B83}"/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2024-10-09T07:12:51Z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