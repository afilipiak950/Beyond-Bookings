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Schweiz/Jufa Hotel Savognin/"/>
    </mc:Choice>
  </mc:AlternateContent>
  <xr:revisionPtr revIDLastSave="51" documentId="8_{AB380101-EFC6-46F8-B1BF-FAB4B4830B4A}" xr6:coauthVersionLast="47" xr6:coauthVersionMax="47" xr10:uidLastSave="{0CF4B6B1-39EF-4536-8117-7AC666CEDBB5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  <c r="C2" i="8"/>
  <c r="G12" i="1"/>
  <c r="F10" i="1"/>
  <c r="F6" i="1"/>
  <c r="B27" i="8"/>
  <c r="H5" i="1" l="1"/>
  <c r="C13" i="8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E24" i="1" l="1"/>
  <c r="H24" i="1" s="1"/>
  <c r="G27" i="1"/>
  <c r="P19" i="12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B31" i="8"/>
  <c r="F27" i="8"/>
  <c r="C27" i="8" s="1"/>
  <c r="C24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F11" i="1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P16" i="10" l="1"/>
  <c r="U16" i="10" s="1"/>
  <c r="F26" i="8"/>
  <c r="C26" i="8" s="1"/>
  <c r="C32" i="8" s="1"/>
  <c r="J24" i="1"/>
  <c r="Q24" i="1"/>
  <c r="R24" i="1" s="1"/>
  <c r="U5" i="10"/>
  <c r="N23" i="1" l="1"/>
  <c r="N26" i="1" s="1"/>
  <c r="H23" i="1"/>
  <c r="H27" i="1" s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AF7" i="9"/>
  <c r="E7" i="9"/>
  <c r="Q7" i="9"/>
  <c r="H7" i="9"/>
  <c r="L7" i="9"/>
  <c r="M7" i="9"/>
  <c r="T7" i="9"/>
  <c r="U7" i="9"/>
  <c r="J23" i="1" l="1"/>
  <c r="I27" i="1"/>
  <c r="P15" i="10"/>
  <c r="I26" i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<sst xmlns="http://schemas.openxmlformats.org/spreadsheetml/2006/main" count="513" uniqueCount="300">
  <si>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</si>
  <si>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</si>
  <si>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</si>
  <si>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</si>
  <si>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</si>
  <si>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</si>
  <si>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</si>
  <si>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</si>
  <si>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</si>
  <si>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</si>
  <si>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</si>
  <si>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</si>
  <si>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</si>
  <si>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</si>
  <si>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</si>
  <si>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</si>
  <si>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</si>
  <si>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</si>
  <si>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</si>
  <si>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</si>
  <si>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</si>
  <si>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</si>
  <si>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</si>
  <si>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</si>
  <si>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</si>
  <si>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</si>
  <si>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</si>
  <si>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</si>
  <si>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</si>
  <si>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</si>
  <si>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</si>
  <si>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</si>
  <si>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</si>
  <si>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</si>
  <si>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</si>
  <si>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</si>
  <si>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</si>
  <si>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</si>
  <si>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</si>
  <si>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</si>
  <si>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</si>
  <si>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</si>
  <si>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</si>
  <si>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</si>
  <si>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</si>
  <si>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</si>
  <si>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</si>
  <si>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</si>
  <si>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</si>
  <si>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</si>
  <si>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</si>
  <si>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</si>
  <si>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</si>
  <si>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</si>
  <si>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</si>
  <si>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</si>
  <si>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</si>
  <si>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</si>
  <si>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</si>
  <si>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</si>
  <si>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</si>
  <si>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</si>
  <si>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</si>
  <si>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</si>
  <si>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</si>
  <si>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</si>
  <si>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</si>
  <si>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</si>
  <si>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</si>
  <si>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</si>
  <si>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</si>
  <si>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</si>
  <si>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</si>
  <si>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</si>
  <si>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</si>
  <si>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</si>
  <si>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</si>
  <si>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</si>
  <si>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</si>
  <si>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</si>
  <si>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</si>
  <si>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</si>
  <si>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</si>
  <si>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</si>
  <si>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</si>
  <si>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</si>
  <si>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</si>
  <si>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</si>
  <si>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</si>
  <si>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</si>
  <si>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</si>
  <si>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</si>
  <si>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</si>
  <si>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</si>
  <si>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</si>
  <si>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</si>
  <si>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</si>
  <si>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</si>
  <si>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</si>
  <si>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</si>
  <si>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</si>
  <si>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</si>
  <si>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</si>
  <si>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</si>
  <si>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</si>
  <si>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</si>
  <si>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</si>
  <si>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</si>
  <si>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</si>
  <si>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</si>
  <si>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</si>
  <si>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</si>
  <si>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</si>
  <si>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</si>
  <si>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</si>
  <si>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</si>
  <si>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</si>
  <si>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</si>
  <si>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</si>
  <si>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</si>
  <si>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</si>
  <si>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</si>
  <si>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</si>
  <si>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</si>
  <si>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</si>
  <si>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</si>
  <si>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</si>
  <si>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</si>
  <si>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</si>
  <si>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</si>
  <si>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</si>
  <si>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</si>
  <si>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</si>
  <si>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</si>
  <si>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</si>
  <si>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</si>
  <si>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</si>
  <si>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</si>
  <si>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</si>
  <si>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</si>
  <si>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</si>
  <si>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</si>
  <si>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</si>
  <si>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</si>
  <si>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</si>
  <si>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</si>
  <si>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</si>
  <si>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</si>
  <si>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</si>
  <si>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</si>
  <si>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</si>
  <si>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</si>
  <si>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</si>
  <si>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</si>
  <si>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</si>
  <si>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</si>
  <si>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</si>
  <si>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</si>
  <si>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</si>
  <si>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</si>
  <si>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</si>
  <si>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</si>
  <si>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</si>
  <si>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</si>
  <si>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</si>
  <si>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</si>
  <si>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</si>
  <si>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</si>
  <si>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</si>
  <si>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</si>
  <si>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</si>
  <si>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</si>
  <si>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</si>
  <si>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</si>
  <si>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</si>
  <si>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</si>
  <si>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</si>
  <si>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</si>
  <si>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</si>
  <si>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</si>
  <si>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</si>
  <si>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</si>
  <si>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</si>
  <si>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</si>
  <si>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</si>
  <si>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</si>
  <si>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</si>
  <si>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</si>
  <si>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</si>
  <si>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</si>
  <si>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</si>
  <si>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</si>
  <si>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</si>
  <si>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</si>
  <si>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</si>
  <si>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</si>
  <si>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</si>
  <si>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</si>
  <si>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</si>
  <si>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</si>
  <si>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</si>
  <si>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</si>
  <si>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</si>
  <si>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</si>
  <si>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</si>
  <si>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</si>
  <si>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</si>
  <si>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</si>
  <si>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</si>
  <si>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</si>
  <si>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</si>
  <si>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</si>
  <si>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</si>
  <si>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</si>
  <si>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</si>
  <si>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</si>
  <si>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</si>
  <si>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</si>
  <si>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</si>
  <si>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</si>
  <si>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</si>
  <si>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</si>
  <si>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</si>
  <si>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</si>
  <si>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</si>
  <si>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</si>
  <si>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</si>
  <si>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</si>
  <si>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</si>
  <si>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</si>
  <si>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</si>
  <si>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</si>
  <si>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</si>
  <si>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</si>
  <si>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</si>
  <si>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</si>
  <si>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</si>
  <si>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</si>
  <si>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</si>
  <si>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</si>
  <si>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</si>
  <si>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</si>
  <si>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</si>
  <si>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</si>
  <si>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</si>
  <si>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</si>
  <si>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</si>
  <si>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</si>
  <si>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</si>
  <si>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</si>
  <si>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</si>
  <si>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</si>
  <si>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</si>
  <si>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</si>
  <si>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</si>
  <si>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</si>
  <si>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</si>
  <si>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</si>
  <si>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</si>
  <si>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</si>
  <si>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</si>
  <si>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</si>
  <si>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</si>
  <si>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</si>
  <si>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</si>
  <si>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</si>
  <si>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</si>
  <si>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</si>
  <si>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</si>
  <si>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</si>
  <si>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</si>
  <si>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</si>
  <si>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</si>
  <si>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</si>
  <si>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</si>
  <si>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</si>
  <si>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</si>
  <si>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</si>
  <si>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</si>
  <si>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</si>
  <si>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</si>
  <si>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</si>
  <si>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</si>
  <si>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</si>
  <si>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</si>
  <si>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</si>
  <si>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</si>
  <si>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</si>
  <si>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</si>
  <si>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</si>
  <si>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</si>
  <si>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</si>
  <si>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</si>
  <si>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</si>
  <si>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</si>
  <si>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</si>
  <si>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Mehrwertsteuer 3,8%</t>
  </si>
  <si>
    <t>JUFA Hotel Savognin</t>
  </si>
  <si>
    <t>Bestätigung Animod VK/RN zu € 100,00. MB 08.10.24</t>
  </si>
  <si>
    <t>Alex freigegeben 14.10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</si>
</sst>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[$CHF]"/>
    <numFmt numFmtId="172" formatCode="_-* #,##0.00\ [$CHF]_-;\-* #,##0.00\ [$CHF]_-;_-* &quot;-&quot;??\ [$CHF]_-;_-@_-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5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0" xfId="4" applyFont="1"/>
    <xf numFmtId="171" fontId="12" fillId="0" borderId="16" xfId="1" applyNumberFormat="1" applyFont="1" applyBorder="1" applyProtection="1"/>
    <xf numFmtId="172" fontId="12" fillId="4" borderId="16" xfId="1" applyNumberFormat="1" applyFont="1" applyFill="1" applyBorder="1" applyProtection="1"/>
    <xf numFmtId="172" fontId="12" fillId="0" borderId="0" xfId="0" applyNumberFormat="1" applyFont="1"/>
    <xf numFmtId="172" fontId="20" fillId="16" borderId="0" xfId="0" applyNumberFormat="1" applyFont="1" applyFill="1"/>
    <xf numFmtId="172" fontId="12" fillId="3" borderId="19" xfId="1" applyNumberFormat="1" applyFont="1" applyFill="1" applyBorder="1" applyAlignment="1" applyProtection="1">
      <alignment horizontal="right" indent="3"/>
    </xf>
    <xf numFmtId="172" fontId="22" fillId="0" borderId="3" xfId="4" applyNumberFormat="1" applyFont="1" applyBorder="1"/>
    <xf numFmtId="10" fontId="26" fillId="3" borderId="1" xfId="2" applyNumberFormat="1" applyFont="1" applyFill="1" applyBorder="1"/>
    <xf numFmtId="172" fontId="26" fillId="3" borderId="1" xfId="0" applyNumberFormat="1" applyFont="1" applyFill="1" applyBorder="1"/>
    <xf numFmtId="172" fontId="25" fillId="0" borderId="1" xfId="0" applyNumberFormat="1" applyFont="1" applyBorder="1"/>
    <xf numFmtId="166" fontId="25" fillId="0" borderId="1" xfId="0" applyNumberFormat="1" applyFont="1" applyBorder="1"/>
    <xf numFmtId="169" fontId="20" fillId="14" borderId="17" xfId="4" applyNumberFormat="1" applyFont="1" applyFill="1" applyBorder="1" applyAlignment="1"/>
    <xf numFmtId="44" fontId="22" fillId="0" borderId="3" xfId="1" applyFont="1" applyBorder="1"/>
    <xf numFmtId="172" fontId="26" fillId="0" borderId="12" xfId="4" applyNumberFormat="1" applyFont="1" applyBorder="1"/>
    <xf numFmtId="172" fontId="26" fillId="0" borderId="27" xfId="4" applyNumberFormat="1" applyFont="1" applyBorder="1"/>
    <xf numFmtId="172" fontId="26" fillId="0" borderId="0" xfId="4" applyNumberFormat="1" applyFont="1" applyBorder="1"/>
    <xf numFmtId="172" fontId="15" fillId="0" borderId="9" xfId="0" applyNumberFormat="1" applyFont="1" applyBorder="1"/>
    <xf numFmtId="172" fontId="26" fillId="0" borderId="10" xfId="4" applyNumberFormat="1" applyFont="1" applyBorder="1"/>
    <xf numFmtId="172" fontId="26" fillId="0" borderId="0" xfId="4" applyNumberFormat="1" applyFont="1"/>
    <xf numFmtId="172" fontId="26" fillId="0" borderId="9" xfId="4" applyNumberFormat="1" applyFont="1" applyBorder="1"/>
    <xf numFmtId="172" fontId="25" fillId="0" borderId="0" xfId="4" applyNumberFormat="1" applyFont="1"/>
    <xf numFmtId="172" fontId="30" fillId="13" borderId="0" xfId="4" applyNumberFormat="1" applyFont="1" applyFill="1"/>
    <xf numFmtId="172" fontId="26" fillId="0" borderId="11" xfId="4" applyNumberFormat="1" applyFont="1" applyBorder="1"/>
    <xf numFmtId="172" fontId="26" fillId="0" borderId="13" xfId="4" applyNumberFormat="1" applyFont="1" applyBorder="1"/>
    <xf numFmtId="172" fontId="29" fillId="12" borderId="0" xfId="4" applyNumberFormat="1" applyFont="1" applyFill="1"/>
    <xf numFmtId="9" fontId="26" fillId="0" borderId="0" xfId="2" applyFont="1"/>
    <xf numFmtId="44" fontId="12" fillId="0" borderId="0" xfId="1" applyFont="1" applyAlignment="1">
      <alignment vertical="top" wrapText="1"/>
    </xf>
    <xf numFmtId="44" fontId="17" fillId="0" borderId="0" xfId="1" applyFont="1"/>
    <xf numFmtId="44" fontId="12" fillId="0" borderId="0" xfId="1" applyFont="1"/>
    <xf numFmtId="44" fontId="44" fillId="0" borderId="0" xfId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81640625" defaultRowHeight="15" outlineLevelCol="2" x14ac:dyDescent="0.4"/>
  <cols>
    <col min="1" max="1" width="4.81640625" style="37" customWidth="1"/>
    <col min="2" max="2" width="61.81640625" style="37" bestFit="1" customWidth="1"/>
    <col min="3" max="3" width="29.81640625" style="37" bestFit="1" customWidth="1"/>
    <col min="4" max="4" width="17.1796875" style="38" customWidth="1"/>
    <col min="5" max="5" width="50.1796875" style="37" bestFit="1" customWidth="1"/>
    <col min="6" max="6" width="28.81640625" style="37" bestFit="1" customWidth="1"/>
    <col min="7" max="7" width="24.1796875" style="37" customWidth="1" outlineLevel="1"/>
    <col min="8" max="8" width="24.1796875" style="40" customWidth="1" outlineLevel="1"/>
    <col min="9" max="9" width="31.453125" style="40" customWidth="1" outlineLevel="1"/>
    <col min="10" max="12" width="24.453125" style="40" customWidth="1" outlineLevel="1"/>
    <col min="13" max="13" width="18.179687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1796875" style="37" customWidth="1"/>
    <col min="20" max="20" width="17.453125" style="37" customWidth="1"/>
    <col min="21" max="21" width="10.816406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1796875" style="37" customWidth="1"/>
    <col min="27" max="27" width="17.81640625" style="37" customWidth="1"/>
    <col min="28" max="29" width="15.1796875" style="37" customWidth="1"/>
    <col min="30" max="32" width="10.81640625" style="37"/>
    <col min="33" max="33" width="16.453125" style="37" customWidth="1"/>
    <col min="34" max="16384" width="10.81640625" style="37"/>
  </cols>
  <sheetData>
    <row r="1" spans="1:32" ht="7.5" customHeight="1" x14ac:dyDescent="0.4">
      <c r="E1" s="160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45514</v>
      </c>
      <c r="E5" s="151" t="s">
        <v>5</v>
      </c>
      <c r="F5" s="226">
        <v>90</v>
      </c>
      <c r="G5" s="44" t="s">
        <v>298</v>
      </c>
      <c r="H5" s="253">
        <f>+F5*1.05</f>
        <v>94.5</v>
      </c>
    </row>
    <row r="6" spans="1:32" x14ac:dyDescent="0.4">
      <c r="B6" s="48" t="s">
        <v>4</v>
      </c>
      <c r="C6" s="143" t="s">
        <v>297</v>
      </c>
      <c r="E6" s="152" t="s">
        <v>290</v>
      </c>
      <c r="F6" s="227">
        <f>C12*0.65</f>
        <v>117</v>
      </c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</row>
    <row r="7" spans="1:32" x14ac:dyDescent="0.4">
      <c r="B7" s="48" t="s">
        <v>6</v>
      </c>
      <c r="C7" s="49" t="s">
        <v>7</v>
      </c>
      <c r="E7" s="153" t="s">
        <v>8</v>
      </c>
      <c r="F7" s="228">
        <v>52.01</v>
      </c>
      <c r="G7" s="252">
        <f>F7*1.05</f>
        <v>54.610500000000002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7">
        <v>72</v>
      </c>
      <c r="E8" s="215"/>
      <c r="F8" s="215"/>
      <c r="G8" s="215"/>
      <c r="H8" s="215"/>
      <c r="I8" s="215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0.3</v>
      </c>
      <c r="E9" s="155" t="s">
        <v>246</v>
      </c>
      <c r="F9" s="156">
        <f>IFERROR(J26,"Bitte Produkt auswählen")</f>
        <v>0.29953594256194738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18396</v>
      </c>
      <c r="E10" s="152" t="s">
        <v>13</v>
      </c>
      <c r="F10" s="225">
        <f>F5*0.75</f>
        <v>67.5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6" t="s">
        <v>14</v>
      </c>
      <c r="F11" s="235">
        <f>+I24*1.05</f>
        <v>98934.41250000002</v>
      </c>
      <c r="G11" s="250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7">
        <v>180</v>
      </c>
      <c r="D12" s="61"/>
      <c r="E12" s="154" t="s">
        <v>243</v>
      </c>
      <c r="F12" s="229">
        <v>66000</v>
      </c>
      <c r="G12" s="251">
        <f>+F12*1.05</f>
        <v>69300</v>
      </c>
      <c r="H12" s="207" t="s">
        <v>299</v>
      </c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18"/>
      <c r="F13" s="218"/>
      <c r="G13" s="165"/>
      <c r="H13" s="207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8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8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8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08" t="s">
        <v>252</v>
      </c>
      <c r="C22" s="76" t="s">
        <v>36</v>
      </c>
      <c r="D22" s="158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25" hidden="1" customHeight="1" x14ac:dyDescent="0.4">
      <c r="B23" s="75" t="s">
        <v>253</v>
      </c>
      <c r="C23" s="76" t="s">
        <v>36</v>
      </c>
      <c r="D23" s="158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25" customHeight="1" x14ac:dyDescent="0.4">
      <c r="B24" s="75" t="s">
        <v>264</v>
      </c>
      <c r="C24" s="76" t="s">
        <v>32</v>
      </c>
      <c r="D24" s="158">
        <v>1</v>
      </c>
      <c r="E24" s="76">
        <f>ROUND(G24/F$7,0)</f>
        <v>1269</v>
      </c>
      <c r="F24" s="76">
        <v>3</v>
      </c>
      <c r="G24" s="77">
        <f>F12*D24</f>
        <v>66000</v>
      </c>
      <c r="H24" s="77">
        <f>$E24*$F$10*1.1-$G24</f>
        <v>28223.250000000015</v>
      </c>
      <c r="I24" s="77">
        <f>G24+H24</f>
        <v>94223.250000000015</v>
      </c>
      <c r="J24" s="78">
        <f t="shared" si="16"/>
        <v>0.29953594256194738</v>
      </c>
      <c r="K24" s="77">
        <v>0</v>
      </c>
      <c r="L24" s="77">
        <v>0</v>
      </c>
      <c r="M24" s="77">
        <f>G24*1.19-G24</f>
        <v>12540</v>
      </c>
      <c r="N24" s="77">
        <f t="shared" si="5"/>
        <v>4068.7312499999998</v>
      </c>
      <c r="O24" s="77">
        <f>L24-M24-N24</f>
        <v>-16608.731250000001</v>
      </c>
      <c r="P24" s="79">
        <f>IFERROR($H24-L24,"")</f>
        <v>28223.250000000015</v>
      </c>
      <c r="Q24" s="78">
        <f>IFERROR(($H24-L24)/$I24,"")</f>
        <v>0.29953594256194738</v>
      </c>
      <c r="R24" s="80">
        <f>IFERROR((1-Q24)*F24,"")</f>
        <v>2.1013921723141578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1269</v>
      </c>
      <c r="F26" s="89"/>
      <c r="G26" s="230">
        <f>SUBTOTAL(9,G19:G24)</f>
        <v>66000</v>
      </c>
      <c r="H26" s="230">
        <f>SUBTOTAL(9,H19:H24)</f>
        <v>28223.250000000015</v>
      </c>
      <c r="I26" s="230">
        <f>SUBTOTAL(9,I19:I24)</f>
        <v>94223.250000000015</v>
      </c>
      <c r="J26" s="90">
        <f>H26/I26</f>
        <v>0.29953594256194738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12540</v>
      </c>
      <c r="N26" s="89">
        <f t="shared" si="25"/>
        <v>4068.7312499999998</v>
      </c>
      <c r="O26" s="89">
        <f t="shared" si="25"/>
        <v>-16608.731250000001</v>
      </c>
      <c r="P26" s="89">
        <f t="shared" si="25"/>
        <v>28223.250000000015</v>
      </c>
      <c r="Q26" s="90">
        <f>($H26-L26)/$I26</f>
        <v>0.29953594256194738</v>
      </c>
      <c r="R26" s="91">
        <f>IFERROR((1-Q26)*F26,"")</f>
        <v>0</v>
      </c>
    </row>
    <row r="27" spans="2:32" ht="19" x14ac:dyDescent="0.5">
      <c r="E27" s="217" t="str">
        <f>"Das enspricht "&amp;TEXT(E26/(C10),"0,0%") &amp; " des Leerstands p.a. über 3 Jahre."</f>
        <v>Das enspricht 6,9% des Leerstands p.a. über 3 Jahre.</v>
      </c>
      <c r="G27" s="236">
        <f>SUBTOTAL(9,G20:G25)*1.05</f>
        <v>69300</v>
      </c>
      <c r="H27" s="236">
        <f>SUBTOTAL(9,H20:H25)*1.05</f>
        <v>29634.412500000017</v>
      </c>
      <c r="I27" s="236">
        <f>SUBTOTAL(9,I20:I25)*1.05</f>
        <v>98934.41250000002</v>
      </c>
    </row>
    <row r="28" spans="2:32" x14ac:dyDescent="0.4">
      <c r="H28" s="206"/>
      <c r="I28" s="206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:G27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1" t="s">
        <v>206</v>
      </c>
      <c r="B1" s="172" t="s">
        <v>207</v>
      </c>
      <c r="C1" s="172"/>
      <c r="D1" s="173" t="s">
        <v>207</v>
      </c>
      <c r="E1" s="172" t="s">
        <v>208</v>
      </c>
      <c r="F1" s="172"/>
      <c r="G1" s="173" t="s">
        <v>208</v>
      </c>
      <c r="H1" s="172" t="s">
        <v>209</v>
      </c>
      <c r="I1" s="172"/>
      <c r="J1" s="173" t="s">
        <v>209</v>
      </c>
      <c r="K1" s="172" t="s">
        <v>210</v>
      </c>
      <c r="L1" s="172"/>
      <c r="M1" s="173" t="s">
        <v>210</v>
      </c>
      <c r="N1" s="172" t="s">
        <v>211</v>
      </c>
      <c r="O1" s="172"/>
      <c r="P1" s="173" t="s">
        <v>278</v>
      </c>
    </row>
    <row r="2" spans="1:16" ht="15.5" x14ac:dyDescent="0.35">
      <c r="A2" s="171" t="s">
        <v>212</v>
      </c>
      <c r="B2" s="172" t="s">
        <v>213</v>
      </c>
      <c r="C2" s="172"/>
      <c r="D2" s="173" t="s">
        <v>214</v>
      </c>
      <c r="E2" s="172" t="s">
        <v>213</v>
      </c>
      <c r="F2" s="172"/>
      <c r="G2" s="173" t="s">
        <v>214</v>
      </c>
      <c r="H2" s="172"/>
      <c r="I2" s="172"/>
      <c r="J2" s="173" t="s">
        <v>214</v>
      </c>
      <c r="K2" s="172" t="s">
        <v>215</v>
      </c>
      <c r="L2" s="172"/>
      <c r="M2" s="173" t="s">
        <v>214</v>
      </c>
      <c r="N2" s="172"/>
      <c r="O2" s="172"/>
      <c r="P2" s="173" t="s">
        <v>214</v>
      </c>
    </row>
    <row r="3" spans="1:16" ht="46.5" x14ac:dyDescent="0.35">
      <c r="A3" s="175" t="s">
        <v>216</v>
      </c>
      <c r="B3" s="176" t="s">
        <v>217</v>
      </c>
      <c r="C3" s="176" t="s">
        <v>238</v>
      </c>
      <c r="D3" s="177" t="s">
        <v>218</v>
      </c>
      <c r="E3" s="176" t="s">
        <v>217</v>
      </c>
      <c r="F3" s="176"/>
      <c r="G3" s="178" t="s">
        <v>219</v>
      </c>
      <c r="H3" s="176" t="s">
        <v>220</v>
      </c>
      <c r="I3" s="176"/>
      <c r="J3" s="178" t="s">
        <v>219</v>
      </c>
      <c r="K3" s="176" t="s">
        <v>221</v>
      </c>
      <c r="L3" s="176"/>
      <c r="M3" s="177" t="s">
        <v>218</v>
      </c>
      <c r="N3" s="176" t="s">
        <v>222</v>
      </c>
      <c r="O3" s="176"/>
      <c r="P3" s="177"/>
    </row>
    <row r="4" spans="1:16" ht="15.5" x14ac:dyDescent="0.35">
      <c r="A4" s="179" t="s">
        <v>223</v>
      </c>
      <c r="B4" s="180" t="s">
        <v>224</v>
      </c>
      <c r="C4" s="180"/>
      <c r="D4" s="181" t="s">
        <v>224</v>
      </c>
      <c r="E4" s="180" t="s">
        <v>224</v>
      </c>
      <c r="F4" s="180"/>
      <c r="G4" s="181" t="s">
        <v>224</v>
      </c>
      <c r="H4" s="180" t="s">
        <v>225</v>
      </c>
      <c r="I4" s="180"/>
      <c r="J4" s="181" t="s">
        <v>225</v>
      </c>
      <c r="K4" s="180" t="s">
        <v>226</v>
      </c>
      <c r="L4" s="180"/>
      <c r="M4" s="181" t="s">
        <v>226</v>
      </c>
      <c r="N4" s="180" t="s">
        <v>227</v>
      </c>
      <c r="O4" s="180"/>
      <c r="P4" s="181"/>
    </row>
    <row r="5" spans="1:16" ht="15.5" x14ac:dyDescent="0.35">
      <c r="A5" s="179" t="s">
        <v>228</v>
      </c>
      <c r="B5" s="182">
        <v>499</v>
      </c>
      <c r="C5" s="182"/>
      <c r="D5" s="183">
        <v>399</v>
      </c>
      <c r="E5" s="182">
        <v>499</v>
      </c>
      <c r="F5" s="182"/>
      <c r="G5" s="183">
        <v>499</v>
      </c>
      <c r="H5" s="182">
        <v>649</v>
      </c>
      <c r="I5" s="182"/>
      <c r="J5" s="183">
        <v>649</v>
      </c>
      <c r="K5" s="182">
        <v>899</v>
      </c>
      <c r="L5" s="182"/>
      <c r="M5" s="183">
        <v>629</v>
      </c>
      <c r="N5" s="182">
        <v>1099</v>
      </c>
      <c r="O5" s="182"/>
      <c r="P5" s="183"/>
    </row>
    <row r="6" spans="1:16" ht="15.5" x14ac:dyDescent="0.35">
      <c r="A6" s="179"/>
      <c r="B6" s="184"/>
      <c r="C6" s="184"/>
      <c r="D6" s="185"/>
      <c r="E6" s="184"/>
      <c r="F6" s="184"/>
      <c r="G6" s="185"/>
      <c r="H6" s="174"/>
      <c r="I6" s="174"/>
      <c r="J6" s="186"/>
      <c r="K6" s="174"/>
      <c r="L6" s="174"/>
      <c r="M6" s="186"/>
      <c r="N6" s="187"/>
      <c r="O6" s="174"/>
      <c r="P6" s="186"/>
    </row>
    <row r="7" spans="1:16" ht="15.5" x14ac:dyDescent="0.35">
      <c r="A7" s="179" t="s">
        <v>229</v>
      </c>
      <c r="B7" s="188">
        <v>563.99</v>
      </c>
      <c r="C7" s="158">
        <v>1</v>
      </c>
      <c r="D7" s="189">
        <v>463.98</v>
      </c>
      <c r="E7" s="188">
        <v>563.99</v>
      </c>
      <c r="F7" s="158">
        <v>1</v>
      </c>
      <c r="G7" s="189">
        <v>533.99</v>
      </c>
      <c r="H7" s="190">
        <v>713.99</v>
      </c>
      <c r="I7" s="158">
        <v>1</v>
      </c>
      <c r="J7" s="191">
        <v>613.99</v>
      </c>
      <c r="K7" s="190">
        <v>963.98</v>
      </c>
      <c r="L7" s="158">
        <v>1</v>
      </c>
      <c r="M7" s="191">
        <v>693.98</v>
      </c>
      <c r="N7" s="190">
        <v>1188.99</v>
      </c>
      <c r="O7" s="158"/>
      <c r="P7" s="191"/>
    </row>
    <row r="8" spans="1:16" ht="15.5" x14ac:dyDescent="0.35">
      <c r="A8" s="192" t="s">
        <v>230</v>
      </c>
      <c r="B8" s="193">
        <v>499</v>
      </c>
      <c r="C8" s="158"/>
      <c r="D8" s="194">
        <v>399</v>
      </c>
      <c r="E8" s="193">
        <v>499</v>
      </c>
      <c r="F8" s="158"/>
      <c r="G8" s="194">
        <v>469</v>
      </c>
      <c r="H8" s="195">
        <v>649</v>
      </c>
      <c r="I8" s="158"/>
      <c r="J8" s="196">
        <v>549</v>
      </c>
      <c r="K8" s="195">
        <v>899</v>
      </c>
      <c r="L8" s="158"/>
      <c r="M8" s="196">
        <v>629</v>
      </c>
      <c r="N8" s="195">
        <v>1099</v>
      </c>
      <c r="O8" s="158"/>
      <c r="P8" s="196"/>
    </row>
    <row r="9" spans="1:16" ht="15.5" x14ac:dyDescent="0.35">
      <c r="A9" s="192" t="s">
        <v>231</v>
      </c>
      <c r="B9" s="193">
        <v>648.99</v>
      </c>
      <c r="C9" s="158"/>
      <c r="D9" s="194">
        <v>548.98</v>
      </c>
      <c r="E9" s="193">
        <v>648.99</v>
      </c>
      <c r="F9" s="158"/>
      <c r="G9" s="194">
        <v>618.99</v>
      </c>
      <c r="H9" s="195">
        <v>798.99</v>
      </c>
      <c r="I9" s="158"/>
      <c r="J9" s="196">
        <v>698.99</v>
      </c>
      <c r="K9" s="195">
        <v>1048.99</v>
      </c>
      <c r="L9" s="158"/>
      <c r="M9" s="196">
        <v>778.99</v>
      </c>
      <c r="N9" s="195">
        <v>1278.99</v>
      </c>
      <c r="O9" s="158"/>
      <c r="P9" s="196"/>
    </row>
    <row r="10" spans="1:16" ht="15.5" x14ac:dyDescent="0.35">
      <c r="A10" s="179" t="s">
        <v>232</v>
      </c>
      <c r="B10" s="188">
        <v>89.99</v>
      </c>
      <c r="C10" s="158">
        <v>1</v>
      </c>
      <c r="D10" s="189">
        <v>89.99</v>
      </c>
      <c r="E10" s="188">
        <v>89.99</v>
      </c>
      <c r="F10" s="158">
        <v>1</v>
      </c>
      <c r="G10" s="189">
        <v>89.99</v>
      </c>
      <c r="H10" s="190">
        <v>89.99</v>
      </c>
      <c r="I10" s="158">
        <v>1</v>
      </c>
      <c r="J10" s="191">
        <v>89.99</v>
      </c>
      <c r="K10" s="190">
        <v>109.99</v>
      </c>
      <c r="L10" s="158">
        <v>1</v>
      </c>
      <c r="M10" s="191">
        <v>109.99</v>
      </c>
      <c r="N10" s="190">
        <v>129.97999999999999</v>
      </c>
      <c r="O10" s="158"/>
      <c r="P10" s="191"/>
    </row>
    <row r="11" spans="1:16" ht="15.5" x14ac:dyDescent="0.35">
      <c r="A11" s="179" t="s">
        <v>233</v>
      </c>
      <c r="B11" s="188">
        <v>29.99</v>
      </c>
      <c r="C11" s="158">
        <v>1</v>
      </c>
      <c r="D11" s="189">
        <v>29.99</v>
      </c>
      <c r="E11" s="188">
        <v>29.99</v>
      </c>
      <c r="F11" s="158">
        <v>1</v>
      </c>
      <c r="G11" s="189">
        <v>29.99</v>
      </c>
      <c r="H11" s="190">
        <v>29.99</v>
      </c>
      <c r="I11" s="158">
        <v>1</v>
      </c>
      <c r="J11" s="191">
        <v>29.99</v>
      </c>
      <c r="K11" s="190">
        <v>29.99</v>
      </c>
      <c r="L11" s="158">
        <v>1</v>
      </c>
      <c r="M11" s="191">
        <v>29.99</v>
      </c>
      <c r="N11" s="190">
        <v>29.99</v>
      </c>
      <c r="O11" s="158"/>
      <c r="P11" s="191"/>
    </row>
    <row r="12" spans="1:16" ht="15.5" x14ac:dyDescent="0.35">
      <c r="A12" s="179" t="s">
        <v>234</v>
      </c>
      <c r="B12" s="188">
        <v>9.98</v>
      </c>
      <c r="C12" s="158">
        <v>1</v>
      </c>
      <c r="D12" s="189">
        <v>9.98</v>
      </c>
      <c r="E12" s="188">
        <v>9.98</v>
      </c>
      <c r="F12" s="158">
        <v>1</v>
      </c>
      <c r="G12" s="189">
        <v>9.98</v>
      </c>
      <c r="H12" s="190">
        <v>9.98</v>
      </c>
      <c r="I12" s="158">
        <v>1</v>
      </c>
      <c r="J12" s="191">
        <v>9.98</v>
      </c>
      <c r="K12" s="190">
        <v>9.98</v>
      </c>
      <c r="L12" s="158">
        <v>1</v>
      </c>
      <c r="M12" s="191">
        <v>9.98</v>
      </c>
      <c r="N12" s="190">
        <v>9.98</v>
      </c>
      <c r="O12" s="158"/>
      <c r="P12" s="191"/>
    </row>
    <row r="13" spans="1:16" ht="15.5" x14ac:dyDescent="0.35">
      <c r="A13" s="179" t="s">
        <v>235</v>
      </c>
      <c r="B13" s="188">
        <v>29.99</v>
      </c>
      <c r="C13" s="158"/>
      <c r="D13" s="189"/>
      <c r="E13" s="188">
        <v>29.99</v>
      </c>
      <c r="F13" s="158">
        <v>1</v>
      </c>
      <c r="G13" s="189">
        <v>29.99</v>
      </c>
      <c r="H13" s="190">
        <v>29.99</v>
      </c>
      <c r="I13" s="158">
        <v>1</v>
      </c>
      <c r="J13" s="191">
        <v>29.99</v>
      </c>
      <c r="K13" s="190">
        <v>29.99</v>
      </c>
      <c r="L13" s="158"/>
      <c r="M13" s="191"/>
      <c r="N13" s="190">
        <v>29.99</v>
      </c>
      <c r="O13" s="158"/>
      <c r="P13" s="191"/>
    </row>
    <row r="14" spans="1:16" ht="15.5" x14ac:dyDescent="0.35">
      <c r="A14" s="179" t="s">
        <v>236</v>
      </c>
      <c r="B14" s="188">
        <v>14.98</v>
      </c>
      <c r="C14" s="158">
        <v>1</v>
      </c>
      <c r="D14" s="189">
        <v>15</v>
      </c>
      <c r="E14" s="188">
        <v>14.98</v>
      </c>
      <c r="F14" s="158">
        <v>1</v>
      </c>
      <c r="G14" s="189">
        <v>15</v>
      </c>
      <c r="H14" s="190">
        <v>14.98</v>
      </c>
      <c r="I14" s="158">
        <v>1</v>
      </c>
      <c r="J14" s="191">
        <v>15</v>
      </c>
      <c r="K14" s="190">
        <v>14.98</v>
      </c>
      <c r="L14" s="158">
        <v>1</v>
      </c>
      <c r="M14" s="191">
        <v>15</v>
      </c>
      <c r="N14" s="190">
        <v>14.98</v>
      </c>
      <c r="O14" s="158"/>
      <c r="P14" s="191"/>
    </row>
    <row r="15" spans="1:16" ht="16" thickBot="1" x14ac:dyDescent="0.4">
      <c r="A15" s="197" t="s">
        <v>240</v>
      </c>
      <c r="B15" s="198">
        <v>59.97</v>
      </c>
      <c r="C15" s="158">
        <v>3</v>
      </c>
      <c r="D15" s="199">
        <v>19.989999999999998</v>
      </c>
      <c r="E15" s="198">
        <v>59.97</v>
      </c>
      <c r="F15" s="158">
        <v>3</v>
      </c>
      <c r="G15" s="199">
        <v>19.989999999999998</v>
      </c>
      <c r="H15" s="200">
        <v>59.97</v>
      </c>
      <c r="I15" s="158">
        <v>3</v>
      </c>
      <c r="J15" s="199">
        <v>19.989999999999998</v>
      </c>
      <c r="K15" s="200">
        <v>59.97</v>
      </c>
      <c r="L15" s="158">
        <v>3</v>
      </c>
      <c r="M15" s="199">
        <v>19.989999999999998</v>
      </c>
      <c r="N15" s="200">
        <v>59.97</v>
      </c>
      <c r="O15" s="158"/>
      <c r="P15" s="199"/>
    </row>
    <row r="16" spans="1:16" ht="16" thickTop="1" x14ac:dyDescent="0.35">
      <c r="A16" s="179"/>
      <c r="B16" s="184"/>
      <c r="C16" s="184"/>
      <c r="D16" s="185"/>
      <c r="E16" s="184"/>
      <c r="F16" s="184"/>
      <c r="G16" s="185"/>
      <c r="H16" s="174"/>
      <c r="I16" s="174"/>
      <c r="J16" s="186"/>
      <c r="K16" s="174"/>
      <c r="L16" s="174"/>
      <c r="M16" s="186"/>
      <c r="N16" s="174"/>
      <c r="O16" s="174"/>
      <c r="P16" s="186"/>
    </row>
    <row r="17" spans="1:16" ht="15.5" x14ac:dyDescent="0.35">
      <c r="A17" s="201" t="s">
        <v>239</v>
      </c>
      <c r="B17" s="202"/>
      <c r="C17" s="202"/>
      <c r="D17" s="203">
        <f>SUMPRODUCT(C7:C15,D7:D15)</f>
        <v>668.91000000000008</v>
      </c>
      <c r="E17" s="202"/>
      <c r="F17" s="202"/>
      <c r="G17" s="203">
        <f>SUMPRODUCT(F7:F15,G7:G15)</f>
        <v>768.91000000000008</v>
      </c>
      <c r="H17" s="204"/>
      <c r="I17" s="204"/>
      <c r="J17" s="203">
        <f>SUMPRODUCT(I7:I15,J7:J15)</f>
        <v>848.91000000000008</v>
      </c>
      <c r="K17" s="204"/>
      <c r="L17" s="204"/>
      <c r="M17" s="203">
        <f>SUMPRODUCT(L7:L15,M7:M15)</f>
        <v>918.91000000000008</v>
      </c>
      <c r="N17" s="204"/>
      <c r="O17" s="174"/>
      <c r="P17" s="203">
        <f>SUMPRODUCT(O7:O15,P7:P15)</f>
        <v>0</v>
      </c>
    </row>
    <row r="18" spans="1:16" ht="15.5" x14ac:dyDescent="0.35">
      <c r="A18" s="205" t="s">
        <v>237</v>
      </c>
      <c r="B18" s="184"/>
      <c r="C18" s="184"/>
      <c r="D18" s="188"/>
      <c r="E18" s="184"/>
      <c r="F18" s="184"/>
      <c r="G18" s="184"/>
      <c r="H18" s="174"/>
      <c r="I18" s="174"/>
      <c r="J18" s="174"/>
      <c r="K18" s="174"/>
      <c r="L18" s="174"/>
      <c r="M18" s="174"/>
      <c r="N18" s="174"/>
      <c r="O18" s="174"/>
    </row>
    <row r="19" spans="1:16" ht="15.5" x14ac:dyDescent="0.35">
      <c r="A19" s="201" t="s">
        <v>241</v>
      </c>
      <c r="B19" s="184"/>
      <c r="C19" s="184"/>
      <c r="D19" s="202">
        <f>D17*12</f>
        <v>8026.920000000001</v>
      </c>
      <c r="E19" s="184"/>
      <c r="F19" s="184"/>
      <c r="G19" s="202">
        <f>G17*12</f>
        <v>9226.9200000000019</v>
      </c>
      <c r="H19" s="174"/>
      <c r="I19" s="174"/>
      <c r="J19" s="202">
        <f>J17*12</f>
        <v>10186.920000000002</v>
      </c>
      <c r="K19" s="174"/>
      <c r="L19" s="174"/>
      <c r="M19" s="202">
        <f>M17*12</f>
        <v>11026.920000000002</v>
      </c>
      <c r="N19" s="174"/>
      <c r="O19" s="174"/>
      <c r="P19" s="202">
        <f>P17*12</f>
        <v>0</v>
      </c>
    </row>
    <row r="20" spans="1:16" ht="15.5" x14ac:dyDescent="0.35">
      <c r="A20" s="201" t="s">
        <v>242</v>
      </c>
      <c r="B20" s="202"/>
      <c r="C20" s="202">
        <f>SUM(C19:O19)</f>
        <v>38467.680000000008</v>
      </c>
      <c r="D20" s="202"/>
      <c r="E20" s="184"/>
      <c r="F20" s="184"/>
      <c r="G20" s="202"/>
      <c r="H20" s="174"/>
      <c r="I20" s="174"/>
      <c r="J20" s="202"/>
      <c r="K20" s="174"/>
      <c r="L20" s="174"/>
      <c r="M20" s="202"/>
      <c r="N20" s="174"/>
      <c r="O20" s="174"/>
    </row>
    <row r="21" spans="1:16" ht="15.5" x14ac:dyDescent="0.35">
      <c r="A21" s="174"/>
      <c r="B21" s="184"/>
      <c r="C21" s="184"/>
      <c r="D21" s="184"/>
      <c r="E21" s="184"/>
      <c r="F21" s="184"/>
      <c r="G21" s="184"/>
      <c r="H21" s="174"/>
      <c r="I21" s="174"/>
      <c r="J21" s="174"/>
      <c r="K21" s="174"/>
      <c r="L21" s="174"/>
      <c r="M21" s="174"/>
      <c r="N21" s="174"/>
      <c r="O21" s="174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90" zoomScaleNormal="90" workbookViewId="0">
      <selection activeCell="E4" sqref="E4"/>
    </sheetView>
  </sheetViews>
  <sheetFormatPr baseColWidth="10" defaultColWidth="8.81640625" defaultRowHeight="14" x14ac:dyDescent="0.4"/>
  <cols>
    <col min="1" max="1" width="3" style="97" customWidth="1"/>
    <col min="2" max="2" width="41" style="97" bestFit="1" customWidth="1"/>
    <col min="3" max="3" width="37.1796875" style="224" bestFit="1" customWidth="1"/>
    <col min="4" max="5" width="8.81640625" style="97"/>
    <col min="6" max="6" width="11.81640625" style="97" bestFit="1" customWidth="1"/>
    <col min="7" max="16384" width="8.81640625" style="97"/>
  </cols>
  <sheetData>
    <row r="2" spans="2:11" x14ac:dyDescent="0.4">
      <c r="B2" s="103" t="s">
        <v>51</v>
      </c>
      <c r="C2" s="232">
        <f>25*0.9497</f>
        <v>23.7425</v>
      </c>
    </row>
    <row r="3" spans="2:11" x14ac:dyDescent="0.4">
      <c r="B3" s="103" t="s">
        <v>52</v>
      </c>
      <c r="C3" s="232">
        <v>60</v>
      </c>
    </row>
    <row r="4" spans="2:11" x14ac:dyDescent="0.4">
      <c r="B4" s="103" t="s">
        <v>53</v>
      </c>
      <c r="C4" s="233">
        <f>+C3-C2</f>
        <v>36.2575</v>
      </c>
    </row>
    <row r="5" spans="2:11" ht="6" customHeight="1" x14ac:dyDescent="0.4">
      <c r="C5" s="222"/>
    </row>
    <row r="6" spans="2:11" x14ac:dyDescent="0.4">
      <c r="B6" s="103" t="s">
        <v>54</v>
      </c>
      <c r="C6" s="221" t="s">
        <v>264</v>
      </c>
    </row>
    <row r="7" spans="2:11" x14ac:dyDescent="0.4">
      <c r="B7" s="103" t="s">
        <v>55</v>
      </c>
      <c r="C7" s="234">
        <f>IFERROR(INDEX('Preise Output'!$B$19:$E$24,MATCH(Preisvergleich!$C$6,'Preise Output'!$B$19:$B$24,0),4)/INDEX('Preise Output'!$B$19:$E$24,MATCH(Preisvergleich!$C$6,'Preise Output'!$B$19:$B$24,0),3),"--")</f>
        <v>1269</v>
      </c>
    </row>
    <row r="9" spans="2:11" x14ac:dyDescent="0.4">
      <c r="B9" s="109" t="s">
        <v>56</v>
      </c>
      <c r="C9" s="223"/>
    </row>
    <row r="11" spans="2:11" ht="14.5" thickBot="1" x14ac:dyDescent="0.45">
      <c r="B11" s="106" t="s">
        <v>255</v>
      </c>
      <c r="C11" s="237">
        <f>C12</f>
        <v>61054.57909343201</v>
      </c>
    </row>
    <row r="12" spans="2:11" x14ac:dyDescent="0.4">
      <c r="B12" s="209" t="s">
        <v>285</v>
      </c>
      <c r="C12" s="238">
        <f>F13+F14</f>
        <v>61054.57909343201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0%</v>
      </c>
      <c r="C13" s="239">
        <f>E13*F13</f>
        <v>0</v>
      </c>
      <c r="E13" s="219"/>
      <c r="F13" s="104">
        <v>0</v>
      </c>
    </row>
    <row r="14" spans="2:11" ht="14.5" thickBot="1" x14ac:dyDescent="0.45">
      <c r="B14" s="99" t="str">
        <f>"Mehrwertsteuer " &amp; TEXT(E14,"0%")</f>
        <v>Mehrwertsteuer 8%</v>
      </c>
      <c r="C14" s="240">
        <f>F14*E14</f>
        <v>4945.4209065679934</v>
      </c>
      <c r="E14" s="231">
        <v>8.1000000000000003E-2</v>
      </c>
      <c r="F14" s="161">
        <f>(F18-F13*(1+E13))/(1+E14)</f>
        <v>61054.57909343201</v>
      </c>
    </row>
    <row r="15" spans="2:11" hidden="1" x14ac:dyDescent="0.4">
      <c r="B15" s="105" t="s">
        <v>61</v>
      </c>
      <c r="C15" s="241"/>
      <c r="K15" s="161"/>
    </row>
    <row r="16" spans="2:11" hidden="1" x14ac:dyDescent="0.4">
      <c r="B16" s="98" t="s">
        <v>179</v>
      </c>
      <c r="C16" s="242"/>
      <c r="D16" s="161"/>
    </row>
    <row r="17" spans="2:8" ht="14.5" hidden="1" thickBot="1" x14ac:dyDescent="0.45">
      <c r="B17" s="99" t="s">
        <v>62</v>
      </c>
      <c r="C17" s="243"/>
      <c r="D17" s="97" t="s">
        <v>184</v>
      </c>
    </row>
    <row r="18" spans="2:8" x14ac:dyDescent="0.4">
      <c r="B18" s="100" t="s">
        <v>180</v>
      </c>
      <c r="C18" s="244">
        <f>SUM(C12:C14)</f>
        <v>66000</v>
      </c>
      <c r="F18" s="97">
        <f>'Preise Output'!G26</f>
        <v>66000</v>
      </c>
    </row>
    <row r="19" spans="2:8" x14ac:dyDescent="0.4">
      <c r="C19" s="242"/>
    </row>
    <row r="20" spans="2:8" x14ac:dyDescent="0.4">
      <c r="C20" s="242"/>
    </row>
    <row r="21" spans="2:8" x14ac:dyDescent="0.4">
      <c r="B21" s="109" t="s">
        <v>63</v>
      </c>
      <c r="C21" s="245"/>
    </row>
    <row r="22" spans="2:8" ht="6.75" customHeight="1" x14ac:dyDescent="0.4">
      <c r="C22" s="242"/>
    </row>
    <row r="23" spans="2:8" x14ac:dyDescent="0.4">
      <c r="B23" s="101" t="s">
        <v>258</v>
      </c>
      <c r="C23" s="242"/>
    </row>
    <row r="24" spans="2:8" x14ac:dyDescent="0.4">
      <c r="B24" s="107" t="str">
        <f>C7&amp;" "&amp;"Gutscheine"&amp;" "&amp;"x"&amp;" "&amp;ROUND('Preise Output'!F7,2)&amp;"CHF"&amp;" "&amp;"je"&amp;" "&amp;"Gutschein"</f>
        <v>1269 Gutscheine x 52,01CHF je Gutschein</v>
      </c>
      <c r="C24" s="246">
        <f>IFERROR(C7*'Preise Output'!$F$7,"--")</f>
        <v>66000.69</v>
      </c>
    </row>
    <row r="25" spans="2:8" x14ac:dyDescent="0.4">
      <c r="B25" s="97" t="str">
        <f>"Das enspricht "&amp;TEXT('Preise Output'!E26/('Preise Output'!C10),"0,0%") &amp; " des Leerstands p.a."</f>
        <v>Das enspricht 6,9% des Leerstands p.a.</v>
      </c>
      <c r="C25" s="239"/>
      <c r="E25" s="97" t="s">
        <v>286</v>
      </c>
      <c r="F25" s="97" t="s">
        <v>287</v>
      </c>
    </row>
    <row r="26" spans="2:8" x14ac:dyDescent="0.4">
      <c r="B26" s="98" t="s">
        <v>296</v>
      </c>
      <c r="C26" s="242">
        <f>IFERROR(F26*E26,"--")</f>
        <v>2508.0262200000002</v>
      </c>
      <c r="E26" s="231">
        <v>3.7999999999999999E-2</v>
      </c>
      <c r="F26" s="161">
        <f>C24-F27</f>
        <v>66000.69</v>
      </c>
    </row>
    <row r="27" spans="2:8" ht="14.5" thickBot="1" x14ac:dyDescent="0.45">
      <c r="B27" s="99" t="str">
        <f>"Mehrwertsteuer " &amp; TEXT(E27,"0%")</f>
        <v>Mehrwertsteuer 0%</v>
      </c>
      <c r="C27" s="242">
        <f>IFERROR(F27*E27,"--")</f>
        <v>0</v>
      </c>
      <c r="E27" s="231"/>
      <c r="F27" s="161">
        <f>G27*C7</f>
        <v>0</v>
      </c>
      <c r="G27" s="104"/>
      <c r="H27" s="97" t="s">
        <v>292</v>
      </c>
    </row>
    <row r="28" spans="2:8" x14ac:dyDescent="0.4">
      <c r="C28" s="242"/>
    </row>
    <row r="29" spans="2:8" x14ac:dyDescent="0.4">
      <c r="C29" s="242"/>
    </row>
    <row r="30" spans="2:8" x14ac:dyDescent="0.4">
      <c r="B30" s="96" t="s">
        <v>64</v>
      </c>
      <c r="C30" s="242"/>
    </row>
    <row r="31" spans="2:8" x14ac:dyDescent="0.4">
      <c r="B31" s="107" t="str">
        <f>C4&amp;"CHF"&amp;" "&amp;"je"&amp;" "&amp;"Gutschein"&amp;" "&amp;"x"&amp;" "&amp;C7&amp;" "&amp;"Roomnights"</f>
        <v>36,2575CHF je Gutschein x 1269 Roomnights</v>
      </c>
      <c r="C31" s="246">
        <f>C7*C4</f>
        <v>46010.767500000002</v>
      </c>
    </row>
    <row r="32" spans="2:8" x14ac:dyDescent="0.4">
      <c r="B32" s="108" t="s">
        <v>293</v>
      </c>
      <c r="C32" s="237">
        <f>C26+C27</f>
        <v>2508.0262200000002</v>
      </c>
    </row>
    <row r="33" spans="2:3" ht="14.5" thickBot="1" x14ac:dyDescent="0.45">
      <c r="B33" s="115" t="s">
        <v>288</v>
      </c>
      <c r="C33" s="247">
        <f>-(C13+C14)</f>
        <v>-4945.4209065679934</v>
      </c>
    </row>
    <row r="34" spans="2:3" x14ac:dyDescent="0.4">
      <c r="B34" s="96" t="s">
        <v>271</v>
      </c>
      <c r="C34" s="244">
        <f>SUM(C31:C33)</f>
        <v>43573.372813432012</v>
      </c>
    </row>
    <row r="35" spans="2:3" x14ac:dyDescent="0.4">
      <c r="C35" s="242"/>
    </row>
    <row r="36" spans="2:3" x14ac:dyDescent="0.4">
      <c r="B36" s="102" t="s">
        <v>65</v>
      </c>
      <c r="C36" s="248">
        <f>C12-C34</f>
        <v>17481.206279999999</v>
      </c>
    </row>
    <row r="37" spans="2:3" x14ac:dyDescent="0.4">
      <c r="B37" s="97" t="s">
        <v>289</v>
      </c>
      <c r="C37" s="249">
        <f>C36/C12</f>
        <v>0.28632096952545449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81640625" defaultRowHeight="14.5" x14ac:dyDescent="0.35"/>
  <cols>
    <col min="1" max="1" width="7.1796875" customWidth="1"/>
    <col min="2" max="2" width="21.1796875" customWidth="1"/>
    <col min="3" max="3" width="42" customWidth="1"/>
    <col min="4" max="5" width="24.81640625" customWidth="1"/>
    <col min="6" max="6" width="24.1796875" customWidth="1"/>
    <col min="7" max="7" width="20" customWidth="1"/>
    <col min="8" max="8" width="17.1796875" customWidth="1"/>
    <col min="9" max="10" width="20.453125" customWidth="1"/>
    <col min="11" max="12" width="20.179687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179687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2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0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2">
        <f>(Sixt!F15*Sixt!G15/SUM(Sixt!F7:F9))*12/1.19</f>
        <v>604.73949579831935</v>
      </c>
      <c r="I13" s="212">
        <f>(Sixt!F13*Sixt!G13/SUM(Sixt!F7:F9))*12/1.19</f>
        <v>302.42016806722688</v>
      </c>
      <c r="J13" s="212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08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3">
        <f>(Sixt!I15*Sixt!J15/SUM(Sixt!I7:I9))*12/1.19</f>
        <v>604.73949579831935</v>
      </c>
      <c r="I14" s="213">
        <f>(Sixt!I13*Sixt!J13/SUM(Sixt!I7:I9))*12/1.19</f>
        <v>302.42016806722688</v>
      </c>
      <c r="J14" s="213"/>
      <c r="K14" s="11"/>
      <c r="L14" s="213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3">
        <f>(Sixt!L15*Sixt!M15/SUM(Sixt!L7:L9))*12/1.19</f>
        <v>604.73949579831935</v>
      </c>
      <c r="I15" s="213">
        <f>(Sixt!L13*Sixt!M13/SUM(Sixt!L7:L9))*12/1.19</f>
        <v>0</v>
      </c>
      <c r="J15" s="213"/>
      <c r="K15" s="213"/>
      <c r="L15" s="213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55462.184873949584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55462.184873949584</v>
      </c>
      <c r="R16" s="35">
        <f t="shared" si="4"/>
        <v>18487.394957983193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7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7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69">
        <f>20*2+35</f>
        <v>75</v>
      </c>
      <c r="J23" s="22"/>
      <c r="K23" s="167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69">
        <f>I23*2</f>
        <v>150</v>
      </c>
      <c r="J24" s="22"/>
      <c r="K24" s="167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69">
        <f>20*2+35</f>
        <v>75</v>
      </c>
      <c r="J25" s="22"/>
      <c r="K25" s="167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69">
        <f>I25*2</f>
        <v>150</v>
      </c>
      <c r="J26" s="22"/>
      <c r="K26" s="167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0"/>
      <c r="G27" s="170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3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08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55462.184873949584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56902.184873949584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7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59">
        <f t="shared" ref="H50:I53" si="20">H23</f>
        <v>840</v>
      </c>
      <c r="I50" s="168">
        <f t="shared" si="20"/>
        <v>75</v>
      </c>
      <c r="J50" s="159">
        <f t="shared" ref="J50:L51" si="21">J23*1.19</f>
        <v>0</v>
      </c>
      <c r="K50" s="168">
        <f>K23</f>
        <v>0</v>
      </c>
      <c r="L50" s="159">
        <f t="shared" si="21"/>
        <v>0</v>
      </c>
      <c r="M50" s="159">
        <f>19.95*12</f>
        <v>239.39999999999998</v>
      </c>
      <c r="N50" s="159">
        <f t="shared" ref="N50:O51" si="22">N23</f>
        <v>0</v>
      </c>
      <c r="O50" s="159">
        <f t="shared" si="22"/>
        <v>0</v>
      </c>
      <c r="P50" s="19">
        <v>3</v>
      </c>
      <c r="Q50" s="24">
        <f>G50+H50+I50*(P50-1)+M50*(P50-1)+L50*P50</f>
        <v>6268.7</v>
      </c>
      <c r="R50" s="159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59">
        <f t="shared" si="20"/>
        <v>1680</v>
      </c>
      <c r="I51" s="168">
        <f t="shared" si="20"/>
        <v>150</v>
      </c>
      <c r="J51" s="159">
        <f t="shared" si="21"/>
        <v>0</v>
      </c>
      <c r="K51" s="168">
        <f>K24</f>
        <v>0</v>
      </c>
      <c r="L51" s="159">
        <f t="shared" si="21"/>
        <v>0</v>
      </c>
      <c r="M51" s="159">
        <f>19.95*12*2</f>
        <v>478.79999999999995</v>
      </c>
      <c r="N51" s="159">
        <f t="shared" si="22"/>
        <v>0</v>
      </c>
      <c r="O51" s="159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59">
        <f t="shared" ref="R51:R53" si="24">Q51/P51</f>
        <v>3512.5</v>
      </c>
      <c r="S51" s="19"/>
      <c r="T51" s="164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59">
        <f t="shared" si="20"/>
        <v>840</v>
      </c>
      <c r="I52" s="168">
        <f t="shared" si="20"/>
        <v>75</v>
      </c>
      <c r="J52" s="27"/>
      <c r="K52" s="168">
        <f>K25</f>
        <v>0</v>
      </c>
      <c r="L52" s="27"/>
      <c r="M52" s="159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59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59">
        <f t="shared" si="20"/>
        <v>1680</v>
      </c>
      <c r="I53" s="168">
        <f t="shared" si="20"/>
        <v>150</v>
      </c>
      <c r="J53" s="27"/>
      <c r="K53" s="168">
        <f>K26</f>
        <v>0</v>
      </c>
      <c r="L53" s="27"/>
      <c r="M53" s="159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59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1796875" defaultRowHeight="14.5" outlineLevelRow="1" x14ac:dyDescent="0.35"/>
  <cols>
    <col min="3" max="3" width="26.81640625" customWidth="1"/>
    <col min="4" max="4" width="12.1796875" style="127" customWidth="1"/>
    <col min="5" max="5" width="11.1796875" style="126" bestFit="1" customWidth="1"/>
    <col min="6" max="6" width="11.81640625" style="126" bestFit="1" customWidth="1"/>
    <col min="7" max="7" width="11.1796875" style="126" bestFit="1" customWidth="1"/>
    <col min="8" max="8" width="14.453125" style="126" customWidth="1"/>
    <col min="9" max="15" width="11.1796875" style="126" bestFit="1" customWidth="1"/>
    <col min="16" max="16" width="10.453125" bestFit="1" customWidth="1"/>
    <col min="17" max="27" width="11.1796875" bestFit="1" customWidth="1"/>
    <col min="28" max="28" width="10.453125" bestFit="1" customWidth="1"/>
    <col min="29" max="39" width="11.1796875" bestFit="1" customWidth="1"/>
    <col min="40" max="40" width="12.1796875" bestFit="1" customWidth="1"/>
    <col min="41" max="41" width="10.453125" bestFit="1" customWidth="1"/>
    <col min="43" max="43" width="12.81640625" bestFit="1" customWidth="1"/>
    <col min="44" max="44" width="11.1796875" bestFit="1" customWidth="1"/>
    <col min="45" max="50" width="10.179687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44415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44415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44415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44415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4124.25</v>
      </c>
      <c r="F7" s="129">
        <f>IF($B$6=100%,(('Preise Output'!$F$10-INDEX(Annahmen!$B$18:$C$22,MATCH('Preise Output'!$C$7,Annahmen!$B$18:$B$22,0),2))*'Preise Output'!$E$26)/10,('Preise Output'!$E$26*'Preise Output'!$F$10-$D$6)/10)</f>
        <v>4124.25</v>
      </c>
      <c r="G7" s="129">
        <f>IF($B$6=100%,(('Preise Output'!$F$10-INDEX(Annahmen!$B$18:$C$22,MATCH('Preise Output'!$C$7,Annahmen!$B$18:$B$22,0),2))*'Preise Output'!$E$26)/10,('Preise Output'!$E$26*'Preise Output'!$F$10-$D$6)/10)</f>
        <v>4124.25</v>
      </c>
      <c r="H7" s="129">
        <f>IF($B$6=100%,(('Preise Output'!$F$10-INDEX(Annahmen!$B$18:$C$22,MATCH('Preise Output'!$C$7,Annahmen!$B$18:$B$22,0),2))*'Preise Output'!$E$26)/10,('Preise Output'!$E$26*'Preise Output'!$F$10-$D$6)/10)</f>
        <v>4124.25</v>
      </c>
      <c r="I7" s="129">
        <f>IF($B$6=100%,(('Preise Output'!$F$10-INDEX(Annahmen!$B$18:$C$22,MATCH('Preise Output'!$C$7,Annahmen!$B$18:$B$22,0),2))*'Preise Output'!$E$26)/10,('Preise Output'!$E$26*'Preise Output'!$F$10-$D$6)/10)</f>
        <v>4124.25</v>
      </c>
      <c r="J7" s="129">
        <f>IF($B$6=100%,(('Preise Output'!$F$10-INDEX(Annahmen!$B$18:$C$22,MATCH('Preise Output'!$C$7,Annahmen!$B$18:$B$22,0),2))*'Preise Output'!$E$26)/10,('Preise Output'!$E$26*'Preise Output'!$F$10-$D$6)/10)</f>
        <v>4124.25</v>
      </c>
      <c r="K7" s="129">
        <f>IF($B$6=100%,(('Preise Output'!$F$10-INDEX(Annahmen!$B$18:$C$22,MATCH('Preise Output'!$C$7,Annahmen!$B$18:$B$22,0),2))*'Preise Output'!$E$26)/10,('Preise Output'!$E$26*'Preise Output'!$F$10-$D$6)/10)</f>
        <v>4124.25</v>
      </c>
      <c r="L7" s="129">
        <f>IF($B$6=100%,(('Preise Output'!$F$10-INDEX(Annahmen!$B$18:$C$22,MATCH('Preise Output'!$C$7,Annahmen!$B$18:$B$22,0),2))*'Preise Output'!$E$26)/10,('Preise Output'!$E$26*'Preise Output'!$F$10-$D$6)/10)</f>
        <v>4124.25</v>
      </c>
      <c r="M7" s="129">
        <f>IF($B$6=100%,(('Preise Output'!$F$10-INDEX(Annahmen!$B$18:$C$22,MATCH('Preise Output'!$C$7,Annahmen!$B$18:$B$22,0),2))*'Preise Output'!$E$26)/10,('Preise Output'!$E$26*'Preise Output'!$F$10-$D$6)/10)</f>
        <v>4124.25</v>
      </c>
      <c r="N7" s="129">
        <f>IF($B$6=100%,(('Preise Output'!$F$10-INDEX(Annahmen!$B$18:$C$22,MATCH('Preise Output'!$C$7,Annahmen!$B$18:$B$22,0),2))*'Preise Output'!$E$26)/10,('Preise Output'!$E$26*'Preise Output'!$F$10-$D$6)/10)</f>
        <v>4124.25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4124.25</v>
      </c>
      <c r="R7" s="129">
        <f>IF($B$6=100%,(('Preise Output'!$F$10-INDEX(Annahmen!$B$18:$C$22,MATCH('Preise Output'!$C$7,Annahmen!$B$18:$B$22,0),2))*'Preise Output'!$E$26)/10,('Preise Output'!$E$26*'Preise Output'!$F$10-$D$6)/10)</f>
        <v>4124.25</v>
      </c>
      <c r="S7" s="129">
        <f>IF($B$6=100%,(('Preise Output'!$F$10-INDEX(Annahmen!$B$18:$C$22,MATCH('Preise Output'!$C$7,Annahmen!$B$18:$B$22,0),2))*'Preise Output'!$E$26)/10,('Preise Output'!$E$26*'Preise Output'!$F$10-$D$6)/10)</f>
        <v>4124.25</v>
      </c>
      <c r="T7" s="129">
        <f>IF($B$6=100%,(('Preise Output'!$F$10-INDEX(Annahmen!$B$18:$C$22,MATCH('Preise Output'!$C$7,Annahmen!$B$18:$B$22,0),2))*'Preise Output'!$E$26)/10,('Preise Output'!$E$26*'Preise Output'!$F$10-$D$6)/10)</f>
        <v>4124.25</v>
      </c>
      <c r="U7" s="129">
        <f>IF($B$6=100%,(('Preise Output'!$F$10-INDEX(Annahmen!$B$18:$C$22,MATCH('Preise Output'!$C$7,Annahmen!$B$18:$B$22,0),2))*'Preise Output'!$E$26)/10,('Preise Output'!$E$26*'Preise Output'!$F$10-$D$6)/10)</f>
        <v>4124.25</v>
      </c>
      <c r="V7" s="129">
        <f>IF($B$6=100%,(('Preise Output'!$F$10-INDEX(Annahmen!$B$18:$C$22,MATCH('Preise Output'!$C$7,Annahmen!$B$18:$B$22,0),2))*'Preise Output'!$E$26)/10,('Preise Output'!$E$26*'Preise Output'!$F$10-$D$6)/10)</f>
        <v>4124.25</v>
      </c>
      <c r="W7" s="129">
        <f>IF($B$6=100%,(('Preise Output'!$F$10-INDEX(Annahmen!$B$18:$C$22,MATCH('Preise Output'!$C$7,Annahmen!$B$18:$B$22,0),2))*'Preise Output'!$E$26)/10,('Preise Output'!$E$26*'Preise Output'!$F$10-$D$6)/10)</f>
        <v>4124.25</v>
      </c>
      <c r="X7" s="129">
        <f>IF($B$6=100%,(('Preise Output'!$F$10-INDEX(Annahmen!$B$18:$C$22,MATCH('Preise Output'!$C$7,Annahmen!$B$18:$B$22,0),2))*'Preise Output'!$E$26)/10,('Preise Output'!$E$26*'Preise Output'!$F$10-$D$6)/10)</f>
        <v>4124.25</v>
      </c>
      <c r="Y7" s="129">
        <f>IF($B$6=100%,(('Preise Output'!$F$10-INDEX(Annahmen!$B$18:$C$22,MATCH('Preise Output'!$C$7,Annahmen!$B$18:$B$22,0),2))*'Preise Output'!$E$26)/10,('Preise Output'!$E$26*'Preise Output'!$F$10-$D$6)/10)</f>
        <v>4124.25</v>
      </c>
      <c r="Z7" s="129">
        <f>IF($B$6=100%,(('Preise Output'!$F$10-INDEX(Annahmen!$B$18:$C$22,MATCH('Preise Output'!$C$7,Annahmen!$B$18:$B$22,0),2))*'Preise Output'!$E$26)/10,('Preise Output'!$E$26*'Preise Output'!$F$10-$D$6)/10)</f>
        <v>4124.25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4124.25</v>
      </c>
      <c r="AD7" s="129">
        <f>IF($B$6=100%,(('Preise Output'!$F$10-INDEX(Annahmen!$B$18:$C$22,MATCH('Preise Output'!$C$7,Annahmen!$B$18:$B$22,0),2))*'Preise Output'!$E$26)/10,('Preise Output'!$E$26*'Preise Output'!$F$10-$D$6)/10)</f>
        <v>4124.25</v>
      </c>
      <c r="AE7" s="129">
        <f>IF($B$6=100%,(('Preise Output'!$F$10-INDEX(Annahmen!$B$18:$C$22,MATCH('Preise Output'!$C$7,Annahmen!$B$18:$B$22,0),2))*'Preise Output'!$E$26)/10,('Preise Output'!$E$26*'Preise Output'!$F$10-$D$6)/10)</f>
        <v>4124.25</v>
      </c>
      <c r="AF7" s="129">
        <f>IF($B$6=100%,(('Preise Output'!$F$10-INDEX(Annahmen!$B$18:$C$22,MATCH('Preise Output'!$C$7,Annahmen!$B$18:$B$22,0),2))*'Preise Output'!$E$26)/10,('Preise Output'!$E$26*'Preise Output'!$F$10-$D$6)/10)</f>
        <v>4124.25</v>
      </c>
      <c r="AG7" s="129">
        <f>IF($B$6=100%,(('Preise Output'!$F$10-INDEX(Annahmen!$B$18:$C$22,MATCH('Preise Output'!$C$7,Annahmen!$B$18:$B$22,0),2))*'Preise Output'!$E$26)/10,('Preise Output'!$E$26*'Preise Output'!$F$10-$D$6)/10)</f>
        <v>4124.25</v>
      </c>
      <c r="AH7" s="129">
        <f>IF($B$6=100%,(('Preise Output'!$F$10-INDEX(Annahmen!$B$18:$C$22,MATCH('Preise Output'!$C$7,Annahmen!$B$18:$B$22,0),2))*'Preise Output'!$E$26)/10,('Preise Output'!$E$26*'Preise Output'!$F$10-$D$6)/10)</f>
        <v>4124.25</v>
      </c>
      <c r="AI7" s="129">
        <f>IF($B$6=100%,(('Preise Output'!$F$10-INDEX(Annahmen!$B$18:$C$22,MATCH('Preise Output'!$C$7,Annahmen!$B$18:$B$22,0),2))*'Preise Output'!$E$26)/10,('Preise Output'!$E$26*'Preise Output'!$F$10-$D$6)/10)</f>
        <v>4124.25</v>
      </c>
      <c r="AJ7" s="129">
        <f>IF($B$6=100%,(('Preise Output'!$F$10-INDEX(Annahmen!$B$18:$C$22,MATCH('Preise Output'!$C$7,Annahmen!$B$18:$B$22,0),2))*'Preise Output'!$E$26)/10,('Preise Output'!$E$26*'Preise Output'!$F$10-$D$6)/10)</f>
        <v>4124.25</v>
      </c>
      <c r="AK7" s="129">
        <f>IF($B$6=100%,(('Preise Output'!$F$10-INDEX(Annahmen!$B$18:$C$22,MATCH('Preise Output'!$C$7,Annahmen!$B$18:$B$22,0),2))*'Preise Output'!$E$26)/10,('Preise Output'!$E$26*'Preise Output'!$F$10-$D$6)/10)</f>
        <v>4124.25</v>
      </c>
      <c r="AL7" s="129">
        <f>IF($B$6=100%,(('Preise Output'!$F$10-INDEX(Annahmen!$B$18:$C$22,MATCH('Preise Output'!$C$7,Annahmen!$B$18:$B$22,0),2))*'Preise Output'!$E$26)/10,('Preise Output'!$E$26*'Preise Output'!$F$10-$D$6)/10)</f>
        <v>4124.25</v>
      </c>
      <c r="AM7" s="130"/>
      <c r="AN7" s="130">
        <f t="shared" ref="AN7:AN43" si="0">SUM(D7:AM7)</f>
        <v>123727.5</v>
      </c>
      <c r="AQ7" s="130">
        <f t="shared" ref="AQ7:AQ45" si="1">SUM(D7:F7)</f>
        <v>8248.5</v>
      </c>
      <c r="AR7" s="130">
        <f t="shared" ref="AR7:AR45" si="2">SUM(G7:I7)</f>
        <v>12372.75</v>
      </c>
      <c r="AS7" s="130">
        <f t="shared" ref="AS7:AS45" si="3">SUM(J7:L7)</f>
        <v>12372.75</v>
      </c>
      <c r="AT7" s="130">
        <f t="shared" ref="AT7:AT45" si="4">SUM(M7:O7)</f>
        <v>8248.5</v>
      </c>
      <c r="AU7" s="130">
        <f t="shared" ref="AU7:AU45" si="5">SUM(P7:R7)</f>
        <v>8248.5</v>
      </c>
      <c r="AV7" s="130">
        <f t="shared" ref="AV7:AV45" si="6">SUM(S7:U7)</f>
        <v>12372.75</v>
      </c>
      <c r="AW7" s="130">
        <f t="shared" ref="AW7:AW45" si="7">SUM(V7:X7)</f>
        <v>12372.75</v>
      </c>
      <c r="AX7" s="130">
        <f t="shared" ref="AX7:AX45" si="8">SUM(Y7:AA7)</f>
        <v>8248.5</v>
      </c>
      <c r="AY7" s="130">
        <f t="shared" ref="AY7:AY45" si="9">SUM(AB7:AD7)</f>
        <v>8248.5</v>
      </c>
      <c r="AZ7" s="130">
        <f t="shared" ref="AZ7:AZ45" si="10">SUM(AE7:AG7)</f>
        <v>12372.75</v>
      </c>
      <c r="BA7" s="130">
        <f t="shared" ref="BA7:BA45" si="11">SUM(AH7:AJ7)</f>
        <v>12372.75</v>
      </c>
      <c r="BB7" s="130">
        <f t="shared" ref="BB7:BB45" si="12">SUM(AK7:AM7)</f>
        <v>8248.5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-66000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-66000</v>
      </c>
      <c r="AQ42" s="134">
        <f t="shared" si="1"/>
        <v>-66000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81640625" defaultRowHeight="14.5" x14ac:dyDescent="0.35"/>
  <cols>
    <col min="1" max="1" width="7.1796875" customWidth="1"/>
    <col min="2" max="2" width="21.1796875" customWidth="1"/>
    <col min="3" max="4" width="35" customWidth="1"/>
    <col min="5" max="5" width="24.1796875" customWidth="1"/>
    <col min="6" max="6" width="21.1796875" bestFit="1" customWidth="1"/>
    <col min="7" max="7" width="20.1796875" customWidth="1"/>
    <col min="8" max="8" width="17.179687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1796875" style="137" bestFit="1" customWidth="1"/>
    <col min="19" max="19" width="12.81640625" style="137" bestFit="1" customWidth="1"/>
    <col min="20" max="20" width="12.81640625" style="137" customWidth="1"/>
    <col min="21" max="21" width="13.179687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94223.250000000015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81640625" defaultRowHeight="14.5" x14ac:dyDescent="0.35"/>
  <cols>
    <col min="1" max="1" width="6.1796875" customWidth="1"/>
    <col min="2" max="2" width="23.81640625" bestFit="1" customWidth="1"/>
    <col min="3" max="3" width="18.453125" customWidth="1"/>
    <col min="4" max="5" width="17.453125" customWidth="1"/>
    <col min="7" max="7" width="26.81640625" customWidth="1"/>
    <col min="8" max="8" width="12.81640625" customWidth="1"/>
    <col min="9" max="9" width="11.453125" bestFit="1" customWidth="1"/>
    <col min="10" max="10" width="23.81640625" bestFit="1" customWidth="1"/>
    <col min="11" max="11" width="11.453125" bestFit="1" customWidth="1"/>
    <col min="12" max="12" width="12.453125" bestFit="1" customWidth="1"/>
    <col min="14" max="14" width="28.81640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1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4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4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4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4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4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817EF9-7E5E-4F51-B9EA-363F50755C67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2024-10-18T10:25:05Z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