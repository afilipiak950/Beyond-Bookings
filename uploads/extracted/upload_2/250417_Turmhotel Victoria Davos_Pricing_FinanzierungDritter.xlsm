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Turmhotel Victoria Davos/"/>
    </mc:Choice>
  </mc:AlternateContent>
  <xr:revisionPtr revIDLastSave="92" documentId="8_{AB380101-EFC6-46F8-B1BF-FAB4B4830B4A}" xr6:coauthVersionLast="47" xr6:coauthVersionMax="47" xr10:uidLastSave="{5D8376A1-8F88-4A3F-8EAB-DD3628BF0BF2}"/>
  <bookViews>
    <workbookView xWindow="11424" yWindow="0" windowWidth="11712" windowHeight="123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5" i="1" l="1"/>
  <c r="G27" i="1"/>
  <c r="G12" i="1"/>
  <c r="G7" i="1" l="1"/>
  <c r="C2" i="8"/>
  <c r="F10" i="1"/>
  <c r="F6" i="1"/>
  <c r="B27" i="8"/>
  <c r="H5" i="1" l="1"/>
  <c r="C13" i="8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<sst xmlns="http://schemas.openxmlformats.org/spreadsheetml/2006/main" count="515" uniqueCount="302">
  <si>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</si>
  <si>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</si>
  <si>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</si>
  <si>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</si>
  <si>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</si>
  <si>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</si>
  <si>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</si>
  <si>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</si>
  <si>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</si>
  <si>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</si>
  <si>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</si>
  <si>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</si>
  <si>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</si>
  <si>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</si>
  <si>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</si>
  <si>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</si>
  <si>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</si>
  <si>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</si>
  <si>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</si>
  <si>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</si>
  <si>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</si>
  <si>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</si>
  <si>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</si>
  <si>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</si>
  <si>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</si>
  <si>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</si>
  <si>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</si>
  <si>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</si>
  <si>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</si>
  <si>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</si>
  <si>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</si>
  <si>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</si>
  <si>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</si>
  <si>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</si>
  <si>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</si>
  <si>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</si>
  <si>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</si>
  <si>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</si>
  <si>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</si>
  <si>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</si>
  <si>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</si>
  <si>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</si>
  <si>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</si>
  <si>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</si>
  <si>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</si>
  <si>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</si>
  <si>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</si>
  <si>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</si>
  <si>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</si>
  <si>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</si>
  <si>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</si>
  <si>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</si>
  <si>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</si>
  <si>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</si>
  <si>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</si>
  <si>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</si>
  <si>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</si>
  <si>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</si>
  <si>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</si>
  <si>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</si>
  <si>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</si>
  <si>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</si>
  <si>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</si>
  <si>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</si>
  <si>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</si>
  <si>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</si>
  <si>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</si>
  <si>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</si>
  <si>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</si>
  <si>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</si>
  <si>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</si>
  <si>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</si>
  <si>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</si>
  <si>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</si>
  <si>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</si>
  <si>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</si>
  <si>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</si>
  <si>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</si>
  <si>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</si>
  <si>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</si>
  <si>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</si>
  <si>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</si>
  <si>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</si>
  <si>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</si>
  <si>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</si>
  <si>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</si>
  <si>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</si>
  <si>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</si>
  <si>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</si>
  <si>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</si>
  <si>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</si>
  <si>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</si>
  <si>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</si>
  <si>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</si>
  <si>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</si>
  <si>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</si>
  <si>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</si>
  <si>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</si>
  <si>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</si>
  <si>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</si>
  <si>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</si>
  <si>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</si>
  <si>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</si>
  <si>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</si>
  <si>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</si>
  <si>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</si>
  <si>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</si>
  <si>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</si>
  <si>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</si>
  <si>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</si>
  <si>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</si>
  <si>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</si>
  <si>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</si>
  <si>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</si>
  <si>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</si>
  <si>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</si>
  <si>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</si>
  <si>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</si>
  <si>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</si>
  <si>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</si>
  <si>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</si>
  <si>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</si>
  <si>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</si>
  <si>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</si>
  <si>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</si>
  <si>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</si>
  <si>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</si>
  <si>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</si>
  <si>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</si>
  <si>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</si>
  <si>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</si>
  <si>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</si>
  <si>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</si>
  <si>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</si>
  <si>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</si>
  <si>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</si>
  <si>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</si>
  <si>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</si>
  <si>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</si>
  <si>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</si>
  <si>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</si>
  <si>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</si>
  <si>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</si>
  <si>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</si>
  <si>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</si>
  <si>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</si>
  <si>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</si>
  <si>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</si>
  <si>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</si>
  <si>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</si>
  <si>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</si>
  <si>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</si>
  <si>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</si>
  <si>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</si>
  <si>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</si>
  <si>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</si>
  <si>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</si>
  <si>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</si>
  <si>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</si>
  <si>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</si>
  <si>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</si>
  <si>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</si>
  <si>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</si>
  <si>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</si>
  <si>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</si>
  <si>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</si>
  <si>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</si>
  <si>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</si>
  <si>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</si>
  <si>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</si>
  <si>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</si>
  <si>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</si>
  <si>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</si>
  <si>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</si>
  <si>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</si>
  <si>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</si>
  <si>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</si>
  <si>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</si>
  <si>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</si>
  <si>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</si>
  <si>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</si>
  <si>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</si>
  <si>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</si>
  <si>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</si>
  <si>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</si>
  <si>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</si>
  <si>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</si>
  <si>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</si>
  <si>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</si>
  <si>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</si>
  <si>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</si>
  <si>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</si>
  <si>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</si>
  <si>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</si>
  <si>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</si>
  <si>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</si>
  <si>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</si>
  <si>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</si>
  <si>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</si>
  <si>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</si>
  <si>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</si>
  <si>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</si>
  <si>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</si>
  <si>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</si>
  <si>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</si>
  <si>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</si>
  <si>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</si>
  <si>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</si>
  <si>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</si>
  <si>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</si>
  <si>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</si>
  <si>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</si>
  <si>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</si>
  <si>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</si>
  <si>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</si>
  <si>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</si>
  <si>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</si>
  <si>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</si>
  <si>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</si>
  <si>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</si>
  <si>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</si>
  <si>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</si>
  <si>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</si>
  <si>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</si>
  <si>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</si>
  <si>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</si>
  <si>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</si>
  <si>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</si>
  <si>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</si>
  <si>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</si>
  <si>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</si>
  <si>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</si>
  <si>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</si>
  <si>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</si>
  <si>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</si>
  <si>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</si>
  <si>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</si>
  <si>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</si>
  <si>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</si>
  <si>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</si>
  <si>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</si>
  <si>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</si>
  <si>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</si>
  <si>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</si>
  <si>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</si>
  <si>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</si>
  <si>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</si>
  <si>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</si>
  <si>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</si>
  <si>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</si>
  <si>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</si>
  <si>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</si>
  <si>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</si>
  <si>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</si>
  <si>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</si>
  <si>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</si>
  <si>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</si>
  <si>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</si>
  <si>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</si>
  <si>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</si>
  <si>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</si>
  <si>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</si>
  <si>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</si>
  <si>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</si>
  <si>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</si>
  <si>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</si>
  <si>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</si>
  <si>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</si>
  <si>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</si>
  <si>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</si>
  <si>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</si>
  <si>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</si>
  <si>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</si>
  <si>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</si>
  <si>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</si>
  <si>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</si>
  <si>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</si>
  <si>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</si>
  <si>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</si>
  <si>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</si>
  <si>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</si>
  <si>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</si>
  <si>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</si>
  <si>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</si>
  <si>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</si>
  <si>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</si>
  <si>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</si>
  <si>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</si>
  <si>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</si>
  <si>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</si>
  <si>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</si>
  <si>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</si>
  <si>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</si>
  <si>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</si>
  <si>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</si>
  <si>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</si>
  <si>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Mehrwertsteuer 3,8%</t>
  </si>
  <si>
    <t>Turmhotel Victoria Davos</t>
  </si>
  <si>
    <t>via Animod (99Eur)</t>
  </si>
  <si>
    <t>er will 110.000 CHF</t>
  </si>
  <si>
    <t xml:space="preserve">8,5 Monate offen! </t>
  </si>
  <si>
    <t>25 euro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</si>
</sst>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  <xf numFmtId="0" fontId="17" fillId="0" borderId="0" xfId="0" applyFont="1" applyAlignment="1">
      <alignment horizont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0" sqref="D10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33203125" style="37" bestFit="1" customWidth="1"/>
    <col min="6" max="6" width="28.6640625" style="37" bestFit="1" customWidth="1"/>
    <col min="7" max="7" width="29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45764</v>
      </c>
      <c r="E5" s="151" t="s">
        <v>5</v>
      </c>
      <c r="F5" s="226">
        <f>99/1.15</f>
        <v>86.08695652173914</v>
      </c>
      <c r="G5" s="44" t="s">
        <v>298</v>
      </c>
      <c r="H5" s="253">
        <f>+F5*1.05</f>
        <v>90.391304347826107</v>
      </c>
    </row>
    <row r="6" spans="1:32" x14ac:dyDescent="0.35">
      <c r="B6" s="48" t="s">
        <v>4</v>
      </c>
      <c r="C6" s="143" t="s">
        <v>297</v>
      </c>
      <c r="E6" s="152" t="s">
        <v>290</v>
      </c>
      <c r="F6" s="227">
        <f>C12*0.65</f>
        <v>130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 x14ac:dyDescent="0.35">
      <c r="B7" s="48" t="s">
        <v>6</v>
      </c>
      <c r="C7" s="49" t="s">
        <v>7</v>
      </c>
      <c r="E7" s="153" t="s">
        <v>8</v>
      </c>
      <c r="F7" s="228">
        <v>50</v>
      </c>
      <c r="G7" s="252">
        <f>F7*1.05</f>
        <v>52.5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7">
        <v>97</v>
      </c>
      <c r="E8" s="215"/>
      <c r="F8" s="215"/>
      <c r="G8" s="215"/>
      <c r="H8" s="215"/>
      <c r="I8" s="215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0.65</v>
      </c>
      <c r="E9" s="155" t="s">
        <v>246</v>
      </c>
      <c r="F9" s="156">
        <f>IFERROR(J26,"Bitte Produkt auswählen")</f>
        <v>0.2959902050811144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v>8261</v>
      </c>
      <c r="D10" s="254" t="s">
        <v>300</v>
      </c>
      <c r="E10" s="152" t="s">
        <v>13</v>
      </c>
      <c r="F10" s="225">
        <f>F5*0.75</f>
        <v>64.565217391304358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6" t="s">
        <v>14</v>
      </c>
      <c r="F11" s="235">
        <f>+I24*1.05</f>
        <v>164060.21739130441</v>
      </c>
      <c r="G11" s="250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7">
        <v>200</v>
      </c>
      <c r="D12" s="61"/>
      <c r="E12" s="154" t="s">
        <v>243</v>
      </c>
      <c r="F12" s="229">
        <v>110000</v>
      </c>
      <c r="G12" s="251">
        <f>+F12*1.15</f>
        <v>126499.99999999999</v>
      </c>
      <c r="H12" s="207" t="s">
        <v>299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18"/>
      <c r="F13" s="218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2" hidden="1" customHeight="1" x14ac:dyDescent="0.35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2" customHeight="1" x14ac:dyDescent="0.35">
      <c r="B24" s="75" t="s">
        <v>264</v>
      </c>
      <c r="C24" s="76" t="s">
        <v>32</v>
      </c>
      <c r="D24" s="158">
        <v>1</v>
      </c>
      <c r="E24" s="76">
        <f>ROUND(G24/F$7,0)</f>
        <v>2200</v>
      </c>
      <c r="F24" s="76">
        <v>3</v>
      </c>
      <c r="G24" s="77">
        <f>F12*D24</f>
        <v>110000</v>
      </c>
      <c r="H24" s="77">
        <f>$E24*$F$10*1.1-$G24</f>
        <v>46247.826086956571</v>
      </c>
      <c r="I24" s="77">
        <f>G24+H24</f>
        <v>156247.82608695657</v>
      </c>
      <c r="J24" s="78">
        <f t="shared" si="16"/>
        <v>0.2959902050811144</v>
      </c>
      <c r="K24" s="77">
        <v>0</v>
      </c>
      <c r="L24" s="77">
        <v>0</v>
      </c>
      <c r="M24" s="77">
        <f>G24*1.19-G24</f>
        <v>20900</v>
      </c>
      <c r="N24" s="77">
        <f t="shared" si="5"/>
        <v>6747.0652173913059</v>
      </c>
      <c r="O24" s="77">
        <f>L24-M24-N24</f>
        <v>-27647.065217391304</v>
      </c>
      <c r="P24" s="79">
        <f>IFERROR($H24-L24,"")</f>
        <v>46247.826086956571</v>
      </c>
      <c r="Q24" s="78">
        <f>IFERROR(($H24-L24)/$I24,"")</f>
        <v>0.2959902050811144</v>
      </c>
      <c r="R24" s="80">
        <f>IFERROR((1-Q24)*F24,"")</f>
        <v>2.1120293847566569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2200</v>
      </c>
      <c r="F26" s="89"/>
      <c r="G26" s="230">
        <f>SUBTOTAL(9,G19:G24)</f>
        <v>110000</v>
      </c>
      <c r="H26" s="230">
        <f>SUBTOTAL(9,H19:H24)</f>
        <v>46247.826086956571</v>
      </c>
      <c r="I26" s="230">
        <f>SUBTOTAL(9,I19:I24)</f>
        <v>156247.82608695657</v>
      </c>
      <c r="J26" s="90">
        <f>H26/I26</f>
        <v>0.2959902050811144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20900</v>
      </c>
      <c r="N26" s="89">
        <f t="shared" si="25"/>
        <v>6747.0652173913059</v>
      </c>
      <c r="O26" s="89">
        <f t="shared" si="25"/>
        <v>-27647.065217391304</v>
      </c>
      <c r="P26" s="89">
        <f t="shared" si="25"/>
        <v>46247.826086956571</v>
      </c>
      <c r="Q26" s="90">
        <f>($H26-L26)/$I26</f>
        <v>0.2959902050811144</v>
      </c>
      <c r="R26" s="91">
        <f>IFERROR((1-Q26)*F26,"")</f>
        <v>0</v>
      </c>
    </row>
    <row r="27" spans="2:32" ht="18.600000000000001" x14ac:dyDescent="0.4">
      <c r="E27" s="217" t="str">
        <f>"Das enspricht "&amp;TEXT(E26/(C10),"0,0%") &amp; " des Leerstands p.a. über 3 Jahre."</f>
        <v>Das enspricht 26,6% des Leerstands p.a. über 3 Jahre.</v>
      </c>
      <c r="G27" s="236">
        <f>SUBTOTAL(9,G20:G25)*1.05</f>
        <v>115500</v>
      </c>
      <c r="H27" s="236">
        <f>SUBTOTAL(9,H20:H25)*1.05</f>
        <v>48560.217391304403</v>
      </c>
      <c r="I27" s="236">
        <f>SUBTOTAL(9,I20:I25)*1.05</f>
        <v>164060.21739130441</v>
      </c>
    </row>
    <row r="28" spans="2:32" x14ac:dyDescent="0.35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33203125" bestFit="1" customWidth="1"/>
    <col min="2" max="2" width="10.6640625" hidden="1" customWidth="1"/>
    <col min="3" max="3" width="11.664062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6640625" bestFit="1" customWidth="1"/>
  </cols>
  <sheetData>
    <row r="1" spans="1:16" ht="62.4" x14ac:dyDescent="0.3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6" x14ac:dyDescent="0.3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8" x14ac:dyDescent="0.3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6" x14ac:dyDescent="0.3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6" x14ac:dyDescent="0.3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6" x14ac:dyDescent="0.3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6" x14ac:dyDescent="0.3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6" x14ac:dyDescent="0.3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6" x14ac:dyDescent="0.3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6" x14ac:dyDescent="0.3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6" x14ac:dyDescent="0.3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6" x14ac:dyDescent="0.3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6" x14ac:dyDescent="0.3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6" x14ac:dyDescent="0.3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.2" thickBot="1" x14ac:dyDescent="0.35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.2" thickTop="1" x14ac:dyDescent="0.3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6" x14ac:dyDescent="0.3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6" x14ac:dyDescent="0.3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6" x14ac:dyDescent="0.3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6" x14ac:dyDescent="0.3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6" x14ac:dyDescent="0.3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Normal="100" workbookViewId="0">
      <selection activeCell="D8" sqref="D8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24" bestFit="1" customWidth="1"/>
    <col min="4" max="5" width="8.6640625" style="97"/>
    <col min="6" max="6" width="11.6640625" style="97" bestFit="1" customWidth="1"/>
    <col min="7" max="16384" width="8.6640625" style="97"/>
  </cols>
  <sheetData>
    <row r="2" spans="2:11" x14ac:dyDescent="0.35">
      <c r="B2" s="103" t="s">
        <v>51</v>
      </c>
      <c r="C2" s="232">
        <f>25*0.9497</f>
        <v>23.7425</v>
      </c>
    </row>
    <row r="3" spans="2:11" x14ac:dyDescent="0.35">
      <c r="B3" s="103" t="s">
        <v>52</v>
      </c>
      <c r="C3" s="232">
        <v>47.3</v>
      </c>
    </row>
    <row r="4" spans="2:11" x14ac:dyDescent="0.35">
      <c r="B4" s="103" t="s">
        <v>53</v>
      </c>
      <c r="C4" s="233">
        <f>+C3-C2</f>
        <v>23.557499999999997</v>
      </c>
      <c r="D4" s="97" t="s">
        <v>301</v>
      </c>
    </row>
    <row r="5" spans="2:11" ht="6" customHeight="1" x14ac:dyDescent="0.35">
      <c r="C5" s="222"/>
    </row>
    <row r="6" spans="2:11" x14ac:dyDescent="0.35">
      <c r="B6" s="103" t="s">
        <v>54</v>
      </c>
      <c r="C6" s="221" t="s">
        <v>264</v>
      </c>
    </row>
    <row r="7" spans="2:11" x14ac:dyDescent="0.35">
      <c r="B7" s="103" t="s">
        <v>55</v>
      </c>
      <c r="C7" s="234">
        <f>IFERROR(INDEX('Preise Output'!$B$19:$E$24,MATCH(Preisvergleich!$C$6,'Preise Output'!$B$19:$B$24,0),4)/INDEX('Preise Output'!$B$19:$E$24,MATCH(Preisvergleich!$C$6,'Preise Output'!$B$19:$B$24,0),3),"--")</f>
        <v>2200</v>
      </c>
    </row>
    <row r="9" spans="2:11" x14ac:dyDescent="0.35">
      <c r="B9" s="109" t="s">
        <v>56</v>
      </c>
      <c r="C9" s="223"/>
    </row>
    <row r="11" spans="2:11" ht="15" thickBot="1" x14ac:dyDescent="0.4">
      <c r="B11" s="106" t="s">
        <v>255</v>
      </c>
      <c r="C11" s="237">
        <f>C12</f>
        <v>101757.63182238668</v>
      </c>
    </row>
    <row r="12" spans="2:11" x14ac:dyDescent="0.35">
      <c r="B12" s="209" t="s">
        <v>285</v>
      </c>
      <c r="C12" s="238">
        <f>F13+F14</f>
        <v>101757.63182238668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0%</v>
      </c>
      <c r="C13" s="239">
        <f>E13*F13</f>
        <v>0</v>
      </c>
      <c r="E13" s="219"/>
      <c r="F13" s="104">
        <v>0</v>
      </c>
    </row>
    <row r="14" spans="2:11" ht="15" thickBot="1" x14ac:dyDescent="0.4">
      <c r="B14" s="99" t="str">
        <f>"Mehrwertsteuer " &amp; TEXT(E14,"0%")</f>
        <v>Mehrwertsteuer 8%</v>
      </c>
      <c r="C14" s="240">
        <f>F14*E14</f>
        <v>8242.3681776133217</v>
      </c>
      <c r="E14" s="231">
        <v>8.1000000000000003E-2</v>
      </c>
      <c r="F14" s="161">
        <f>(F18-F13*(1+E13))/(1+E14)</f>
        <v>101757.63182238668</v>
      </c>
    </row>
    <row r="15" spans="2:11" hidden="1" x14ac:dyDescent="0.35">
      <c r="B15" s="105" t="s">
        <v>61</v>
      </c>
      <c r="C15" s="241"/>
      <c r="K15" s="161"/>
    </row>
    <row r="16" spans="2:11" hidden="1" x14ac:dyDescent="0.35">
      <c r="B16" s="98" t="s">
        <v>179</v>
      </c>
      <c r="C16" s="242"/>
      <c r="D16" s="161"/>
    </row>
    <row r="17" spans="2:8" ht="15" hidden="1" thickBot="1" x14ac:dyDescent="0.4">
      <c r="B17" s="99" t="s">
        <v>62</v>
      </c>
      <c r="C17" s="243"/>
      <c r="D17" s="97" t="s">
        <v>184</v>
      </c>
    </row>
    <row r="18" spans="2:8" x14ac:dyDescent="0.35">
      <c r="B18" s="100" t="s">
        <v>180</v>
      </c>
      <c r="C18" s="244">
        <f>SUM(C12:C14)</f>
        <v>110000</v>
      </c>
      <c r="F18" s="97">
        <f>'Preise Output'!G26</f>
        <v>110000</v>
      </c>
    </row>
    <row r="19" spans="2:8" x14ac:dyDescent="0.35">
      <c r="C19" s="242"/>
    </row>
    <row r="20" spans="2:8" x14ac:dyDescent="0.35">
      <c r="C20" s="242"/>
    </row>
    <row r="21" spans="2:8" x14ac:dyDescent="0.35">
      <c r="B21" s="109" t="s">
        <v>63</v>
      </c>
      <c r="C21" s="245"/>
    </row>
    <row r="22" spans="2:8" ht="6.75" customHeight="1" x14ac:dyDescent="0.35">
      <c r="C22" s="242"/>
    </row>
    <row r="23" spans="2:8" x14ac:dyDescent="0.35">
      <c r="B23" s="101" t="s">
        <v>258</v>
      </c>
      <c r="C23" s="242"/>
    </row>
    <row r="24" spans="2:8" x14ac:dyDescent="0.35">
      <c r="B24" s="107" t="str">
        <f>C7&amp;" "&amp;"Gutscheine"&amp;" "&amp;"x"&amp;" "&amp;ROUND('Preise Output'!F7,2)&amp;"CHF"&amp;" "&amp;"je"&amp;" "&amp;"Gutschein"</f>
        <v>2200 Gutscheine x 50CHF je Gutschein</v>
      </c>
      <c r="C24" s="246">
        <f>IFERROR(C7*'Preise Output'!$F$7,"--")</f>
        <v>110000</v>
      </c>
    </row>
    <row r="25" spans="2:8" x14ac:dyDescent="0.35">
      <c r="B25" s="97" t="str">
        <f>"Das enspricht "&amp;TEXT('Preise Output'!E26/('Preise Output'!C10),"0,0%") &amp; " des Leerstands p.a."</f>
        <v>Das enspricht 26,6% des Leerstands p.a.</v>
      </c>
      <c r="C25" s="239"/>
      <c r="E25" s="97" t="s">
        <v>286</v>
      </c>
      <c r="F25" s="97" t="s">
        <v>287</v>
      </c>
    </row>
    <row r="26" spans="2:8" x14ac:dyDescent="0.35">
      <c r="B26" s="98" t="s">
        <v>296</v>
      </c>
      <c r="C26" s="242">
        <f>IFERROR(F26*E26,"--")</f>
        <v>4180</v>
      </c>
      <c r="E26" s="231">
        <v>3.7999999999999999E-2</v>
      </c>
      <c r="F26" s="161">
        <f>C24-F27</f>
        <v>110000</v>
      </c>
    </row>
    <row r="27" spans="2:8" ht="15" thickBot="1" x14ac:dyDescent="0.4">
      <c r="B27" s="99" t="str">
        <f>"Mehrwertsteuer " &amp; TEXT(E27,"0%")</f>
        <v>Mehrwertsteuer 0%</v>
      </c>
      <c r="C27" s="242">
        <f>IFERROR(F27*E27,"--")</f>
        <v>0</v>
      </c>
      <c r="E27" s="231"/>
      <c r="F27" s="161">
        <f>G27*C7</f>
        <v>0</v>
      </c>
      <c r="G27" s="104"/>
      <c r="H27" s="97" t="s">
        <v>292</v>
      </c>
    </row>
    <row r="28" spans="2:8" x14ac:dyDescent="0.35">
      <c r="C28" s="242"/>
    </row>
    <row r="29" spans="2:8" x14ac:dyDescent="0.35">
      <c r="C29" s="242"/>
    </row>
    <row r="30" spans="2:8" x14ac:dyDescent="0.35">
      <c r="B30" s="96" t="s">
        <v>64</v>
      </c>
      <c r="C30" s="242"/>
    </row>
    <row r="31" spans="2:8" x14ac:dyDescent="0.35">
      <c r="B31" s="107" t="str">
        <f>C4&amp;"CHF"&amp;" "&amp;"je"&amp;" "&amp;"Gutschein"&amp;" "&amp;"x"&amp;" "&amp;C7&amp;" "&amp;"Roomnights"</f>
        <v>23,5575CHF je Gutschein x 2200 Roomnights</v>
      </c>
      <c r="C31" s="246">
        <f>C7*C4</f>
        <v>51826.499999999993</v>
      </c>
    </row>
    <row r="32" spans="2:8" x14ac:dyDescent="0.35">
      <c r="B32" s="108" t="s">
        <v>293</v>
      </c>
      <c r="C32" s="237">
        <f>C26+C27</f>
        <v>4180</v>
      </c>
    </row>
    <row r="33" spans="2:3" ht="15" thickBot="1" x14ac:dyDescent="0.4">
      <c r="B33" s="115" t="s">
        <v>288</v>
      </c>
      <c r="C33" s="247">
        <f>-(C13+C14)</f>
        <v>-8242.3681776133217</v>
      </c>
    </row>
    <row r="34" spans="2:3" x14ac:dyDescent="0.35">
      <c r="B34" s="96" t="s">
        <v>271</v>
      </c>
      <c r="C34" s="244">
        <f>SUM(C31:C33)</f>
        <v>47764.131822386669</v>
      </c>
    </row>
    <row r="35" spans="2:3" x14ac:dyDescent="0.35">
      <c r="C35" s="242"/>
    </row>
    <row r="36" spans="2:3" x14ac:dyDescent="0.35">
      <c r="B36" s="102" t="s">
        <v>65</v>
      </c>
      <c r="C36" s="248">
        <f>C12-C34</f>
        <v>53993.500000000015</v>
      </c>
    </row>
    <row r="37" spans="2:3" x14ac:dyDescent="0.35">
      <c r="B37" s="97" t="s">
        <v>289</v>
      </c>
      <c r="C37" s="249">
        <f>C36/C12</f>
        <v>0.53060885000000013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92436.97478991597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92436.97478991597</v>
      </c>
      <c r="R16" s="35">
        <f t="shared" si="4"/>
        <v>30812.32492997199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92436.97478991597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93876.97478991597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3320312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77000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77000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77000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77000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F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G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H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I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J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K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L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M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N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R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S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T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U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V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W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X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Y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Z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D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E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F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G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H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I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J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K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L7" s="129">
        <f>IF($B$6=100%,(('Preise Output'!$F$10-INDEX(Annahmen!$B$18:$C$22,MATCH('Preise Output'!$C$7,Annahmen!$B$18:$B$22,0),2))*'Preise Output'!$E$26)/10,('Preise Output'!$E$26*'Preise Output'!$F$10-$D$6)/10)</f>
        <v>6504.3478260869588</v>
      </c>
      <c r="AM7" s="130"/>
      <c r="AN7" s="130">
        <f t="shared" ref="AN7:AN43" si="0">SUM(D7:AM7)</f>
        <v>195130.43478260865</v>
      </c>
      <c r="AQ7" s="130">
        <f t="shared" ref="AQ7:AQ45" si="1">SUM(D7:F7)</f>
        <v>13008.695652173918</v>
      </c>
      <c r="AR7" s="130">
        <f t="shared" ref="AR7:AR45" si="2">SUM(G7:I7)</f>
        <v>19513.043478260875</v>
      </c>
      <c r="AS7" s="130">
        <f t="shared" ref="AS7:AS45" si="3">SUM(J7:L7)</f>
        <v>19513.043478260875</v>
      </c>
      <c r="AT7" s="130">
        <f t="shared" ref="AT7:AT45" si="4">SUM(M7:O7)</f>
        <v>13008.695652173918</v>
      </c>
      <c r="AU7" s="130">
        <f t="shared" ref="AU7:AU45" si="5">SUM(P7:R7)</f>
        <v>13008.695652173918</v>
      </c>
      <c r="AV7" s="130">
        <f t="shared" ref="AV7:AV45" si="6">SUM(S7:U7)</f>
        <v>19513.043478260875</v>
      </c>
      <c r="AW7" s="130">
        <f t="shared" ref="AW7:AW45" si="7">SUM(V7:X7)</f>
        <v>19513.043478260875</v>
      </c>
      <c r="AX7" s="130">
        <f t="shared" ref="AX7:AX45" si="8">SUM(Y7:AA7)</f>
        <v>13008.695652173918</v>
      </c>
      <c r="AY7" s="130">
        <f t="shared" ref="AY7:AY45" si="9">SUM(AB7:AD7)</f>
        <v>13008.695652173918</v>
      </c>
      <c r="AZ7" s="130">
        <f t="shared" ref="AZ7:AZ45" si="10">SUM(AE7:AG7)</f>
        <v>19513.043478260875</v>
      </c>
      <c r="BA7" s="130">
        <f t="shared" ref="BA7:BA45" si="11">SUM(AH7:AJ7)</f>
        <v>19513.043478260875</v>
      </c>
      <c r="BB7" s="130">
        <f t="shared" ref="BB7:BB45" si="12">SUM(AK7:AM7)</f>
        <v>13008.695652173918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-110000</v>
      </c>
      <c r="AQ42" s="134">
        <f t="shared" si="1"/>
        <v>-110000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156247.82608695657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4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4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4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C962EE-D597-4662-A008-D4B3428022D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2025-04-25T14:26:34Z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