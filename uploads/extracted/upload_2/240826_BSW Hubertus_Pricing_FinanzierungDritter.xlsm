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SW Hotels/BSW-Hotel Hubertus-Park/"/>
    </mc:Choice>
  </mc:AlternateContent>
  <xr:revisionPtr revIDLastSave="39" documentId="8_{207F9823-9F7A-439A-86BD-E629EE244269}" xr6:coauthVersionLast="47" xr6:coauthVersionMax="47" xr10:uidLastSave="{55D35CCD-C600-4B8D-B3AF-AA3AD6B602A4}"/>
  <bookViews>
    <workbookView xWindow="-120" yWindow="-12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7" i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<sst xmlns="http://schemas.openxmlformats.org/spreadsheetml/2006/main" count="510" uniqueCount="297">
  <si>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</si>
  <si>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</si>
  <si>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</si>
  <si>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</si>
  <si>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</si>
  <si>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</si>
  <si>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</si>
  <si>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</si>
  <si>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</si>
  <si>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</si>
  <si>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</si>
  <si>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</si>
  <si>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</si>
  <si>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</si>
  <si>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</si>
  <si>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</si>
  <si>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</si>
  <si>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</si>
  <si>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</si>
  <si>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</si>
  <si>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</si>
  <si>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</si>
  <si>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</si>
  <si>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</si>
  <si>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</si>
  <si>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</si>
  <si>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</si>
  <si>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</si>
  <si>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</si>
  <si>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</si>
  <si>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</si>
  <si>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</si>
  <si>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</si>
  <si>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</si>
  <si>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</si>
  <si>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</si>
  <si>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</si>
  <si>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</si>
  <si>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</si>
  <si>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</si>
  <si>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</si>
  <si>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</si>
  <si>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</si>
  <si>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</si>
  <si>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</si>
  <si>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</si>
  <si>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</si>
  <si>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</si>
  <si>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</si>
  <si>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</si>
  <si>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</si>
  <si>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</si>
  <si>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</si>
  <si>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</si>
  <si>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</si>
  <si>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</si>
  <si>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</si>
  <si>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</si>
  <si>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</si>
  <si>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</si>
  <si>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</si>
  <si>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</si>
  <si>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</si>
  <si>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</si>
  <si>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</si>
  <si>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</si>
  <si>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</si>
  <si>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</si>
  <si>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</si>
  <si>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</si>
  <si>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</si>
  <si>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</si>
  <si>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</si>
  <si>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</si>
  <si>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</si>
  <si>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</si>
  <si>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</si>
  <si>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</si>
  <si>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</si>
  <si>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</si>
  <si>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</si>
  <si>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</si>
  <si>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</si>
  <si>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</si>
  <si>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</si>
  <si>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</si>
  <si>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</si>
  <si>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</si>
  <si>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</si>
  <si>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</si>
  <si>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</si>
  <si>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</si>
  <si>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</si>
  <si>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</si>
  <si>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</si>
  <si>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</si>
  <si>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</si>
  <si>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</si>
  <si>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</si>
  <si>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</si>
  <si>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</si>
  <si>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</si>
  <si>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</si>
  <si>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</si>
  <si>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</si>
  <si>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</si>
  <si>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</si>
  <si>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</si>
  <si>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</si>
  <si>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</si>
  <si>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</si>
  <si>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</si>
  <si>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</si>
  <si>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</si>
  <si>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</si>
  <si>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</si>
  <si>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</si>
  <si>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</si>
  <si>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</si>
  <si>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</si>
  <si>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</si>
  <si>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</si>
  <si>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</si>
  <si>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</si>
  <si>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</si>
  <si>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</si>
  <si>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</si>
  <si>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</si>
  <si>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</si>
  <si>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</si>
  <si>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</si>
  <si>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</si>
  <si>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</si>
  <si>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</si>
  <si>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</si>
  <si>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</si>
  <si>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</si>
  <si>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</si>
  <si>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</si>
  <si>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</si>
  <si>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</si>
  <si>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</si>
  <si>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</si>
  <si>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</si>
  <si>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</si>
  <si>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</si>
  <si>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</si>
  <si>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</si>
  <si>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</si>
  <si>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</si>
  <si>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</si>
  <si>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</si>
  <si>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</si>
  <si>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</si>
  <si>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</si>
  <si>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</si>
  <si>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</si>
  <si>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</si>
  <si>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</si>
  <si>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</si>
  <si>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</si>
  <si>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</si>
  <si>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</si>
  <si>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</si>
  <si>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</si>
  <si>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</si>
  <si>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</si>
  <si>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</si>
  <si>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</si>
  <si>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</si>
  <si>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</si>
  <si>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</si>
  <si>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</si>
  <si>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</si>
  <si>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</si>
  <si>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</si>
  <si>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</si>
  <si>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</si>
  <si>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</si>
  <si>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</si>
  <si>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</si>
  <si>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</si>
  <si>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</si>
  <si>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</si>
  <si>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</si>
  <si>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</si>
  <si>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</si>
  <si>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</si>
  <si>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</si>
  <si>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</si>
  <si>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</si>
  <si>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</si>
  <si>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</si>
  <si>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</si>
  <si>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</si>
  <si>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</si>
  <si>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</si>
  <si>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</si>
  <si>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</si>
  <si>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</si>
  <si>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</si>
  <si>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</si>
  <si>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</si>
  <si>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</si>
  <si>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</si>
  <si>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</si>
  <si>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</si>
  <si>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</si>
  <si>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</si>
  <si>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</si>
  <si>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</si>
  <si>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</si>
  <si>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</si>
  <si>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</si>
  <si>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</si>
  <si>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</si>
  <si>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</si>
  <si>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</si>
  <si>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</si>
  <si>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</si>
  <si>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</si>
  <si>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</si>
  <si>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</si>
  <si>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</si>
  <si>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</si>
  <si>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</si>
  <si>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</si>
  <si>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</si>
  <si>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</si>
  <si>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</si>
  <si>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</si>
  <si>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</si>
  <si>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</si>
  <si>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</si>
  <si>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</si>
  <si>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</si>
  <si>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</si>
  <si>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</si>
  <si>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</si>
  <si>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</si>
  <si>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</si>
  <si>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</si>
  <si>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</si>
  <si>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</si>
  <si>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</si>
  <si>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</si>
  <si>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</si>
  <si>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</si>
  <si>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</si>
  <si>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</si>
  <si>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</si>
  <si>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</si>
  <si>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</si>
  <si>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</si>
  <si>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</si>
  <si>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</si>
  <si>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</si>
  <si>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</si>
  <si>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</si>
  <si>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</si>
  <si>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</si>
  <si>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</si>
  <si>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</si>
  <si>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</si>
  <si>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</si>
  <si>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</si>
  <si>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</si>
  <si>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</si>
  <si>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</si>
  <si>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</si>
  <si>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</si>
  <si>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</si>
  <si>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</si>
  <si>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</si>
  <si>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</si>
  <si>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</si>
  <si>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</si>
  <si>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</si>
  <si>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</si>
  <si>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</si>
  <si>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</si>
  <si>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</si>
  <si>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</si>
  <si>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</si>
  <si>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</si>
  <si>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</si>
  <si>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</si>
  <si>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</si>
  <si>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</si>
  <si>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</si>
  <si>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</si>
  <si>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</si>
  <si>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</si>
  <si>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</si>
  <si>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</si>
  <si>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</si>
  <si>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BSW-Hotel Hubertus-Park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</si>
</sst>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45530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92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10074.000000000002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140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6,6%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25" sqref="C25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35">
      <c r="B25" s="97" t="str">
        <f>"Das enspricht "&amp;TEXT('Preise Output'!E26/('Preise Output'!C10),"0,0%") &amp; " des Leerstands p.a."</f>
        <v>Das enspricht 6,6%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667 Roomnights</v>
      </c>
      <c r="C31" s="237">
        <f>C7*C4</f>
        <v>13340</v>
      </c>
    </row>
    <row r="32" spans="2:8" x14ac:dyDescent="0.35">
      <c r="B32" s="108" t="s">
        <v>293</v>
      </c>
      <c r="C32" s="229">
        <f>C26+C27</f>
        <v>1800.9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11947.62268907563</v>
      </c>
    </row>
    <row r="36" spans="2:3" x14ac:dyDescent="0.35">
      <c r="B36" s="102" t="s">
        <v>65</v>
      </c>
      <c r="C36" s="239">
        <f>C12-C34</f>
        <v>4859.1000000000022</v>
      </c>
    </row>
    <row r="37" spans="2:3" x14ac:dyDescent="0.35">
      <c r="B37" s="97" t="s">
        <v>289</v>
      </c>
      <c r="C37" s="240">
        <f>C36/C12</f>
        <v>0.28911645000000008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1B7D5404-48E8-4F06-9044-034472FD91F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2024-08-26T15:21:17Z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