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YMR/BW/"/>
    </mc:Choice>
  </mc:AlternateContent>
  <xr:revisionPtr revIDLastSave="7" documentId="8_{4F108BEF-A600-4586-956A-F04068A41C2D}" xr6:coauthVersionLast="47" xr6:coauthVersionMax="47" xr10:uidLastSave="{200C609D-1BAF-43DA-8CC8-3FBEFC6E3754}"/>
  <bookViews>
    <workbookView xWindow="-110" yWindow="-110" windowWidth="19420" windowHeight="10300" xr2:uid="{00000000-000D-0000-FFFF-FFFF00000000}"/>
  </bookViews>
  <sheets>
    <sheet name="Preise Output" sheetId="1" r:id="rId1"/>
    <sheet name="Preisvergleich" sheetId="8" r:id="rId2"/>
    <sheet name="Produktpreise" sheetId="4" r:id="rId3"/>
    <sheet name="Versionsverlauf" sheetId="11" r:id="rId4"/>
    <sheet name="Cash Flow" sheetId="9" state="hidden" r:id="rId5"/>
    <sheet name="Kosten" sheetId="10" state="hidden" r:id="rId6"/>
    <sheet name="Annahmen" sheetId="2" r:id="rId7"/>
  </sheets>
  <definedNames>
    <definedName name="_xlnm._FilterDatabase" localSheetId="5" hidden="1">Kosten!$B$4:$N$25</definedName>
    <definedName name="_xlnm._FilterDatabase" localSheetId="0" hidden="1">'Preise Output'!$B$16:$L$39</definedName>
    <definedName name="_xlnm._FilterDatabase" localSheetId="1" hidden="1">Preisvergleich!$B$6:$C$7</definedName>
    <definedName name="_xlnm._FilterDatabase" localSheetId="2" hidden="1">Produktpreise!$B$4:$S$25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4" l="1"/>
  <c r="H25" i="4"/>
  <c r="H24" i="4"/>
  <c r="H23" i="4"/>
  <c r="G21" i="4"/>
  <c r="Q21" i="4" s="1"/>
  <c r="R21" i="4" s="1"/>
  <c r="G20" i="4"/>
  <c r="D33" i="1"/>
  <c r="D34" i="1"/>
  <c r="M53" i="4"/>
  <c r="M51" i="4"/>
  <c r="M52" i="4"/>
  <c r="M50" i="4"/>
  <c r="G48" i="4"/>
  <c r="G47" i="4"/>
  <c r="I51" i="4"/>
  <c r="G49" i="4"/>
  <c r="G53" i="4"/>
  <c r="G52" i="4"/>
  <c r="G51" i="4"/>
  <c r="G50" i="4"/>
  <c r="G23" i="4"/>
  <c r="G26" i="4"/>
  <c r="G25" i="4"/>
  <c r="G24" i="4"/>
  <c r="G22" i="4"/>
  <c r="M26" i="4"/>
  <c r="M24" i="4"/>
  <c r="M25" i="4"/>
  <c r="M23" i="4"/>
  <c r="I25" i="4"/>
  <c r="Q38" i="4"/>
  <c r="Q26" i="4" l="1"/>
  <c r="Q23" i="4"/>
  <c r="Q20" i="4"/>
  <c r="Q24" i="4"/>
  <c r="Q47" i="4"/>
  <c r="R47" i="4" s="1"/>
  <c r="Q25" i="4"/>
  <c r="G10" i="4"/>
  <c r="R46" i="4" l="1"/>
  <c r="R45" i="4"/>
  <c r="R33" i="4"/>
  <c r="Q46" i="4"/>
  <c r="Q45" i="4"/>
  <c r="N46" i="4"/>
  <c r="N45" i="4"/>
  <c r="J46" i="4"/>
  <c r="J45" i="4"/>
  <c r="F31" i="1"/>
  <c r="F32" i="1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G44" i="4"/>
  <c r="Q22" i="4"/>
  <c r="R22" i="4" s="1"/>
  <c r="H52" i="4"/>
  <c r="Q52" i="4" s="1"/>
  <c r="R52" i="4" s="1"/>
  <c r="H51" i="4"/>
  <c r="Q51" i="4" s="1"/>
  <c r="R51" i="4" s="1"/>
  <c r="I26" i="4"/>
  <c r="I52" i="4"/>
  <c r="K53" i="4"/>
  <c r="K52" i="4"/>
  <c r="H53" i="4"/>
  <c r="Q53" i="4" s="1"/>
  <c r="R53" i="4" s="1"/>
  <c r="H50" i="4"/>
  <c r="Q50" i="4" s="1"/>
  <c r="R50" i="4" s="1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M41" i="4" l="1"/>
  <c r="M40" i="4"/>
  <c r="I41" i="4"/>
  <c r="I40" i="4"/>
  <c r="H41" i="4"/>
  <c r="H40" i="4"/>
  <c r="G41" i="4"/>
  <c r="G40" i="4"/>
  <c r="N51" i="4"/>
  <c r="O51" i="4"/>
  <c r="O50" i="4"/>
  <c r="N50" i="4"/>
  <c r="K51" i="4"/>
  <c r="K50" i="4"/>
  <c r="I50" i="4"/>
  <c r="C17" i="8"/>
  <c r="C13" i="8"/>
  <c r="C15" i="8"/>
  <c r="J34" i="4"/>
  <c r="J35" i="4"/>
  <c r="J36" i="4"/>
  <c r="J37" i="4"/>
  <c r="J33" i="4"/>
  <c r="F6" i="1"/>
  <c r="Q5" i="4"/>
  <c r="F10" i="1" l="1"/>
  <c r="Q36" i="4"/>
  <c r="R36" i="4" s="1"/>
  <c r="I8" i="4"/>
  <c r="J8" i="4"/>
  <c r="G8" i="4"/>
  <c r="C12" i="8"/>
  <c r="G11" i="4"/>
  <c r="G9" i="4"/>
  <c r="D9" i="10" l="1"/>
  <c r="D8" i="10"/>
  <c r="F8" i="10" s="1"/>
  <c r="L8" i="10" l="1"/>
  <c r="I8" i="10"/>
  <c r="N8" i="10"/>
  <c r="M8" i="10"/>
  <c r="N9" i="10"/>
  <c r="F9" i="10"/>
  <c r="G9" i="10"/>
  <c r="H9" i="10"/>
  <c r="L9" i="10"/>
  <c r="M9" i="10"/>
  <c r="J8" i="10"/>
  <c r="H8" i="10"/>
  <c r="G8" i="10"/>
  <c r="I12" i="4"/>
  <c r="I13" i="4" s="1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F27" i="1"/>
  <c r="R14" i="4"/>
  <c r="J42" i="4"/>
  <c r="N42" i="4"/>
  <c r="G42" i="4"/>
  <c r="Q14" i="10" l="1"/>
  <c r="R14" i="10"/>
  <c r="G27" i="1"/>
  <c r="M27" i="1" s="1"/>
  <c r="H13" i="4" l="1"/>
  <c r="H12" i="4"/>
  <c r="F26" i="1"/>
  <c r="F25" i="1"/>
  <c r="F13" i="10"/>
  <c r="F12" i="10"/>
  <c r="L12" i="4"/>
  <c r="M13" i="4"/>
  <c r="L13" i="4"/>
  <c r="M12" i="4"/>
  <c r="Q12" i="4" l="1"/>
  <c r="G25" i="1" s="1"/>
  <c r="M25" i="1" s="1"/>
  <c r="C16" i="8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G26" i="1" l="1"/>
  <c r="M26" i="1" s="1"/>
  <c r="Q40" i="4"/>
  <c r="R40" i="4" s="1"/>
  <c r="R12" i="4"/>
  <c r="Q41" i="4"/>
  <c r="R41" i="4" s="1"/>
  <c r="R12" i="10"/>
  <c r="R13" i="10"/>
  <c r="Q37" i="4" l="1"/>
  <c r="R37" i="4" s="1"/>
  <c r="F22" i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G22" i="1"/>
  <c r="M22" i="1" s="1"/>
  <c r="I44" i="4"/>
  <c r="N44" i="4"/>
  <c r="F20" i="10"/>
  <c r="Q16" i="4"/>
  <c r="F5" i="1"/>
  <c r="F21" i="1"/>
  <c r="G43" i="4" l="1"/>
  <c r="Q44" i="4"/>
  <c r="F20" i="1"/>
  <c r="F15" i="4" l="1"/>
  <c r="Q15" i="4" l="1"/>
  <c r="E15" i="10"/>
  <c r="D27" i="9" s="1"/>
  <c r="AN27" i="9" s="1"/>
  <c r="D14" i="9"/>
  <c r="R8" i="4" l="1"/>
  <c r="G21" i="1" l="1"/>
  <c r="M21" i="1" s="1"/>
  <c r="AL18" i="9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16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L18" i="10" l="1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P43" i="4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R16" i="4"/>
  <c r="AN38" i="9" l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C18" i="8"/>
  <c r="C14" i="8"/>
  <c r="C11" i="8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C19" i="8"/>
  <c r="C20" i="8" s="1"/>
  <c r="C21" i="8" l="1"/>
  <c r="AX23" i="9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G28" i="1"/>
  <c r="M28" i="1" s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41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G18" i="1"/>
  <c r="G19" i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G8" i="1"/>
  <c r="E32" i="1" l="1"/>
  <c r="E31" i="1"/>
  <c r="AN33" i="9"/>
  <c r="G30" i="1" l="1"/>
  <c r="G24" i="1"/>
  <c r="G34" i="1"/>
  <c r="G39" i="1"/>
  <c r="G32" i="1"/>
  <c r="G23" i="1"/>
  <c r="G38" i="1"/>
  <c r="G31" i="1"/>
  <c r="G33" i="1"/>
  <c r="G35" i="1"/>
  <c r="G36" i="1"/>
  <c r="G37" i="1"/>
  <c r="F39" i="1" l="1"/>
  <c r="G20" i="1" l="1"/>
  <c r="F23" i="1"/>
  <c r="F24" i="1"/>
  <c r="F30" i="1"/>
  <c r="F33" i="1"/>
  <c r="F34" i="1"/>
  <c r="F35" i="1"/>
  <c r="F36" i="1"/>
  <c r="F37" i="1"/>
  <c r="F38" i="1"/>
  <c r="R10" i="4"/>
  <c r="R11" i="4"/>
  <c r="R17" i="4"/>
  <c r="R7" i="4" l="1"/>
  <c r="R5" i="4"/>
  <c r="R6" i="4"/>
  <c r="M23" i="1" l="1"/>
  <c r="M24" i="1"/>
  <c r="M39" i="1"/>
  <c r="F19" i="1"/>
  <c r="F18" i="1"/>
  <c r="F41" i="1" l="1"/>
  <c r="M34" i="1" l="1"/>
  <c r="M37" i="1"/>
  <c r="M33" i="1"/>
  <c r="M31" i="1"/>
  <c r="M32" i="1"/>
  <c r="M38" i="1"/>
  <c r="M35" i="1"/>
  <c r="M36" i="1"/>
  <c r="M30" i="1"/>
  <c r="R20" i="4"/>
  <c r="C11" i="1"/>
  <c r="M20" i="1" l="1"/>
  <c r="M19" i="1"/>
  <c r="M18" i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E37" i="1"/>
  <c r="H37" i="1" s="1"/>
  <c r="I37" i="1" s="1"/>
  <c r="P24" i="10" s="1"/>
  <c r="E19" i="1"/>
  <c r="H19" i="1" s="1"/>
  <c r="E36" i="1"/>
  <c r="E23" i="1"/>
  <c r="N23" i="1" s="1"/>
  <c r="E24" i="1"/>
  <c r="H24" i="1" s="1"/>
  <c r="E21" i="1"/>
  <c r="H21" i="1" s="1"/>
  <c r="E39" i="1"/>
  <c r="K39" i="1" s="1"/>
  <c r="L39" i="1" s="1"/>
  <c r="S26" i="10" s="1"/>
  <c r="E34" i="1"/>
  <c r="K34" i="1" s="1"/>
  <c r="L34" i="1" s="1"/>
  <c r="E25" i="1"/>
  <c r="K25" i="1" s="1"/>
  <c r="L25" i="1" s="1"/>
  <c r="E35" i="1"/>
  <c r="N35" i="1" s="1"/>
  <c r="E30" i="1"/>
  <c r="N30" i="1" s="1"/>
  <c r="E27" i="1"/>
  <c r="N27" i="1" s="1"/>
  <c r="E20" i="1"/>
  <c r="N20" i="1" s="1"/>
  <c r="E28" i="1"/>
  <c r="H28" i="1" s="1"/>
  <c r="E22" i="1"/>
  <c r="E26" i="1"/>
  <c r="H26" i="1" s="1"/>
  <c r="E33" i="1"/>
  <c r="N33" i="1" s="1"/>
  <c r="E38" i="1"/>
  <c r="K38" i="1" s="1"/>
  <c r="L38" i="1" s="1"/>
  <c r="S25" i="10" s="1"/>
  <c r="E29" i="1"/>
  <c r="K29" i="1" s="1"/>
  <c r="L29" i="1" s="1"/>
  <c r="E18" i="1"/>
  <c r="H18" i="1" s="1"/>
  <c r="C7" i="8" l="1"/>
  <c r="C27" i="8" s="1"/>
  <c r="U24" i="10"/>
  <c r="H38" i="1"/>
  <c r="P38" i="1" s="1"/>
  <c r="K27" i="1"/>
  <c r="L27" i="1" s="1"/>
  <c r="O27" i="1" s="1"/>
  <c r="N24" i="1"/>
  <c r="H33" i="1"/>
  <c r="I33" i="1" s="1"/>
  <c r="P20" i="10" s="1"/>
  <c r="U20" i="10" s="1"/>
  <c r="H20" i="1"/>
  <c r="I20" i="1" s="1"/>
  <c r="P7" i="10" s="1"/>
  <c r="U7" i="10" s="1"/>
  <c r="N28" i="1"/>
  <c r="H27" i="1"/>
  <c r="J27" i="1" s="1"/>
  <c r="H34" i="1"/>
  <c r="J34" i="1" s="1"/>
  <c r="N37" i="1"/>
  <c r="H30" i="1"/>
  <c r="K30" i="1"/>
  <c r="L30" i="1" s="1"/>
  <c r="S17" i="10" s="1"/>
  <c r="N19" i="1"/>
  <c r="H39" i="1"/>
  <c r="P39" i="1" s="1"/>
  <c r="S16" i="10"/>
  <c r="S21" i="10"/>
  <c r="K18" i="1"/>
  <c r="H32" i="1"/>
  <c r="N32" i="1"/>
  <c r="K32" i="1"/>
  <c r="L32" i="1" s="1"/>
  <c r="K36" i="1"/>
  <c r="L36" i="1" s="1"/>
  <c r="H36" i="1"/>
  <c r="J28" i="1"/>
  <c r="I28" i="1"/>
  <c r="P15" i="10" s="1"/>
  <c r="U15" i="10" s="1"/>
  <c r="S12" i="10"/>
  <c r="N36" i="1"/>
  <c r="J26" i="1"/>
  <c r="I26" i="1"/>
  <c r="P13" i="10" s="1"/>
  <c r="U13" i="10" s="1"/>
  <c r="I24" i="1"/>
  <c r="P11" i="10" s="1"/>
  <c r="U11" i="10" s="1"/>
  <c r="J19" i="1"/>
  <c r="I19" i="1"/>
  <c r="P6" i="10" s="1"/>
  <c r="U6" i="10" s="1"/>
  <c r="N29" i="1"/>
  <c r="J18" i="1"/>
  <c r="I18" i="1"/>
  <c r="I21" i="1"/>
  <c r="J21" i="1"/>
  <c r="E41" i="1"/>
  <c r="N31" i="1"/>
  <c r="H31" i="1"/>
  <c r="K31" i="1"/>
  <c r="L31" i="1" s="1"/>
  <c r="J24" i="1"/>
  <c r="J37" i="1"/>
  <c r="H22" i="1"/>
  <c r="N22" i="1"/>
  <c r="K22" i="1"/>
  <c r="L22" i="1" s="1"/>
  <c r="N18" i="1"/>
  <c r="K24" i="1"/>
  <c r="L24" i="1" s="1"/>
  <c r="K21" i="1"/>
  <c r="L21" i="1" s="1"/>
  <c r="P21" i="1" s="1"/>
  <c r="K28" i="1"/>
  <c r="L28" i="1" s="1"/>
  <c r="K19" i="1"/>
  <c r="L19" i="1" s="1"/>
  <c r="P19" i="1" s="1"/>
  <c r="N26" i="1"/>
  <c r="N25" i="1"/>
  <c r="O25" i="1" s="1"/>
  <c r="N39" i="1"/>
  <c r="O39" i="1" s="1"/>
  <c r="K33" i="1"/>
  <c r="L33" i="1" s="1"/>
  <c r="K26" i="1"/>
  <c r="L26" i="1" s="1"/>
  <c r="P26" i="1" s="1"/>
  <c r="N38" i="1"/>
  <c r="O38" i="1" s="1"/>
  <c r="N34" i="1"/>
  <c r="O34" i="1" s="1"/>
  <c r="N21" i="1"/>
  <c r="K20" i="1"/>
  <c r="L20" i="1" s="1"/>
  <c r="H35" i="1"/>
  <c r="K35" i="1"/>
  <c r="L35" i="1" s="1"/>
  <c r="H25" i="1"/>
  <c r="H23" i="1"/>
  <c r="K37" i="1"/>
  <c r="L37" i="1" s="1"/>
  <c r="Q37" i="1" s="1"/>
  <c r="R37" i="1" s="1"/>
  <c r="K23" i="1"/>
  <c r="L23" i="1" s="1"/>
  <c r="D6" i="8" l="1"/>
  <c r="C36" i="8"/>
  <c r="B36" i="8"/>
  <c r="B27" i="8"/>
  <c r="S14" i="10"/>
  <c r="P33" i="1"/>
  <c r="J33" i="1"/>
  <c r="J20" i="1"/>
  <c r="P30" i="1"/>
  <c r="P27" i="1"/>
  <c r="J39" i="1"/>
  <c r="J38" i="1"/>
  <c r="I39" i="1"/>
  <c r="P26" i="10" s="1"/>
  <c r="U26" i="10" s="1"/>
  <c r="I27" i="1"/>
  <c r="P14" i="10" s="1"/>
  <c r="U14" i="10" s="1"/>
  <c r="I38" i="1"/>
  <c r="P25" i="10" s="1"/>
  <c r="U25" i="10" s="1"/>
  <c r="I34" i="1"/>
  <c r="P21" i="10" s="1"/>
  <c r="U21" i="10" s="1"/>
  <c r="P34" i="1"/>
  <c r="P20" i="1"/>
  <c r="Q28" i="1"/>
  <c r="R28" i="1" s="1"/>
  <c r="O30" i="1"/>
  <c r="J30" i="1"/>
  <c r="I30" i="1"/>
  <c r="P17" i="10" s="1"/>
  <c r="U17" i="10" s="1"/>
  <c r="Q33" i="1"/>
  <c r="R33" i="1" s="1"/>
  <c r="Q20" i="1"/>
  <c r="R20" i="1" s="1"/>
  <c r="N41" i="1"/>
  <c r="Q21" i="1"/>
  <c r="R21" i="1" s="1"/>
  <c r="O24" i="1"/>
  <c r="S11" i="10"/>
  <c r="C28" i="8"/>
  <c r="C37" i="8" s="1"/>
  <c r="C31" i="8"/>
  <c r="C32" i="8" s="1"/>
  <c r="C38" i="8" s="1"/>
  <c r="I36" i="1"/>
  <c r="P23" i="10" s="1"/>
  <c r="U23" i="10" s="1"/>
  <c r="P36" i="1"/>
  <c r="J36" i="1"/>
  <c r="O35" i="1"/>
  <c r="S22" i="10"/>
  <c r="I35" i="1"/>
  <c r="P22" i="10" s="1"/>
  <c r="U22" i="10" s="1"/>
  <c r="P35" i="1"/>
  <c r="J35" i="1"/>
  <c r="I22" i="1"/>
  <c r="P9" i="10" s="1"/>
  <c r="U9" i="10" s="1"/>
  <c r="P22" i="1"/>
  <c r="J22" i="1"/>
  <c r="L7" i="9"/>
  <c r="AI7" i="9"/>
  <c r="X7" i="9"/>
  <c r="Z7" i="9"/>
  <c r="AE7" i="9"/>
  <c r="AJ7" i="9"/>
  <c r="Q7" i="9"/>
  <c r="AL7" i="9"/>
  <c r="F7" i="9"/>
  <c r="H7" i="9"/>
  <c r="T7" i="9"/>
  <c r="AC7" i="9"/>
  <c r="I7" i="9"/>
  <c r="N7" i="9"/>
  <c r="AG7" i="9"/>
  <c r="AF7" i="9"/>
  <c r="G7" i="9"/>
  <c r="R7" i="9"/>
  <c r="P6" i="9"/>
  <c r="D6" i="9"/>
  <c r="U7" i="9"/>
  <c r="AK7" i="9"/>
  <c r="M7" i="9"/>
  <c r="AB6" i="9"/>
  <c r="E7" i="9"/>
  <c r="V7" i="9"/>
  <c r="K7" i="9"/>
  <c r="AD7" i="9"/>
  <c r="AH7" i="9"/>
  <c r="S7" i="9"/>
  <c r="Y7" i="9"/>
  <c r="W7" i="9"/>
  <c r="J7" i="9"/>
  <c r="Q26" i="1"/>
  <c r="R26" i="1" s="1"/>
  <c r="L18" i="1"/>
  <c r="K41" i="1"/>
  <c r="O19" i="1"/>
  <c r="S6" i="10"/>
  <c r="Q19" i="1"/>
  <c r="R19" i="1" s="1"/>
  <c r="S19" i="10"/>
  <c r="O32" i="1"/>
  <c r="I25" i="1"/>
  <c r="P12" i="10" s="1"/>
  <c r="U12" i="10" s="1"/>
  <c r="J25" i="1"/>
  <c r="P25" i="1"/>
  <c r="O22" i="1"/>
  <c r="S9" i="10"/>
  <c r="P5" i="10"/>
  <c r="O26" i="1"/>
  <c r="S13" i="10"/>
  <c r="O31" i="1"/>
  <c r="S18" i="10"/>
  <c r="P24" i="1"/>
  <c r="S20" i="10"/>
  <c r="O33" i="1"/>
  <c r="J31" i="1"/>
  <c r="P31" i="1"/>
  <c r="I31" i="1"/>
  <c r="P18" i="10" s="1"/>
  <c r="U18" i="10" s="1"/>
  <c r="O36" i="1"/>
  <c r="S23" i="10"/>
  <c r="S7" i="10"/>
  <c r="O20" i="1"/>
  <c r="S10" i="10"/>
  <c r="O23" i="1"/>
  <c r="O37" i="1"/>
  <c r="S24" i="10"/>
  <c r="P37" i="1"/>
  <c r="O28" i="1"/>
  <c r="S15" i="10"/>
  <c r="P23" i="1"/>
  <c r="I23" i="1"/>
  <c r="P10" i="10" s="1"/>
  <c r="U10" i="10" s="1"/>
  <c r="J23" i="1"/>
  <c r="O21" i="1"/>
  <c r="Q24" i="1"/>
  <c r="R24" i="1" s="1"/>
  <c r="P28" i="1"/>
  <c r="J32" i="1"/>
  <c r="I32" i="1"/>
  <c r="P19" i="10" s="1"/>
  <c r="U19" i="10" s="1"/>
  <c r="P32" i="1"/>
  <c r="Q27" i="1" l="1"/>
  <c r="R27" i="1" s="1"/>
  <c r="Q38" i="1"/>
  <c r="R38" i="1" s="1"/>
  <c r="Q39" i="1"/>
  <c r="R39" i="1" s="1"/>
  <c r="Q34" i="1"/>
  <c r="R34" i="1" s="1"/>
  <c r="Q22" i="1"/>
  <c r="R22" i="1" s="1"/>
  <c r="Q32" i="1"/>
  <c r="R32" i="1" s="1"/>
  <c r="C39" i="8"/>
  <c r="C41" i="8" s="1"/>
  <c r="Q36" i="1"/>
  <c r="R36" i="1" s="1"/>
  <c r="Q30" i="1"/>
  <c r="R30" i="1" s="1"/>
  <c r="AW7" i="9"/>
  <c r="AQ7" i="9"/>
  <c r="AN7" i="9"/>
  <c r="Q25" i="1"/>
  <c r="R25" i="1" s="1"/>
  <c r="AY6" i="9"/>
  <c r="AR7" i="9"/>
  <c r="Q31" i="1"/>
  <c r="R31" i="1" s="1"/>
  <c r="AX7" i="9"/>
  <c r="AT7" i="9"/>
  <c r="AU7" i="9"/>
  <c r="AS7" i="9"/>
  <c r="AV7" i="9"/>
  <c r="BB7" i="9"/>
  <c r="BA7" i="9"/>
  <c r="AZ7" i="9"/>
  <c r="U5" i="10"/>
  <c r="AN6" i="9"/>
  <c r="AQ6" i="9"/>
  <c r="AY7" i="9"/>
  <c r="Q23" i="1"/>
  <c r="R23" i="1" s="1"/>
  <c r="L41" i="1"/>
  <c r="S5" i="10"/>
  <c r="S27" i="10" s="1"/>
  <c r="S28" i="10" s="1"/>
  <c r="O18" i="1"/>
  <c r="P18" i="1"/>
  <c r="Q18" i="1"/>
  <c r="R18" i="1" s="1"/>
  <c r="AU6" i="9"/>
  <c r="Q35" i="1"/>
  <c r="R35" i="1" s="1"/>
  <c r="AN5" i="9" l="1"/>
  <c r="S43" i="9"/>
  <c r="D43" i="9"/>
  <c r="AG43" i="9"/>
  <c r="Q43" i="9"/>
  <c r="Z43" i="9"/>
  <c r="AL43" i="9"/>
  <c r="AF43" i="9"/>
  <c r="AB43" i="9"/>
  <c r="M43" i="9"/>
  <c r="AE43" i="9"/>
  <c r="AI43" i="9"/>
  <c r="W43" i="9"/>
  <c r="L43" i="9"/>
  <c r="G43" i="9"/>
  <c r="H43" i="9"/>
  <c r="Y43" i="9"/>
  <c r="O43" i="9"/>
  <c r="I43" i="9"/>
  <c r="F43" i="9"/>
  <c r="AK43" i="9"/>
  <c r="X43" i="9"/>
  <c r="K43" i="9"/>
  <c r="T43" i="9"/>
  <c r="AJ43" i="9"/>
  <c r="U43" i="9"/>
  <c r="AH43" i="9"/>
  <c r="AC43" i="9"/>
  <c r="J43" i="9"/>
  <c r="AM43" i="9"/>
  <c r="P43" i="9"/>
  <c r="AD43" i="9"/>
  <c r="E43" i="9"/>
  <c r="R43" i="9"/>
  <c r="V43" i="9"/>
  <c r="N43" i="9"/>
  <c r="AA43" i="9"/>
  <c r="AM8" i="9" l="1"/>
  <c r="AM45" i="9"/>
  <c r="AK8" i="9"/>
  <c r="BB8" i="9" s="1"/>
  <c r="BB43" i="9"/>
  <c r="AK45" i="9"/>
  <c r="BB45" i="9" s="1"/>
  <c r="Q8" i="9"/>
  <c r="Q45" i="9"/>
  <c r="K8" i="9"/>
  <c r="K45" i="9"/>
  <c r="X8" i="9"/>
  <c r="X45" i="9"/>
  <c r="AS43" i="9"/>
  <c r="J8" i="9"/>
  <c r="AS8" i="9" s="1"/>
  <c r="J45" i="9"/>
  <c r="AS45" i="9" s="1"/>
  <c r="AS48" i="9" s="1"/>
  <c r="F8" i="9"/>
  <c r="F45" i="9"/>
  <c r="AI8" i="9"/>
  <c r="AI45" i="9"/>
  <c r="AG8" i="9"/>
  <c r="AG45" i="9"/>
  <c r="AL8" i="9"/>
  <c r="AL45" i="9"/>
  <c r="AA8" i="9"/>
  <c r="AA45" i="9"/>
  <c r="AW43" i="9"/>
  <c r="V8" i="9"/>
  <c r="AW8" i="9" s="1"/>
  <c r="V45" i="9"/>
  <c r="AW45" i="9" s="1"/>
  <c r="I8" i="9"/>
  <c r="I45" i="9"/>
  <c r="AZ43" i="9"/>
  <c r="AE8" i="9"/>
  <c r="AZ8" i="9" s="1"/>
  <c r="AE45" i="9"/>
  <c r="AZ45" i="9" s="1"/>
  <c r="AQ43" i="9"/>
  <c r="AN43" i="9"/>
  <c r="Z8" i="9"/>
  <c r="Z45" i="9"/>
  <c r="AC8" i="9"/>
  <c r="AC45" i="9"/>
  <c r="U8" i="9"/>
  <c r="U45" i="9"/>
  <c r="O8" i="9"/>
  <c r="O45" i="9"/>
  <c r="AT43" i="9"/>
  <c r="M8" i="9"/>
  <c r="AT8" i="9" s="1"/>
  <c r="M45" i="9"/>
  <c r="AT45" i="9" s="1"/>
  <c r="AT48" i="9" s="1"/>
  <c r="S8" i="9"/>
  <c r="AV8" i="9" s="1"/>
  <c r="AV43" i="9"/>
  <c r="S45" i="9"/>
  <c r="AV45" i="9" s="1"/>
  <c r="AR43" i="9"/>
  <c r="G8" i="9"/>
  <c r="AR8" i="9" s="1"/>
  <c r="G45" i="9"/>
  <c r="AR45" i="9" s="1"/>
  <c r="AR48" i="9" s="1"/>
  <c r="W8" i="9"/>
  <c r="W45" i="9"/>
  <c r="BA43" i="9"/>
  <c r="AH8" i="9"/>
  <c r="BA8" i="9" s="1"/>
  <c r="AH45" i="9"/>
  <c r="BA45" i="9" s="1"/>
  <c r="AJ8" i="9"/>
  <c r="AJ45" i="9"/>
  <c r="Y8" i="9"/>
  <c r="AX8" i="9" s="1"/>
  <c r="AX43" i="9"/>
  <c r="Y45" i="9"/>
  <c r="AX45" i="9" s="1"/>
  <c r="AB8" i="9"/>
  <c r="AY8" i="9" s="1"/>
  <c r="AY43" i="9"/>
  <c r="AB45" i="9"/>
  <c r="AY45" i="9" s="1"/>
  <c r="AU43" i="9"/>
  <c r="P8" i="9"/>
  <c r="AU8" i="9" s="1"/>
  <c r="P45" i="9"/>
  <c r="AU45" i="9" s="1"/>
  <c r="L8" i="9"/>
  <c r="L45" i="9"/>
  <c r="N8" i="9"/>
  <c r="N45" i="9"/>
  <c r="R8" i="9"/>
  <c r="R45" i="9"/>
  <c r="E8" i="9"/>
  <c r="E45" i="9"/>
  <c r="AD8" i="9"/>
  <c r="AD45" i="9"/>
  <c r="T8" i="9"/>
  <c r="T45" i="9"/>
  <c r="H8" i="9"/>
  <c r="H45" i="9"/>
  <c r="AF8" i="9"/>
  <c r="AF45" i="9"/>
  <c r="H29" i="1" l="1"/>
  <c r="P29" i="1" s="1"/>
  <c r="P41" i="1" s="1"/>
  <c r="M29" i="1"/>
  <c r="O29" i="1" s="1"/>
  <c r="O41" i="1" s="1"/>
  <c r="M41" i="1"/>
  <c r="D42" i="9"/>
  <c r="AN42" i="9" s="1"/>
  <c r="AN8" i="9" s="1"/>
  <c r="G41" i="1"/>
  <c r="H41" i="1" l="1"/>
  <c r="J29" i="1"/>
  <c r="D8" i="9"/>
  <c r="AQ8" i="9" s="1"/>
  <c r="I29" i="1"/>
  <c r="P16" i="10" s="1"/>
  <c r="U16" i="10" s="1"/>
  <c r="I41" i="1"/>
  <c r="F11" i="1" s="1"/>
  <c r="AQ42" i="9"/>
  <c r="D45" i="9"/>
  <c r="P27" i="10" l="1"/>
  <c r="P28" i="10" s="1"/>
  <c r="Q29" i="1"/>
  <c r="R29" i="1" s="1"/>
  <c r="J41" i="1"/>
  <c r="AN45" i="9"/>
  <c r="AQ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Q41" i="1"/>
  <c r="U27" i="10" l="1"/>
  <c r="V27" i="10" s="1"/>
  <c r="R41" i="1"/>
  <c r="F9" i="1"/>
  <c r="AQ46" i="9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U2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tc={723E4183-DCE5-4EC3-90FD-D83010B1B79E}</author>
    <author>tc={B626500B-0143-4E3E-AD06-CD77BAE56AD0}</author>
    <author>tc={A2938D11-02CA-402F-B636-F9F6CB41EBC2}</author>
    <author>tc={8D1AE54C-181A-4776-A142-C5E90FE0F3A0}</author>
    <author>tc={1C460A76-F07C-4CFD-BE1A-222F4B1E02A3}</author>
    <author>tc={8F658493-4A63-4F01-B853-012F8BD79807}</author>
    <author>Marvin Billerbeck</author>
    <author>tc={ABC6EF7C-2578-4780-A7C4-3E3350A8A489}</author>
    <author>Alexander Blancke</author>
    <author>tc={DB711D4B-CE4D-4E03-ADC5-F576783D4CC5}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H12" authorId="2" shapeId="0" xr:uid="{723E4183-DCE5-4EC3-90FD-D83010B1B79E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plus 100€ Begehung (200€ bei Mindestabnahme 2) plus 249€ Setup für Abrechnung</t>
        </r>
      </text>
    </comment>
    <comment ref="I12" authorId="3" shapeId="0" xr:uid="{B626500B-0143-4E3E-AD06-CD77BAE56AD0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  </r>
      </text>
    </comment>
    <comment ref="L12" authorId="4" shapeId="0" xr:uid="{A2938D11-02CA-402F-B636-F9F6CB41EBC2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Bei Mindestabnahme 2 468€</t>
        </r>
      </text>
    </comment>
    <comment ref="H13" authorId="5" shapeId="0" xr:uid="{8D1AE54C-181A-4776-A142-C5E90FE0F3A0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249€ Setup für Abrechnung</t>
        </r>
      </text>
    </comment>
    <comment ref="I13" authorId="6" shapeId="0" xr:uid="{1C460A76-F07C-4CFD-BE1A-222F4B1E02A3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7" shapeId="0" xr:uid="{8F658493-4A63-4F01-B853-012F8BD79807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  </r>
      </text>
    </comment>
    <comment ref="G15" authorId="8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N15" authorId="9" shapeId="0" xr:uid="{ABC6EF7C-2578-4780-A7C4-3E3350A8A489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Teilkasko Versicherungsprämie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8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750 Euro für Grundinstallation 
180 Euro Versandkosten für mind. 2 Single-Wallboxen.
30 Euro Setuo-Fee je Ladepunkt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10" shapeId="0" xr:uid="{8678471C-EC24-4F8F-AB97-937832D5F4FF}">
      <text>
        <r>
          <rPr>
            <b/>
            <sz val="9"/>
            <color indexed="81"/>
            <rFont val="Segoe UI"/>
            <family val="2"/>
          </rPr>
          <t>Alexander Blancke:</t>
        </r>
        <r>
          <rPr>
            <sz val="9"/>
            <color indexed="81"/>
            <rFont val="Segoe UI"/>
            <family val="2"/>
          </rPr>
          <t xml:space="preserve">
750 Euro für Grundinstallation 
180 Euro Versandkosten.
30 Euro Setuo-Fee je Ladepunkt</t>
        </r>
      </text>
    </comment>
    <comment ref="I24" authorId="11" shapeId="0" xr:uid="{DB711D4B-CE4D-4E03-ADC5-F576783D4CC5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  </r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750 Euro für Grundinstallation 
180 Euro Versandkosten für mind. 2 Single-Wallboxen.
30 Euro Setuo-Fee je Ladepunkt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10" shapeId="0" xr:uid="{7D7939F3-B927-4647-8154-FB6858E3AF89}">
      <text>
        <r>
          <rPr>
            <b/>
            <sz val="9"/>
            <color indexed="81"/>
            <rFont val="Segoe UI"/>
            <family val="2"/>
          </rPr>
          <t>Alexander Blancke:</t>
        </r>
        <r>
          <rPr>
            <sz val="9"/>
            <color indexed="81"/>
            <rFont val="Segoe UI"/>
            <family val="2"/>
          </rPr>
          <t xml:space="preserve">
750 Euro für Grundinstallation 
180 Euro Versandkosten.
30 Euro Setuo-Fee je Ladepunkt</t>
        </r>
      </text>
    </comment>
    <comment ref="I26" authorId="12" shapeId="0" xr:uid="{72C4A899-5796-4FA0-A98A-71B86466F35B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  </r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13" shapeId="0" xr:uid="{3472D8AA-A5A2-4F34-9300-AB933B67CF7C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  </r>
      </text>
    </comment>
    <comment ref="G39" authorId="14" shapeId="0" xr:uid="{CB16B01C-4E52-439B-BD9A-D5065BA45C16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  </r>
      </text>
    </comment>
    <comment ref="G42" authorId="15" shapeId="0" xr:uid="{F3F4B161-5373-46C4-AD09-85594B2A9133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  </r>
      </text>
    </comment>
    <comment ref="G44" authorId="16" shapeId="0" xr:uid="{233D04D4-2E31-465F-925E-503C34B60A60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  </r>
      </text>
    </comment>
    <comment ref="H44" authorId="17" shapeId="0" xr:uid="{A68D9F51-9335-4E1D-B9A9-5CCA3CD870F1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  </r>
      </text>
    </comment>
    <comment ref="I44" authorId="18" shapeId="0" xr:uid="{4877B70D-EC1B-47A9-9994-C9DF9CCD8420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  </r>
      </text>
    </comment>
    <comment ref="N44" authorId="19" shapeId="0" xr:uid="{75163A11-A03B-4EB3-83B2-B6A9F0AC1FC1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  </r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8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<sst xmlns="http://schemas.openxmlformats.org/spreadsheetml/2006/main" count="478" uniqueCount="229">
  <si>
    <t>Pricing Tool</t>
  </si>
  <si>
    <t>Allgemeine Hotelinfos</t>
  </si>
  <si>
    <t>Angebotsrelevante Eingaben</t>
  </si>
  <si>
    <t>Datum</t>
  </si>
  <si>
    <t>Tripz Vertragspreis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</si>
  <si>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</si>
  <si>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</si>
  <si>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</si>
  <si>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</si>
  <si>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</si>
  <si>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</si>
  <si>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Gross Operating Profit</t>
  </si>
  <si>
    <t>Auslastung in %</t>
  </si>
  <si>
    <t>Netto Marge nach Steuern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</si>
  <si>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</si>
  <si>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</si>
  <si>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</si>
  <si>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</si>
  <si>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</si>
  <si>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</si>
  <si>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</si>
  <si>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</si>
  <si>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</si>
  <si>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</si>
  <si>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</t>
  </si>
  <si>
    <t>Laufzeit</t>
  </si>
  <si>
    <t>Gesamtkosten über Laufzeit</t>
  </si>
  <si>
    <t>Profit</t>
  </si>
  <si>
    <t>Gesamtvertragswert (netto)</t>
  </si>
  <si>
    <t>Marge vor Steuern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</si>
  <si>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</si>
  <si>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</si>
  <si>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</si>
  <si>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</si>
  <si>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</si>
  <si>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</si>
  <si>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</si>
  <si>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</si>
  <si>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</si>
  <si>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</si>
  <si>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</si>
  <si>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</si>
  <si>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</si>
  <si>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</si>
  <si>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</si>
  <si>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</si>
  <si>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</si>
  <si>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</si>
  <si>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</si>
  <si>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</si>
  <si>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</si>
  <si>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</si>
  <si>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</si>
  <si>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</si>
  <si>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</si>
  <si>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</si>
  <si>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</si>
  <si>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</si>
  <si>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</si>
  <si>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</si>
  <si>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</si>
  <si>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</si>
  <si>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</si>
  <si>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</si>
  <si>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Wartung &amp; Reparatur</t>
  </si>
  <si>
    <t>Zubehör</t>
  </si>
  <si>
    <t>Abrechnung</t>
  </si>
  <si>
    <t>Abholung</t>
  </si>
  <si>
    <t>Versicherung</t>
  </si>
  <si>
    <t>Mehrwertsteuer 19%</t>
  </si>
  <si>
    <t>Lösung mit Beyond Bookings</t>
  </si>
  <si>
    <t>Schritt 1: Gutschrift durch Beyond Bookings</t>
  </si>
  <si>
    <t>Mehrwertsteuer 7%</t>
  </si>
  <si>
    <t>Schritt 2: Rechnung durch Beyond Bookings</t>
  </si>
  <si>
    <t>Paket</t>
  </si>
  <si>
    <t>Ihre Kosten mit Beyond Bookings</t>
  </si>
  <si>
    <t>Steuerbelastung 7%</t>
  </si>
  <si>
    <t>Steuervorteil 19%</t>
  </si>
  <si>
    <t>Gesamtkosten Miete inkl. Full Service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</si>
  <si>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</si>
  <si>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</si>
  <si>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</si>
  <si>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</si>
  <si>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</si>
  <si>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</si>
  <si>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</si>
  <si>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</si>
  <si>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</si>
  <si>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</si>
  <si>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</si>
  <si>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</si>
  <si>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</si>
  <si>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</si>
  <si>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</si>
  <si>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</si>
  <si>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</si>
  <si>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</si>
  <si>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</si>
  <si>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</si>
  <si>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</si>
  <si>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</si>
  <si>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</si>
  <si>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</si>
  <si>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</si>
  <si>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</si>
  <si>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</si>
  <si>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</si>
  <si>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</si>
  <si>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</si>
  <si>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</si>
  <si>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</si>
  <si>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</si>
  <si>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</si>
  <si>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</si>
  <si>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</si>
  <si>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</si>
  <si>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</si>
  <si>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</si>
  <si>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</si>
  <si>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</si>
  <si>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</si>
  <si>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</si>
  <si>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</si>
  <si>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</si>
  <si>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</si>
  <si>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</si>
  <si>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</si>
  <si>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</si>
  <si>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</si>
  <si>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</si>
  <si>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</si>
  <si>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</si>
  <si>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</si>
  <si>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</si>
  <si>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</si>
  <si>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</si>
  <si>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</si>
  <si>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</si>
  <si>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</si>
  <si>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</si>
  <si>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</si>
  <si>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</si>
  <si>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</si>
  <si>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</si>
  <si>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</si>
  <si>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</si>
  <si>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</si>
  <si>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</si>
  <si>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</si>
  <si>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</si>
  <si>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</si>
  <si>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</si>
  <si>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</si>
  <si>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</si>
  <si>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</si>
  <si>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</si>
  <si>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</si>
  <si>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</si>
  <si>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</si>
  <si>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</si>
  <si>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</si>
  <si>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</si>
  <si>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</si>
  <si>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</si>
  <si>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</si>
  <si>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</si>
  <si>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</si>
  <si>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</si>
  <si>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</si>
  <si>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</si>
  <si>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</si>
  <si>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</si>
  <si>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</si>
  <si>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</si>
  <si>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</si>
  <si>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</si>
  <si>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</si>
  <si>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</si>
  <si>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</si>
  <si>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</si>
  <si>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</si>
  <si>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</si>
  <si>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</si>
  <si>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</si>
  <si>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</si>
  <si>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</si>
  <si>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</si>
  <si>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</si>
  <si>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Kaufpreis / Leasingmischkalkulation  pro Monat (netto)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</si>
  <si>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</si>
  <si>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</si>
  <si>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</si>
  <si>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</si>
  <si>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</si>
  <si>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Lieferung&amp;Branding</t>
  </si>
  <si>
    <t>Installation &amp; Branding&amp; Auslieferung (netto?)</t>
  </si>
  <si>
    <t>Lieferung, Installation, Inbetriebnahme, Branding</t>
  </si>
  <si>
    <t>Finanzierung</t>
  </si>
  <si>
    <t>Quartalsweise Service Checks und jährliche Wartung</t>
  </si>
  <si>
    <t>Total netto</t>
  </si>
  <si>
    <t>Kosten brutto</t>
  </si>
  <si>
    <t>Finanzierung: Projektkosten netto</t>
  </si>
  <si>
    <t>Metz E-PACKR 8.0 mit Gepäckkorb</t>
  </si>
  <si>
    <t>Inklusive Auslieferung, Aufbau, Einweisung, Erstinspektion, Branding, Farbwahl (je nach Model)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</si>
  <si>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</si>
  <si>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</si>
  <si>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</si>
  <si>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</si>
  <si>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</si>
  <si>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</si>
  <si>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</si>
  <si>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</si>
  <si>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</si>
  <si>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</si>
  <si>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</si>
  <si>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</si>
  <si>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</si>
  <si>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</si>
  <si>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</si>
  <si>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</si>
  <si>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</si>
  <si>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</si>
  <si>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</si>
  <si>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</si>
  <si>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</si>
  <si>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Bei Wirelane: Router kommt noch hinzu und ggf. Switch</t>
  </si>
  <si>
    <t>Compleo ausblenden</t>
  </si>
  <si>
    <t>Wirelane Router Wirelane</t>
  </si>
  <si>
    <t>Aiden by Best Western Biberach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</si>
</sst>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theme="0" tint="-0.249977111117893"/>
      <name val="Avenir"/>
      <family val="2"/>
    </font>
    <font>
      <b/>
      <sz val="11"/>
      <color rgb="FFFF0000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rgb="FFC00000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b/>
      <sz val="24"/>
      <color theme="3"/>
      <name val="Avenir"/>
      <family val="2"/>
    </font>
    <font>
      <sz val="10"/>
      <color rgb="FF595959"/>
      <name val="Avenir"/>
      <family val="2"/>
    </font>
    <font>
      <i/>
      <sz val="11"/>
      <color theme="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0.39997558519241921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3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44" fontId="18" fillId="4" borderId="0" xfId="1" applyFont="1" applyFill="1" applyBorder="1"/>
    <xf numFmtId="166" fontId="12" fillId="0" borderId="0" xfId="4" applyNumberFormat="1" applyFont="1" applyBorder="1" applyAlignment="1">
      <alignment horizontal="left"/>
    </xf>
    <xf numFmtId="165" fontId="19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20" fillId="9" borderId="6" xfId="0" applyFont="1" applyFill="1" applyBorder="1" applyAlignment="1">
      <alignment horizontal="centerContinuous" vertical="top"/>
    </xf>
    <xf numFmtId="0" fontId="12" fillId="9" borderId="6" xfId="0" applyFont="1" applyFill="1" applyBorder="1" applyAlignment="1">
      <alignment horizontal="centerContinuous" vertical="top" wrapText="1"/>
    </xf>
    <xf numFmtId="9" fontId="12" fillId="9" borderId="6" xfId="0" applyNumberFormat="1" applyFont="1" applyFill="1" applyBorder="1" applyAlignment="1">
      <alignment horizontal="centerContinuous" vertical="top" wrapText="1"/>
    </xf>
    <xf numFmtId="166" fontId="12" fillId="9" borderId="6" xfId="4" applyNumberFormat="1" applyFont="1" applyFill="1" applyBorder="1" applyAlignment="1">
      <alignment horizontal="centerContinuous" vertical="top" wrapText="1"/>
    </xf>
    <xf numFmtId="166" fontId="22" fillId="10" borderId="6" xfId="4" applyNumberFormat="1" applyFont="1" applyFill="1" applyBorder="1" applyAlignment="1">
      <alignment horizontal="centerContinuous" vertical="top" wrapText="1"/>
    </xf>
    <xf numFmtId="166" fontId="21" fillId="10" borderId="6" xfId="4" applyNumberFormat="1" applyFont="1" applyFill="1" applyBorder="1" applyAlignment="1">
      <alignment horizontal="centerContinuous" vertical="center" wrapText="1"/>
    </xf>
    <xf numFmtId="166" fontId="22" fillId="10" borderId="6" xfId="4" applyNumberFormat="1" applyFont="1" applyFill="1" applyBorder="1" applyAlignment="1">
      <alignment horizontal="centerContinuous" vertical="center" wrapText="1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center" vertical="center"/>
    </xf>
    <xf numFmtId="0" fontId="23" fillId="4" borderId="8" xfId="0" applyFont="1" applyFill="1" applyBorder="1" applyAlignment="1">
      <alignment horizontal="center" vertical="center"/>
    </xf>
    <xf numFmtId="0" fontId="23" fillId="4" borderId="8" xfId="0" applyFont="1" applyFill="1" applyBorder="1" applyAlignment="1">
      <alignment horizontal="center" vertical="center" wrapText="1"/>
    </xf>
    <xf numFmtId="166" fontId="23" fillId="4" borderId="8" xfId="4" applyNumberFormat="1" applyFont="1" applyFill="1" applyBorder="1" applyAlignment="1">
      <alignment horizontal="center" vertical="center" wrapText="1"/>
    </xf>
    <xf numFmtId="166" fontId="23" fillId="4" borderId="0" xfId="4" applyNumberFormat="1" applyFont="1" applyFill="1" applyBorder="1" applyAlignment="1">
      <alignment horizontal="center" vertical="center" wrapText="1"/>
    </xf>
    <xf numFmtId="0" fontId="12" fillId="0" borderId="7" xfId="0" applyFont="1" applyBorder="1" applyAlignment="1">
      <alignment vertical="top" wrapText="1"/>
    </xf>
    <xf numFmtId="0" fontId="12" fillId="0" borderId="7" xfId="0" applyFont="1" applyBorder="1" applyAlignment="1">
      <alignment vertical="center"/>
    </xf>
    <xf numFmtId="166" fontId="12" fillId="0" borderId="7" xfId="4" applyNumberFormat="1" applyFont="1" applyBorder="1" applyAlignment="1">
      <alignment horizontal="left" vertical="top" wrapText="1"/>
    </xf>
    <xf numFmtId="9" fontId="12" fillId="0" borderId="7" xfId="2" applyFont="1" applyBorder="1" applyAlignment="1">
      <alignment vertical="top" wrapText="1"/>
    </xf>
    <xf numFmtId="166" fontId="12" fillId="0" borderId="7" xfId="4" applyNumberFormat="1" applyFont="1" applyBorder="1" applyAlignment="1">
      <alignment vertical="top" wrapText="1"/>
    </xf>
    <xf numFmtId="167" fontId="12" fillId="0" borderId="7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4" fillId="0" borderId="4" xfId="0" applyFont="1" applyBorder="1"/>
    <xf numFmtId="1" fontId="24" fillId="0" borderId="4" xfId="4" applyNumberFormat="1" applyFont="1" applyBorder="1" applyAlignment="1">
      <alignment horizontal="center"/>
    </xf>
    <xf numFmtId="166" fontId="24" fillId="0" borderId="4" xfId="4" applyNumberFormat="1" applyFont="1" applyBorder="1"/>
    <xf numFmtId="9" fontId="24" fillId="0" borderId="4" xfId="2" applyFont="1" applyBorder="1"/>
    <xf numFmtId="167" fontId="24" fillId="0" borderId="4" xfId="4" applyNumberFormat="1" applyFont="1" applyBorder="1"/>
    <xf numFmtId="0" fontId="24" fillId="0" borderId="0" xfId="0" applyFont="1"/>
    <xf numFmtId="0" fontId="12" fillId="0" borderId="9" xfId="0" applyFont="1" applyBorder="1" applyAlignment="1">
      <alignment vertical="top" wrapText="1"/>
    </xf>
    <xf numFmtId="0" fontId="26" fillId="12" borderId="0" xfId="0" applyFont="1" applyFill="1" applyAlignment="1">
      <alignment vertical="center"/>
    </xf>
    <xf numFmtId="1" fontId="26" fillId="12" borderId="0" xfId="0" applyNumberFormat="1" applyFont="1" applyFill="1" applyAlignment="1">
      <alignment vertical="center"/>
    </xf>
    <xf numFmtId="0" fontId="27" fillId="0" borderId="0" xfId="0" applyFont="1"/>
    <xf numFmtId="166" fontId="28" fillId="0" borderId="0" xfId="4" applyNumberFormat="1" applyFont="1"/>
    <xf numFmtId="0" fontId="28" fillId="0" borderId="0" xfId="0" applyFont="1"/>
    <xf numFmtId="0" fontId="15" fillId="0" borderId="0" xfId="0" applyFont="1"/>
    <xf numFmtId="0" fontId="15" fillId="0" borderId="10" xfId="0" applyFont="1" applyBorder="1"/>
    <xf numFmtId="166" fontId="28" fillId="0" borderId="10" xfId="4" applyNumberFormat="1" applyFont="1" applyBorder="1"/>
    <xf numFmtId="0" fontId="29" fillId="0" borderId="0" xfId="0" applyFont="1"/>
    <xf numFmtId="166" fontId="27" fillId="0" borderId="0" xfId="4" applyNumberFormat="1" applyFont="1"/>
    <xf numFmtId="0" fontId="30" fillId="0" borderId="0" xfId="0" applyFont="1"/>
    <xf numFmtId="0" fontId="32" fillId="12" borderId="0" xfId="0" applyFont="1" applyFill="1"/>
    <xf numFmtId="166" fontId="32" fillId="12" borderId="0" xfId="4" applyNumberFormat="1" applyFont="1" applyFill="1"/>
    <xf numFmtId="0" fontId="27" fillId="0" borderId="1" xfId="0" applyFont="1" applyBorder="1"/>
    <xf numFmtId="0" fontId="28" fillId="3" borderId="1" xfId="0" applyFont="1" applyFill="1" applyBorder="1"/>
    <xf numFmtId="166" fontId="28" fillId="0" borderId="0" xfId="4" applyNumberFormat="1" applyFont="1" applyBorder="1"/>
    <xf numFmtId="0" fontId="15" fillId="0" borderId="11" xfId="0" applyFont="1" applyBorder="1"/>
    <xf numFmtId="166" fontId="28" fillId="0" borderId="11" xfId="4" applyNumberFormat="1" applyFont="1" applyBorder="1"/>
    <xf numFmtId="166" fontId="28" fillId="0" borderId="12" xfId="4" applyNumberFormat="1" applyFont="1" applyBorder="1"/>
    <xf numFmtId="0" fontId="15" fillId="0" borderId="13" xfId="0" applyFont="1" applyBorder="1"/>
    <xf numFmtId="166" fontId="28" fillId="0" borderId="13" xfId="4" applyNumberFormat="1" applyFont="1" applyBorder="1"/>
    <xf numFmtId="0" fontId="28" fillId="0" borderId="12" xfId="0" applyFont="1" applyBorder="1"/>
    <xf numFmtId="0" fontId="28" fillId="0" borderId="13" xfId="0" applyFont="1" applyBorder="1"/>
    <xf numFmtId="0" fontId="32" fillId="13" borderId="0" xfId="0" applyFont="1" applyFill="1"/>
    <xf numFmtId="166" fontId="33" fillId="13" borderId="0" xfId="4" applyNumberFormat="1" applyFont="1" applyFill="1"/>
    <xf numFmtId="0" fontId="23" fillId="13" borderId="6" xfId="0" applyFont="1" applyFill="1" applyBorder="1" applyAlignment="1">
      <alignment horizontal="center" vertical="center"/>
    </xf>
    <xf numFmtId="0" fontId="23" fillId="13" borderId="6" xfId="0" applyFont="1" applyFill="1" applyBorder="1" applyAlignment="1">
      <alignment horizontal="center" vertical="center" wrapText="1"/>
    </xf>
    <xf numFmtId="166" fontId="23" fillId="13" borderId="6" xfId="4" applyNumberFormat="1" applyFont="1" applyFill="1" applyBorder="1" applyAlignment="1">
      <alignment horizontal="center" vertical="center" wrapText="1"/>
    </xf>
    <xf numFmtId="0" fontId="4" fillId="13" borderId="5" xfId="3" applyFont="1" applyFill="1" applyBorder="1" applyAlignment="1">
      <alignment vertical="top" wrapText="1"/>
    </xf>
    <xf numFmtId="1" fontId="4" fillId="13" borderId="5" xfId="3" applyNumberFormat="1" applyFont="1" applyFill="1" applyBorder="1" applyAlignment="1">
      <alignment vertical="top" wrapText="1"/>
    </xf>
    <xf numFmtId="0" fontId="28" fillId="0" borderId="14" xfId="0" applyFont="1" applyBorder="1"/>
    <xf numFmtId="166" fontId="28" fillId="0" borderId="14" xfId="4" applyNumberFormat="1" applyFont="1" applyBorder="1"/>
    <xf numFmtId="0" fontId="31" fillId="0" borderId="0" xfId="0" applyFont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2" fillId="4" borderId="6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4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6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5" fillId="0" borderId="0" xfId="5" applyFont="1" applyAlignment="1">
      <alignment horizontal="center"/>
    </xf>
    <xf numFmtId="0" fontId="25" fillId="4" borderId="0" xfId="0" applyFont="1" applyFill="1" applyAlignment="1">
      <alignment vertical="top" wrapText="1"/>
    </xf>
    <xf numFmtId="168" fontId="25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6" fillId="3" borderId="1" xfId="0" applyFont="1" applyFill="1" applyBorder="1" applyAlignment="1">
      <alignment vertical="top" wrapText="1"/>
    </xf>
    <xf numFmtId="0" fontId="37" fillId="0" borderId="0" xfId="5" applyFont="1" applyAlignment="1">
      <alignment horizontal="left"/>
    </xf>
    <xf numFmtId="9" fontId="17" fillId="4" borderId="2" xfId="2" applyFont="1" applyFill="1" applyBorder="1" applyAlignment="1" applyProtection="1">
      <alignment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7" xfId="0" applyFont="1" applyBorder="1" applyAlignment="1">
      <alignment horizontal="left" vertical="top" wrapText="1"/>
    </xf>
    <xf numFmtId="44" fontId="12" fillId="4" borderId="18" xfId="1" applyFont="1" applyFill="1" applyBorder="1" applyProtection="1"/>
    <xf numFmtId="0" fontId="12" fillId="0" borderId="17" xfId="0" applyFont="1" applyBorder="1" applyAlignment="1">
      <alignment horizontal="left" wrapText="1"/>
    </xf>
    <xf numFmtId="44" fontId="12" fillId="3" borderId="18" xfId="1" applyFont="1" applyFill="1" applyBorder="1" applyProtection="1">
      <protection locked="0"/>
    </xf>
    <xf numFmtId="0" fontId="12" fillId="0" borderId="17" xfId="0" applyFont="1" applyBorder="1" applyAlignment="1">
      <alignment vertical="top" wrapText="1"/>
    </xf>
    <xf numFmtId="170" fontId="22" fillId="14" borderId="19" xfId="4" applyNumberFormat="1" applyFont="1" applyFill="1" applyBorder="1" applyAlignment="1"/>
    <xf numFmtId="0" fontId="12" fillId="0" borderId="20" xfId="0" applyFont="1" applyBorder="1" applyAlignment="1">
      <alignment horizontal="left" vertical="top" wrapText="1"/>
    </xf>
    <xf numFmtId="0" fontId="12" fillId="0" borderId="22" xfId="0" applyFont="1" applyBorder="1" applyAlignment="1">
      <alignment vertical="top" wrapText="1"/>
    </xf>
    <xf numFmtId="9" fontId="12" fillId="4" borderId="23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7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0" fontId="12" fillId="3" borderId="7" xfId="0" applyFont="1" applyFill="1" applyBorder="1" applyAlignment="1">
      <alignment vertical="top" wrapText="1"/>
    </xf>
    <xf numFmtId="165" fontId="12" fillId="3" borderId="21" xfId="1" applyNumberFormat="1" applyFont="1" applyFill="1" applyBorder="1" applyAlignment="1" applyProtection="1">
      <alignment horizontal="right" indent="3"/>
    </xf>
    <xf numFmtId="0" fontId="38" fillId="15" borderId="4" xfId="0" applyFont="1" applyFill="1" applyBorder="1"/>
    <xf numFmtId="0" fontId="28" fillId="15" borderId="4" xfId="0" applyFont="1" applyFill="1" applyBorder="1"/>
    <xf numFmtId="0" fontId="28" fillId="15" borderId="24" xfId="0" applyFont="1" applyFill="1" applyBorder="1"/>
    <xf numFmtId="0" fontId="28" fillId="15" borderId="11" xfId="0" applyFont="1" applyFill="1" applyBorder="1"/>
    <xf numFmtId="0" fontId="28" fillId="15" borderId="25" xfId="0" applyFont="1" applyFill="1" applyBorder="1"/>
    <xf numFmtId="44" fontId="12" fillId="0" borderId="0" xfId="2" applyNumberFormat="1" applyFont="1"/>
    <xf numFmtId="166" fontId="28" fillId="0" borderId="0" xfId="0" applyNumberFormat="1" applyFont="1"/>
    <xf numFmtId="0" fontId="39" fillId="0" borderId="7" xfId="0" applyFont="1" applyBorder="1" applyAlignment="1">
      <alignment vertical="top" wrapText="1"/>
    </xf>
    <xf numFmtId="0" fontId="28" fillId="15" borderId="0" xfId="0" applyFont="1" applyFill="1"/>
    <xf numFmtId="44" fontId="40" fillId="6" borderId="1" xfId="1" applyFont="1" applyFill="1" applyBorder="1" applyAlignment="1">
      <alignment vertical="top" wrapText="1"/>
    </xf>
    <xf numFmtId="44" fontId="40" fillId="5" borderId="1" xfId="1" applyFont="1" applyFill="1" applyBorder="1" applyAlignment="1">
      <alignment vertical="top" wrapText="1"/>
    </xf>
    <xf numFmtId="44" fontId="0" fillId="0" borderId="0" xfId="0" applyNumberFormat="1"/>
    <xf numFmtId="0" fontId="19" fillId="0" borderId="0" xfId="0" applyFont="1"/>
    <xf numFmtId="0" fontId="22" fillId="14" borderId="22" xfId="0" applyFont="1" applyFill="1" applyBorder="1" applyAlignment="1">
      <alignment vertical="top" wrapText="1"/>
    </xf>
    <xf numFmtId="44" fontId="12" fillId="0" borderId="18" xfId="1" applyFont="1" applyBorder="1" applyProtection="1"/>
    <xf numFmtId="9" fontId="12" fillId="3" borderId="18" xfId="2" applyFont="1" applyFill="1" applyBorder="1" applyAlignment="1" applyProtection="1">
      <alignment vertical="top" wrapText="1"/>
      <protection locked="0"/>
    </xf>
    <xf numFmtId="44" fontId="40" fillId="7" borderId="1" xfId="1" applyFont="1" applyFill="1" applyBorder="1" applyAlignment="1">
      <alignment wrapText="1"/>
    </xf>
    <xf numFmtId="44" fontId="40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41" fillId="0" borderId="0" xfId="1" applyFont="1" applyAlignment="1">
      <alignment wrapText="1"/>
    </xf>
    <xf numFmtId="0" fontId="12" fillId="16" borderId="7" xfId="0" applyFont="1" applyFill="1" applyBorder="1" applyAlignment="1">
      <alignment horizontal="center" vertical="center"/>
    </xf>
    <xf numFmtId="0" fontId="28" fillId="16" borderId="0" xfId="0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26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2" dT="2021-06-09T11:37:23.77" personId="{B7F5FEDD-A386-4137-B8A9-3E0F8CF599CF}" id="{723E4183-DCE5-4EC3-90FD-D83010B1B79E}">
    <text>Konsistent mit New Motion 750€ Installation plus 100€ Begehung (200€ bei Mindestabnahme 2) plus 249€ Setup für Abrechnung</text>
  </threadedComment>
  <threadedComment ref="I12" dT="2021-10-29T08:16:25.56" personId="{B7F5FEDD-A386-4137-B8A9-3E0F8CF599CF}" id="{B626500B-0143-4E3E-AD06-CD77BAE56AD0}">
    <text>Benchmark B4</text>
  </threadedComment>
  <threadedComment ref="L12" dT="2021-06-09T11:39:51.81" personId="{B7F5FEDD-A386-4137-B8A9-3E0F8CF599CF}" id="{A2938D11-02CA-402F-B636-F9F6CB41EBC2}">
    <text>Bei Mindestabnahme 2 468€</text>
  </threadedComment>
  <threadedComment ref="H13" dT="2021-06-09T11:37:49.01" personId="{B7F5FEDD-A386-4137-B8A9-3E0F8CF599CF}" id="{8D1AE54C-181A-4776-A142-C5E90FE0F3A0}">
    <text>Konsistent mit New Motion 750€ Installation je Ladepunkt plus 200€ Begehung plus 249€ Setup für Abrechnung</text>
  </threadedComment>
  <threadedComment ref="I13" dT="2021-10-29T08:16:17.91" personId="{B7F5FEDD-A386-4137-B8A9-3E0F8CF599CF}" id="{1C460A76-F07C-4CFD-BE1A-222F4B1E02A3}">
    <text>Benchmark B4</text>
  </threadedComment>
  <threadedComment ref="F15" dT="2020-11-30T15:25:58.46" personId="{B7F5FEDD-A386-4137-B8A9-3E0F8CF599CF}" id="{8F658493-4A63-4F01-B853-012F8BD79807}">
    <text>1925 Anzahlung, 
825 Restwert</text>
  </threadedComment>
  <threadedComment ref="N15" dT="2021-12-01T09:24:18.94" personId="{B6CC7CBE-4CAC-42D6-8F77-D53939EB20DB}" id="{ABC6EF7C-2578-4780-A7C4-3E3350A8A489}">
    <text>Teilkasko Versicherungsprämie</text>
  </threadedComment>
  <threadedComment ref="I24" dT="2021-10-29T08:16:17.91" personId="{B7F5FEDD-A386-4137-B8A9-3E0F8CF599CF}" id="{DB711D4B-CE4D-4E03-ADC5-F576783D4CC5}">
    <text>Benchmark B4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41"/>
  <sheetViews>
    <sheetView showGridLines="0" tabSelected="1" zoomScale="70" zoomScaleNormal="70" workbookViewId="0">
      <pane xSplit="3" ySplit="16" topLeftCell="D3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7265625" defaultRowHeight="15" outlineLevelCol="2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32.26953125" style="37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hidden="1" customWidth="1" outlineLevel="2"/>
    <col min="14" max="14" width="18" style="40" hidden="1" customWidth="1" outlineLevel="2"/>
    <col min="15" max="15" width="28" style="40" hidden="1" customWidth="1" outlineLevel="2"/>
    <col min="16" max="16" width="28" style="40" customWidth="1" outlineLevel="1" collapsed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>
      <c r="E1" s="187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36">
      <c r="B2" s="164" t="s">
        <v>0</v>
      </c>
      <c r="D2" s="157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32" s="44" customFormat="1" ht="16.5">
      <c r="A3" s="43"/>
      <c r="D3" s="45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</row>
    <row r="4" spans="1:32" s="44" customFormat="1" ht="19.5" thickBot="1">
      <c r="A4" s="43"/>
      <c r="B4" s="47" t="s">
        <v>1</v>
      </c>
      <c r="D4" s="45"/>
      <c r="E4" s="47" t="s">
        <v>2</v>
      </c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56">
        <v>44994</v>
      </c>
      <c r="E5" s="166" t="s">
        <v>4</v>
      </c>
      <c r="F5" s="167">
        <f>INDEX(Annahmen!$B$17:$C$22,MATCH('Preise Output'!C7,Annahmen!$B$17:$B$22,0),2)</f>
        <v>35</v>
      </c>
    </row>
    <row r="6" spans="1:32" ht="30">
      <c r="B6" s="48" t="s">
        <v>5</v>
      </c>
      <c r="C6" s="49" t="s">
        <v>228</v>
      </c>
      <c r="E6" s="168" t="s">
        <v>6</v>
      </c>
      <c r="F6" s="169">
        <f>INDEX(Annahmen!$B$17:$D$22,MATCH('Preise Output'!$C$7,Annahmen!$B$17:$B$22,0),3)</f>
        <v>52.5</v>
      </c>
    </row>
    <row r="7" spans="1:32">
      <c r="B7" s="48" t="s">
        <v>7</v>
      </c>
      <c r="C7" s="49" t="s">
        <v>8</v>
      </c>
      <c r="E7" s="170" t="s">
        <v>9</v>
      </c>
      <c r="F7" s="171">
        <v>50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10</v>
      </c>
      <c r="C8" s="177">
        <v>109</v>
      </c>
      <c r="E8" s="172" t="s">
        <v>11</v>
      </c>
      <c r="F8" s="197">
        <v>0.3</v>
      </c>
      <c r="G8" s="165">
        <f>F8+0.19</f>
        <v>0.49</v>
      </c>
      <c r="H8" s="53"/>
      <c r="I8" s="54"/>
      <c r="J8" s="55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12</v>
      </c>
      <c r="C9" s="56">
        <v>0.75</v>
      </c>
      <c r="E9" s="175" t="s">
        <v>13</v>
      </c>
      <c r="F9" s="176">
        <f>IFERROR(Q41,"Bitte Produkt auswählen")</f>
        <v>0.29988042414605964</v>
      </c>
      <c r="G9" s="58"/>
      <c r="H9" s="58"/>
      <c r="I9" s="59"/>
      <c r="J9" s="59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14</v>
      </c>
      <c r="C10" s="60">
        <f>C8*365*(1-C9)</f>
        <v>9946.25</v>
      </c>
      <c r="E10" s="168" t="s">
        <v>16</v>
      </c>
      <c r="F10" s="196">
        <f>F6*0.8</f>
        <v>42</v>
      </c>
      <c r="G10" s="58"/>
      <c r="H10" s="58"/>
      <c r="I10" s="59"/>
      <c r="J10" s="59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15</v>
      </c>
      <c r="C11" s="61">
        <f>IF(C10*0.15&lt;1000,C10*0.15,1000)</f>
        <v>1000</v>
      </c>
      <c r="E11" s="195" t="s">
        <v>17</v>
      </c>
      <c r="F11" s="173">
        <f>+I41</f>
        <v>42714</v>
      </c>
      <c r="G11" s="57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D12" s="63"/>
      <c r="E12" s="174" t="s">
        <v>201</v>
      </c>
      <c r="F12" s="181"/>
      <c r="G12" s="194"/>
      <c r="H12" s="50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ht="15" customHeight="1">
      <c r="B13" s="163" t="s">
        <v>18</v>
      </c>
      <c r="C13" s="159"/>
      <c r="D13" s="63"/>
      <c r="E13" s="63"/>
      <c r="H13" s="50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3.9" customHeight="1">
      <c r="B14" s="158"/>
      <c r="C14" s="159"/>
      <c r="D14" s="63"/>
      <c r="E14" s="62"/>
      <c r="F14" s="57"/>
      <c r="G14" s="57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21.5">
      <c r="B15" s="95"/>
      <c r="C15" s="95"/>
      <c r="D15" s="64" t="s">
        <v>19</v>
      </c>
      <c r="E15" s="65"/>
      <c r="F15" s="66"/>
      <c r="G15" s="66"/>
      <c r="H15" s="67"/>
      <c r="I15" s="67"/>
      <c r="J15" s="65"/>
      <c r="K15" s="68"/>
      <c r="L15" s="69" t="s">
        <v>20</v>
      </c>
      <c r="M15" s="70"/>
      <c r="N15" s="70"/>
      <c r="O15" s="70"/>
      <c r="P15" s="70"/>
      <c r="Q15" s="70"/>
      <c r="R15" s="70"/>
      <c r="S15" s="132"/>
      <c r="AE15" s="52"/>
      <c r="AF15" s="52"/>
    </row>
    <row r="16" spans="1:32" s="71" customFormat="1" ht="30.65" customHeight="1">
      <c r="B16" s="121" t="s">
        <v>21</v>
      </c>
      <c r="C16" s="121" t="s">
        <v>22</v>
      </c>
      <c r="D16" s="121" t="s">
        <v>23</v>
      </c>
      <c r="E16" s="122" t="s">
        <v>24</v>
      </c>
      <c r="F16" s="122" t="s">
        <v>25</v>
      </c>
      <c r="G16" s="123" t="s">
        <v>26</v>
      </c>
      <c r="H16" s="123" t="s">
        <v>27</v>
      </c>
      <c r="I16" s="123" t="s">
        <v>28</v>
      </c>
      <c r="J16" s="122" t="s">
        <v>29</v>
      </c>
      <c r="K16" s="123" t="s">
        <v>30</v>
      </c>
      <c r="L16" s="123" t="s">
        <v>31</v>
      </c>
      <c r="M16" s="123" t="s">
        <v>32</v>
      </c>
      <c r="N16" s="123" t="s">
        <v>33</v>
      </c>
      <c r="O16" s="123" t="s">
        <v>34</v>
      </c>
      <c r="P16" s="123" t="s">
        <v>35</v>
      </c>
      <c r="Q16" s="123" t="s">
        <v>36</v>
      </c>
      <c r="R16" s="123" t="s">
        <v>37</v>
      </c>
      <c r="S16" s="132"/>
      <c r="AE16" s="72"/>
      <c r="AF16" s="72"/>
    </row>
    <row r="17" spans="2:32" s="71" customFormat="1" ht="5.65" customHeight="1">
      <c r="B17" s="73"/>
      <c r="C17" s="73"/>
      <c r="D17" s="73"/>
      <c r="E17" s="74"/>
      <c r="F17" s="74"/>
      <c r="G17" s="75"/>
      <c r="H17" s="75"/>
      <c r="I17" s="75"/>
      <c r="J17" s="74"/>
      <c r="K17" s="75"/>
      <c r="L17" s="76"/>
      <c r="M17" s="75"/>
      <c r="N17" s="75"/>
      <c r="O17" s="75"/>
      <c r="P17" s="75"/>
      <c r="Q17" s="75"/>
      <c r="R17" s="75"/>
      <c r="AE17" s="72"/>
      <c r="AF17" s="72"/>
    </row>
    <row r="18" spans="2:32" ht="16.149999999999999" customHeight="1">
      <c r="B18" s="77" t="s">
        <v>189</v>
      </c>
      <c r="C18" s="78" t="s">
        <v>38</v>
      </c>
      <c r="D18" s="178">
        <v>3</v>
      </c>
      <c r="E18" s="78">
        <f>IFERROR(D18*ROUND((INDEX(Produktpreise!$B$4:$R$26,MATCH('Preise Output'!$B18,Produktpreise!$C$4:$C$26,0),MATCH(Produktpreise!$Q$4,Produktpreise!$B$4:$R$4,0))/(1-'Preise Output'!$G$8)/$F$10/F18),FALSE),"")</f>
        <v>165</v>
      </c>
      <c r="F18" s="77">
        <f>INDEX(Produktpreise!$B$4:$R$25,MATCH('Preise Output'!$B18,Produktpreise!$C$4:$C$25,0),MATCH('Preise Output'!F$16,Produktpreise!$B$4:$R$4,0))</f>
        <v>3</v>
      </c>
      <c r="G18" s="79">
        <f>D18*INDEX(Produktpreise!$B$4:$R$26,MATCH('Preise Output'!$B18,Produktpreise!$C$4:$C$26,0),MATCH('Preise Output'!G$16,Produktpreise!B$4:R$4,0))</f>
        <v>10640.64</v>
      </c>
      <c r="H18" s="79">
        <f t="shared" ref="H18:H39" si="0">$E18*$F$10*$F18-$G18</f>
        <v>10149.36</v>
      </c>
      <c r="I18" s="79">
        <f>G18+H18</f>
        <v>20790</v>
      </c>
      <c r="J18" s="80">
        <f t="shared" ref="J18:J39" si="1">IFERROR(H18/($E18*$F$10*$F18),"")</f>
        <v>0.48818470418470422</v>
      </c>
      <c r="K18" s="79">
        <f t="shared" ref="K18:K39" si="2">$E18*$F$7*$F18</f>
        <v>24750</v>
      </c>
      <c r="L18" s="79">
        <f>K18-K18/1.19</f>
        <v>3951.6806722689071</v>
      </c>
      <c r="M18" s="79">
        <f t="shared" ref="M18:M39" si="3">G18*1.19-G18</f>
        <v>2021.7215999999989</v>
      </c>
      <c r="N18" s="79">
        <f t="shared" ref="N18:N39" si="4">(($F$10/0.8*0.2*0.19)*E18)</f>
        <v>329.17500000000001</v>
      </c>
      <c r="O18" s="79">
        <f t="shared" ref="O18:O39" si="5">L18-M18-N18</f>
        <v>1600.7840722689082</v>
      </c>
      <c r="P18" s="81">
        <f t="shared" ref="P18:P39" si="6">IFERROR($H18-L18,"")</f>
        <v>6197.6793277310935</v>
      </c>
      <c r="Q18" s="80">
        <f t="shared" ref="Q18:Q39" si="7">IFERROR(($H18-L18)/$I18,"")</f>
        <v>0.29810867377253936</v>
      </c>
      <c r="R18" s="82">
        <f t="shared" ref="R18:R39" si="8">IFERROR((1-Q18)*F18,"")</f>
        <v>2.1056739786823817</v>
      </c>
      <c r="AE18" s="52"/>
      <c r="AF18" s="52"/>
    </row>
    <row r="19" spans="2:32" ht="15.65" customHeight="1">
      <c r="B19" s="77" t="s">
        <v>190</v>
      </c>
      <c r="C19" s="78" t="s">
        <v>38</v>
      </c>
      <c r="D19" s="178">
        <v>3</v>
      </c>
      <c r="E19" s="78">
        <f>IFERROR(D19*ROUND((INDEX(Produktpreise!$B$4:$R$26,MATCH('Preise Output'!$B19,Produktpreise!$C$4:$C$26,0),MATCH(Produktpreise!$Q$4,Produktpreise!$B$4:$R$4,0))/(1-'Preise Output'!$G$8)/$F$10/F19),FALSE),"")</f>
        <v>174</v>
      </c>
      <c r="F19" s="77">
        <f>INDEX(Produktpreise!$B$4:$R$25,MATCH('Preise Output'!$B19,Produktpreise!$C$4:$C$25,0),MATCH('Preise Output'!F$16,Produktpreise!$B$4:$R$4,0))</f>
        <v>3</v>
      </c>
      <c r="G19" s="79">
        <f>D19*INDEX(Produktpreise!$B$4:$R$26,MATCH('Preise Output'!$B19,Produktpreise!$C$4:$C$26,0),MATCH('Preise Output'!G$16,Produktpreise!B$4:R$4,0))</f>
        <v>11145.36</v>
      </c>
      <c r="H19" s="79">
        <f t="shared" si="0"/>
        <v>10778.64</v>
      </c>
      <c r="I19" s="79">
        <f>G19+H19</f>
        <v>21924</v>
      </c>
      <c r="J19" s="80">
        <f t="shared" si="1"/>
        <v>0.49163656267104539</v>
      </c>
      <c r="K19" s="79">
        <f t="shared" si="2"/>
        <v>26100</v>
      </c>
      <c r="L19" s="79">
        <f>K19-K19/1.19</f>
        <v>4167.2268907563011</v>
      </c>
      <c r="M19" s="79">
        <f t="shared" si="3"/>
        <v>2117.6183999999994</v>
      </c>
      <c r="N19" s="79">
        <f t="shared" si="4"/>
        <v>347.13</v>
      </c>
      <c r="O19" s="79">
        <f t="shared" si="5"/>
        <v>1702.4784907563017</v>
      </c>
      <c r="P19" s="81">
        <f t="shared" si="6"/>
        <v>6611.4131092436983</v>
      </c>
      <c r="Q19" s="80">
        <f t="shared" si="7"/>
        <v>0.30156053225888058</v>
      </c>
      <c r="R19" s="82">
        <f t="shared" si="8"/>
        <v>2.0953184032233585</v>
      </c>
      <c r="Z19" s="52"/>
      <c r="AE19" s="52"/>
      <c r="AF19" s="52"/>
    </row>
    <row r="20" spans="2:32" ht="16.149999999999999" customHeight="1">
      <c r="B20" s="77" t="s">
        <v>202</v>
      </c>
      <c r="C20" s="78" t="s">
        <v>38</v>
      </c>
      <c r="D20" s="178">
        <v>0</v>
      </c>
      <c r="E20" s="78">
        <f>IFERROR(D20*ROUND((INDEX(Produktpreise!$B$4:$R$26,MATCH('Preise Output'!$B20,Produktpreise!$C$4:$C$26,0),MATCH(Produktpreise!$Q$4,Produktpreise!$B$4:$R$4,0))/(1-'Preise Output'!$G$8)/$F$10/F20),FALSE),"")</f>
        <v>0</v>
      </c>
      <c r="F20" s="77">
        <f>INDEX(Produktpreise!$B$4:$R$25,MATCH('Preise Output'!$B20,Produktpreise!$C$4:$C$25,0),MATCH('Preise Output'!F$16,Produktpreise!$B$4:$R$4,0))</f>
        <v>3</v>
      </c>
      <c r="G20" s="79">
        <f>D20*INDEX(Produktpreise!$B$4:$R$26,MATCH('Preise Output'!$B20,Produktpreise!$C$4:$C$26,0),MATCH('Preise Output'!G$16,Produktpreise!B$4:R$4,0))</f>
        <v>0</v>
      </c>
      <c r="H20" s="79">
        <f t="shared" si="0"/>
        <v>0</v>
      </c>
      <c r="I20" s="79">
        <f>G20+H20</f>
        <v>0</v>
      </c>
      <c r="J20" s="80" t="str">
        <f t="shared" si="1"/>
        <v/>
      </c>
      <c r="K20" s="79">
        <f t="shared" si="2"/>
        <v>0</v>
      </c>
      <c r="L20" s="79">
        <f>K20-K20/1.19</f>
        <v>0</v>
      </c>
      <c r="M20" s="79">
        <f t="shared" si="3"/>
        <v>0</v>
      </c>
      <c r="N20" s="79">
        <f t="shared" si="4"/>
        <v>0</v>
      </c>
      <c r="O20" s="79">
        <f t="shared" si="5"/>
        <v>0</v>
      </c>
      <c r="P20" s="81">
        <f t="shared" si="6"/>
        <v>0</v>
      </c>
      <c r="Q20" s="80" t="str">
        <f t="shared" si="7"/>
        <v/>
      </c>
      <c r="R20" s="82" t="str">
        <f t="shared" si="8"/>
        <v/>
      </c>
    </row>
    <row r="21" spans="2:32" ht="16.149999999999999" customHeight="1">
      <c r="B21" s="77" t="s">
        <v>193</v>
      </c>
      <c r="C21" s="78" t="s">
        <v>38</v>
      </c>
      <c r="D21" s="178">
        <v>0</v>
      </c>
      <c r="E21" s="78">
        <f>IFERROR(D21*ROUND((INDEX(Produktpreise!$B$4:$R$26,MATCH('Preise Output'!$B21,Produktpreise!$C$4:$C$26,0),MATCH(Produktpreise!$Q$4,Produktpreise!$B$4:$R$4,0))/(1-'Preise Output'!$G$8)/$F$10/F21),FALSE),"")</f>
        <v>0</v>
      </c>
      <c r="F21" s="77">
        <f>INDEX(Produktpreise!$B$4:$R$25,MATCH('Preise Output'!$B21,Produktpreise!$C$4:$C$25,0),MATCH('Preise Output'!F$16,Produktpreise!$B$4:$R$4,0))</f>
        <v>3</v>
      </c>
      <c r="G21" s="79">
        <f>D21*INDEX(Produktpreise!$B$4:$R$26,MATCH('Preise Output'!$B21,Produktpreise!$C$4:$C$26,0),MATCH('Preise Output'!G$16,Produktpreise!B$4:R$4,0))</f>
        <v>0</v>
      </c>
      <c r="H21" s="79">
        <f t="shared" si="0"/>
        <v>0</v>
      </c>
      <c r="I21" s="79">
        <f>G21+H21</f>
        <v>0</v>
      </c>
      <c r="J21" s="80" t="str">
        <f t="shared" si="1"/>
        <v/>
      </c>
      <c r="K21" s="79">
        <f t="shared" si="2"/>
        <v>0</v>
      </c>
      <c r="L21" s="79">
        <f>K21-K21/1.19</f>
        <v>0</v>
      </c>
      <c r="M21" s="79">
        <f t="shared" ref="M21:M22" si="9">G21*1.19-G21</f>
        <v>0</v>
      </c>
      <c r="N21" s="79">
        <f t="shared" si="4"/>
        <v>0</v>
      </c>
      <c r="O21" s="79">
        <f t="shared" ref="O21:O22" si="10">L21-M21-N21</f>
        <v>0</v>
      </c>
      <c r="P21" s="81">
        <f t="shared" ref="P21:P22" si="11">IFERROR($H21-L21,"")</f>
        <v>0</v>
      </c>
      <c r="Q21" s="80" t="str">
        <f t="shared" ref="Q21:Q22" si="12">IFERROR(($H21-L21)/$I21,"")</f>
        <v/>
      </c>
      <c r="R21" s="82" t="str">
        <f t="shared" ref="R21:R22" si="13">IFERROR((1-Q21)*F21,"")</f>
        <v/>
      </c>
    </row>
    <row r="22" spans="2:32" ht="16.149999999999999" customHeight="1">
      <c r="B22" s="77" t="s">
        <v>39</v>
      </c>
      <c r="C22" s="78" t="s">
        <v>38</v>
      </c>
      <c r="D22" s="178">
        <v>0</v>
      </c>
      <c r="E22" s="78">
        <f>IFERROR(D22*ROUND((INDEX(Produktpreise!$B$4:$R$26,MATCH('Preise Output'!$B22,Produktpreise!$C$4:$C$26,0),MATCH(Produktpreise!$Q$4,Produktpreise!$B$4:$R$4,0))/(1-'Preise Output'!$G$8)/$F$10/F22),FALSE),"")</f>
        <v>0</v>
      </c>
      <c r="F22" s="77">
        <f>INDEX(Produktpreise!$B$4:$R$25,MATCH('Preise Output'!$B22,Produktpreise!$C$4:$C$25,0),MATCH('Preise Output'!F$16,Produktpreise!$B$4:$R$4,0))</f>
        <v>3</v>
      </c>
      <c r="G22" s="79">
        <f>D22*INDEX(Produktpreise!$B$4:$R$26,MATCH('Preise Output'!$B22,Produktpreise!$C$4:$C$26,0),MATCH('Preise Output'!G$16,Produktpreise!B$4:R$4,0))</f>
        <v>0</v>
      </c>
      <c r="H22" s="79">
        <f t="shared" si="0"/>
        <v>0</v>
      </c>
      <c r="I22" s="79">
        <f>G22+H22</f>
        <v>0</v>
      </c>
      <c r="J22" s="80" t="str">
        <f t="shared" si="1"/>
        <v/>
      </c>
      <c r="K22" s="79">
        <f t="shared" si="2"/>
        <v>0</v>
      </c>
      <c r="L22" s="79">
        <f>K22-K22/1.19</f>
        <v>0</v>
      </c>
      <c r="M22" s="79">
        <f t="shared" si="9"/>
        <v>0</v>
      </c>
      <c r="N22" s="79">
        <f t="shared" si="4"/>
        <v>0</v>
      </c>
      <c r="O22" s="79">
        <f t="shared" si="10"/>
        <v>0</v>
      </c>
      <c r="P22" s="81">
        <f t="shared" si="11"/>
        <v>0</v>
      </c>
      <c r="Q22" s="80" t="str">
        <f t="shared" si="12"/>
        <v/>
      </c>
      <c r="R22" s="82" t="str">
        <f t="shared" si="13"/>
        <v/>
      </c>
    </row>
    <row r="23" spans="2:32" ht="16.5" customHeight="1">
      <c r="B23" s="77" t="s">
        <v>185</v>
      </c>
      <c r="C23" s="78" t="s">
        <v>38</v>
      </c>
      <c r="D23" s="178">
        <v>0</v>
      </c>
      <c r="E23" s="78">
        <f>IFERROR(D23*ROUND((INDEX(Produktpreise!$B$4:$R$26,MATCH('Preise Output'!$B23,Produktpreise!$C$4:$C$26,0),MATCH(Produktpreise!$Q$4,Produktpreise!$B$4:$R$4,0))/(1-'Preise Output'!$G$8)/$F$10/F23),FALSE),"")</f>
        <v>0</v>
      </c>
      <c r="F23" s="77">
        <f>INDEX(Produktpreise!$B$4:$R$25,MATCH('Preise Output'!$B23,Produktpreise!$C$4:$C$25,0),MATCH('Preise Output'!F$16,Produktpreise!$B$4:$R$4,0))</f>
        <v>3</v>
      </c>
      <c r="G23" s="79">
        <f>D23*INDEX(Produktpreise!$B$4:$R$26,MATCH('Preise Output'!$B23,Produktpreise!$C$4:$C$26,0),MATCH('Preise Output'!G$16,Produktpreise!B$4:R$4,0))</f>
        <v>0</v>
      </c>
      <c r="H23" s="79">
        <f t="shared" si="0"/>
        <v>0</v>
      </c>
      <c r="I23" s="79">
        <f t="shared" ref="I23:I39" si="14">G23+H23</f>
        <v>0</v>
      </c>
      <c r="J23" s="80" t="str">
        <f t="shared" si="1"/>
        <v/>
      </c>
      <c r="K23" s="79">
        <f t="shared" si="2"/>
        <v>0</v>
      </c>
      <c r="L23" s="79">
        <f t="shared" ref="L23:L39" si="15">K23-K23/1.19</f>
        <v>0</v>
      </c>
      <c r="M23" s="79">
        <f t="shared" si="3"/>
        <v>0</v>
      </c>
      <c r="N23" s="79">
        <f t="shared" si="4"/>
        <v>0</v>
      </c>
      <c r="O23" s="79">
        <f t="shared" si="5"/>
        <v>0</v>
      </c>
      <c r="P23" s="81">
        <f t="shared" si="6"/>
        <v>0</v>
      </c>
      <c r="Q23" s="80" t="str">
        <f t="shared" si="7"/>
        <v/>
      </c>
      <c r="R23" s="82" t="str">
        <f t="shared" si="8"/>
        <v/>
      </c>
    </row>
    <row r="24" spans="2:32" ht="16.149999999999999" customHeight="1">
      <c r="B24" s="77" t="s">
        <v>40</v>
      </c>
      <c r="C24" s="78" t="s">
        <v>38</v>
      </c>
      <c r="D24" s="178">
        <v>0</v>
      </c>
      <c r="E24" s="78">
        <f>IFERROR(D24*ROUND((INDEX(Produktpreise!$B$4:$R$26,MATCH('Preise Output'!$B24,Produktpreise!$C$4:$C$26,0),MATCH(Produktpreise!$Q$4,Produktpreise!$B$4:$R$4,0))/(1-'Preise Output'!$G$8)/$F$10/F24),FALSE),"")</f>
        <v>0</v>
      </c>
      <c r="F24" s="77">
        <f>INDEX(Produktpreise!$B$4:$R$25,MATCH('Preise Output'!$B24,Produktpreise!$C$4:$C$25,0),MATCH('Preise Output'!F$16,Produktpreise!$B$4:$R$4,0))</f>
        <v>3</v>
      </c>
      <c r="G24" s="79">
        <f>D24*INDEX(Produktpreise!$B$4:$R$26,MATCH('Preise Output'!$B24,Produktpreise!$C$4:$C$26,0),MATCH('Preise Output'!G$16,Produktpreise!B$4:R$4,0))</f>
        <v>0</v>
      </c>
      <c r="H24" s="79">
        <f t="shared" si="0"/>
        <v>0</v>
      </c>
      <c r="I24" s="79">
        <f t="shared" si="14"/>
        <v>0</v>
      </c>
      <c r="J24" s="80" t="str">
        <f t="shared" si="1"/>
        <v/>
      </c>
      <c r="K24" s="79">
        <f t="shared" si="2"/>
        <v>0</v>
      </c>
      <c r="L24" s="79">
        <f t="shared" si="15"/>
        <v>0</v>
      </c>
      <c r="M24" s="79">
        <f t="shared" si="3"/>
        <v>0</v>
      </c>
      <c r="N24" s="79">
        <f t="shared" si="4"/>
        <v>0</v>
      </c>
      <c r="O24" s="79">
        <f t="shared" si="5"/>
        <v>0</v>
      </c>
      <c r="P24" s="81">
        <f t="shared" si="6"/>
        <v>0</v>
      </c>
      <c r="Q24" s="80" t="str">
        <f t="shared" si="7"/>
        <v/>
      </c>
      <c r="R24" s="82" t="str">
        <f t="shared" si="8"/>
        <v/>
      </c>
    </row>
    <row r="25" spans="2:32" ht="16.149999999999999" hidden="1" customHeight="1">
      <c r="B25" s="77" t="s">
        <v>41</v>
      </c>
      <c r="C25" s="78" t="s">
        <v>42</v>
      </c>
      <c r="D25" s="178">
        <v>0</v>
      </c>
      <c r="E25" s="78">
        <f>IFERROR(D25*ROUND((INDEX(Produktpreise!$B$4:$R$26,MATCH('Preise Output'!$B25,Produktpreise!$C$4:$C$26,0),MATCH(Produktpreise!$Q$4,Produktpreise!$B$4:$R$4,0))/(1-'Preise Output'!$G$8)/$F$10/F25),FALSE),"")</f>
        <v>0</v>
      </c>
      <c r="F25" s="77">
        <f>INDEX(Produktpreise!$B$4:$R$25,MATCH('Preise Output'!$B25,Produktpreise!$C$4:$C$25,0),MATCH('Preise Output'!F$16,Produktpreise!$B$4:$R$4,0))</f>
        <v>3</v>
      </c>
      <c r="G25" s="79">
        <f>D25*INDEX(Produktpreise!$B$4:$R$26,MATCH('Preise Output'!$B25,Produktpreise!$C$4:$C$26,0),MATCH('Preise Output'!G$16,Produktpreise!B$4:R$4,0))</f>
        <v>0</v>
      </c>
      <c r="H25" s="79">
        <f t="shared" si="0"/>
        <v>0</v>
      </c>
      <c r="I25" s="79">
        <f t="shared" ref="I25:I26" si="16">G25+H25</f>
        <v>0</v>
      </c>
      <c r="J25" s="80" t="str">
        <f t="shared" si="1"/>
        <v/>
      </c>
      <c r="K25" s="79">
        <f t="shared" si="2"/>
        <v>0</v>
      </c>
      <c r="L25" s="79">
        <f t="shared" ref="L25:L26" si="17">K25-K25/1.19</f>
        <v>0</v>
      </c>
      <c r="M25" s="79">
        <f t="shared" ref="M25:M26" si="18">G25*1.19-G25</f>
        <v>0</v>
      </c>
      <c r="N25" s="79">
        <f t="shared" si="4"/>
        <v>0</v>
      </c>
      <c r="O25" s="79">
        <f t="shared" ref="O25:O26" si="19">L25-M25-N25</f>
        <v>0</v>
      </c>
      <c r="P25" s="81">
        <f t="shared" ref="P25:P26" si="20">IFERROR($H25-L25,"")</f>
        <v>0</v>
      </c>
      <c r="Q25" s="80" t="str">
        <f t="shared" ref="Q25:Q26" si="21">IFERROR(($H25-L25)/$I25,"")</f>
        <v/>
      </c>
      <c r="R25" s="82" t="str">
        <f t="shared" ref="R25:R26" si="22">IFERROR((1-Q25)*F25,"")</f>
        <v/>
      </c>
    </row>
    <row r="26" spans="2:32" ht="16.149999999999999" hidden="1" customHeight="1">
      <c r="B26" s="77" t="s">
        <v>43</v>
      </c>
      <c r="C26" s="78" t="s">
        <v>42</v>
      </c>
      <c r="D26" s="178">
        <v>0</v>
      </c>
      <c r="E26" s="78">
        <f>IFERROR(D26*ROUND((INDEX(Produktpreise!$B$4:$R$26,MATCH('Preise Output'!$B26,Produktpreise!$C$4:$C$26,0),MATCH(Produktpreise!$Q$4,Produktpreise!$B$4:$R$4,0))/(1-'Preise Output'!$G$8)/$F$10/F26),FALSE),"")</f>
        <v>0</v>
      </c>
      <c r="F26" s="77">
        <f>INDEX(Produktpreise!$B$4:$R$25,MATCH('Preise Output'!$B26,Produktpreise!$C$4:$C$25,0),MATCH('Preise Output'!F$16,Produktpreise!$B$4:$R$4,0))</f>
        <v>3</v>
      </c>
      <c r="G26" s="79">
        <f>D26*INDEX(Produktpreise!$B$4:$R$26,MATCH('Preise Output'!$B26,Produktpreise!$C$4:$C$26,0),MATCH('Preise Output'!G$16,Produktpreise!B$4:R$4,0))</f>
        <v>0</v>
      </c>
      <c r="H26" s="79">
        <f t="shared" si="0"/>
        <v>0</v>
      </c>
      <c r="I26" s="79">
        <f t="shared" si="16"/>
        <v>0</v>
      </c>
      <c r="J26" s="80" t="str">
        <f t="shared" si="1"/>
        <v/>
      </c>
      <c r="K26" s="79">
        <f t="shared" si="2"/>
        <v>0</v>
      </c>
      <c r="L26" s="79">
        <f t="shared" si="17"/>
        <v>0</v>
      </c>
      <c r="M26" s="79">
        <f t="shared" si="18"/>
        <v>0</v>
      </c>
      <c r="N26" s="79">
        <f t="shared" si="4"/>
        <v>0</v>
      </c>
      <c r="O26" s="79">
        <f t="shared" si="19"/>
        <v>0</v>
      </c>
      <c r="P26" s="81">
        <f t="shared" si="20"/>
        <v>0</v>
      </c>
      <c r="Q26" s="80" t="str">
        <f t="shared" si="21"/>
        <v/>
      </c>
      <c r="R26" s="82" t="str">
        <f t="shared" si="22"/>
        <v/>
      </c>
    </row>
    <row r="27" spans="2:32" ht="16.149999999999999" hidden="1" customHeight="1">
      <c r="B27" s="189" t="s">
        <v>44</v>
      </c>
      <c r="C27" s="78" t="s">
        <v>38</v>
      </c>
      <c r="D27" s="178">
        <v>0</v>
      </c>
      <c r="E27" s="78">
        <f>IFERROR(D27*ROUND((INDEX(Produktpreise!$B$4:$R$26,MATCH('Preise Output'!$B27,Produktpreise!$C$4:$C$26,0),MATCH(Produktpreise!$Q$4,Produktpreise!$B$4:$R$4,0))/(1-'Preise Output'!$G$8)/$F$10/F27),FALSE),"")</f>
        <v>0</v>
      </c>
      <c r="F27" s="77">
        <f>INDEX(Produktpreise!$B$4:$R$25,MATCH('Preise Output'!$B27,Produktpreise!$C$4:$C$25,0),MATCH('Preise Output'!F$16,Produktpreise!$B$4:$R$4,0))</f>
        <v>3</v>
      </c>
      <c r="G27" s="79">
        <f>D27*INDEX(Produktpreise!$B$4:$R$26,MATCH('Preise Output'!$B27,Produktpreise!$C$4:$C$26,0),MATCH('Preise Output'!G$16,Produktpreise!B$4:R$4,0))</f>
        <v>0</v>
      </c>
      <c r="H27" s="79">
        <f t="shared" si="0"/>
        <v>0</v>
      </c>
      <c r="I27" s="79">
        <f t="shared" ref="I27" si="23">G27+H27</f>
        <v>0</v>
      </c>
      <c r="J27" s="80" t="str">
        <f t="shared" si="1"/>
        <v/>
      </c>
      <c r="K27" s="79">
        <f t="shared" si="2"/>
        <v>0</v>
      </c>
      <c r="L27" s="79">
        <f t="shared" ref="L27" si="24">K27-K27/1.19</f>
        <v>0</v>
      </c>
      <c r="M27" s="79">
        <f t="shared" ref="M27" si="25">G27*1.19-G27</f>
        <v>0</v>
      </c>
      <c r="N27" s="79">
        <f t="shared" si="4"/>
        <v>0</v>
      </c>
      <c r="O27" s="79">
        <f t="shared" ref="O27" si="26">L27-M27-N27</f>
        <v>0</v>
      </c>
      <c r="P27" s="81">
        <f t="shared" ref="P27" si="27">IFERROR($H27-L27,"")</f>
        <v>0</v>
      </c>
      <c r="Q27" s="80" t="str">
        <f t="shared" ref="Q27" si="28">IFERROR(($H27-L27)/$I27,"")</f>
        <v/>
      </c>
      <c r="R27" s="82" t="str">
        <f t="shared" ref="R27" si="29">IFERROR((1-Q27)*F27,"")</f>
        <v/>
      </c>
    </row>
    <row r="28" spans="2:32" ht="16" customHeight="1">
      <c r="B28" s="77" t="s">
        <v>45</v>
      </c>
      <c r="C28" s="78" t="s">
        <v>42</v>
      </c>
      <c r="D28" s="178">
        <v>0</v>
      </c>
      <c r="E28" s="78">
        <f>IFERROR(D28*ROUND((INDEX(Produktpreise!$B$4:$R$26,MATCH('Preise Output'!$B28,Produktpreise!$C$4:$C$26,0),MATCH(Produktpreise!$Q$4,Produktpreise!$B$4:$R$4,0))/(1-'Preise Output'!$G$8)/$F$10/F28),FALSE),"")</f>
        <v>0</v>
      </c>
      <c r="F28" s="77">
        <v>3</v>
      </c>
      <c r="G28" s="79">
        <f>D28*INDEX(Produktpreise!$B$4:$R$26,MATCH('Preise Output'!$B28,Produktpreise!$C$4:$C$26,0),MATCH('Preise Output'!G$16,Produktpreise!B$4:R$4,0))</f>
        <v>0</v>
      </c>
      <c r="H28" s="79">
        <f t="shared" si="0"/>
        <v>0</v>
      </c>
      <c r="I28" s="79">
        <f t="shared" ref="I28" si="30">G28+H28</f>
        <v>0</v>
      </c>
      <c r="J28" s="80" t="str">
        <f t="shared" si="1"/>
        <v/>
      </c>
      <c r="K28" s="79">
        <f t="shared" si="2"/>
        <v>0</v>
      </c>
      <c r="L28" s="79">
        <f t="shared" ref="L28" si="31">K28-K28/1.19</f>
        <v>0</v>
      </c>
      <c r="M28" s="79">
        <f t="shared" si="3"/>
        <v>0</v>
      </c>
      <c r="N28" s="79">
        <f t="shared" si="4"/>
        <v>0</v>
      </c>
      <c r="O28" s="79">
        <f t="shared" si="5"/>
        <v>0</v>
      </c>
      <c r="P28" s="81">
        <f t="shared" si="6"/>
        <v>0</v>
      </c>
      <c r="Q28" s="80" t="str">
        <f t="shared" si="7"/>
        <v/>
      </c>
      <c r="R28" s="82" t="str">
        <f t="shared" si="8"/>
        <v/>
      </c>
    </row>
    <row r="29" spans="2:32" ht="16.149999999999999" customHeight="1">
      <c r="B29" s="77" t="s">
        <v>197</v>
      </c>
      <c r="C29" s="78" t="s">
        <v>38</v>
      </c>
      <c r="D29" s="178">
        <v>0</v>
      </c>
      <c r="E29" s="78">
        <f>IFERROR(D29*ROUND((INDEX(Produktpreise!$B$4:$R$26,MATCH('Preise Output'!$B29,Produktpreise!$C$4:$C$26,0),MATCH(Produktpreise!$Q$4,Produktpreise!$B$4:$R$4,0))/(1-'Preise Output'!$G$8)/$F$10/F29),FALSE),"")</f>
        <v>0</v>
      </c>
      <c r="F29" s="180">
        <v>3</v>
      </c>
      <c r="G29" s="79"/>
      <c r="H29" s="79">
        <f t="shared" si="0"/>
        <v>0</v>
      </c>
      <c r="I29" s="79">
        <f>G29+H29</f>
        <v>0</v>
      </c>
      <c r="J29" s="80" t="str">
        <f t="shared" si="1"/>
        <v/>
      </c>
      <c r="K29" s="79">
        <f t="shared" si="2"/>
        <v>0</v>
      </c>
      <c r="L29" s="79">
        <f>K29-K29/1.19</f>
        <v>0</v>
      </c>
      <c r="M29" s="79">
        <f>G29*1.19-G29</f>
        <v>0</v>
      </c>
      <c r="N29" s="79">
        <f t="shared" si="4"/>
        <v>0</v>
      </c>
      <c r="O29" s="79">
        <f>L29-M29-N29</f>
        <v>0</v>
      </c>
      <c r="P29" s="81">
        <f>IFERROR($H29-L29,"")</f>
        <v>0</v>
      </c>
      <c r="Q29" s="80" t="str">
        <f>IFERROR(($H29-L29)/$I29,"")</f>
        <v/>
      </c>
      <c r="R29" s="82" t="str">
        <f>IFERROR((1-Q29)*F29,"")</f>
        <v/>
      </c>
    </row>
    <row r="30" spans="2:32" ht="16.149999999999999" customHeight="1">
      <c r="B30" s="77" t="s">
        <v>213</v>
      </c>
      <c r="C30" s="78" t="s">
        <v>38</v>
      </c>
      <c r="D30" s="178">
        <v>0</v>
      </c>
      <c r="E30" s="78">
        <f>IFERROR(D30*ROUND((INDEX(Produktpreise!$B$4:$R$26,MATCH('Preise Output'!$B30,Produktpreise!$C$4:$C$26,0),MATCH(Produktpreise!$Q$4,Produktpreise!$B$4:$R$4,0))/(1-'Preise Output'!$G$8)/$F$10/F30),FALSE),"")</f>
        <v>0</v>
      </c>
      <c r="F30" s="77">
        <f>INDEX(Produktpreise!$B$4:$R$25,MATCH('Preise Output'!$B30,Produktpreise!$C$4:$C$25,0),MATCH('Preise Output'!F$16,Produktpreise!$B$4:$R$4,0))</f>
        <v>3</v>
      </c>
      <c r="G30" s="79">
        <f>D30*INDEX(Produktpreise!$B$4:$R$26,MATCH('Preise Output'!$B30,Produktpreise!$C$4:$C$26,0),MATCH('Preise Output'!G$16,Produktpreise!B$4:R$4,0))</f>
        <v>0</v>
      </c>
      <c r="H30" s="79">
        <f t="shared" si="0"/>
        <v>0</v>
      </c>
      <c r="I30" s="79">
        <f t="shared" si="14"/>
        <v>0</v>
      </c>
      <c r="J30" s="80" t="str">
        <f t="shared" si="1"/>
        <v/>
      </c>
      <c r="K30" s="79">
        <f t="shared" si="2"/>
        <v>0</v>
      </c>
      <c r="L30" s="79">
        <f t="shared" si="15"/>
        <v>0</v>
      </c>
      <c r="M30" s="79">
        <f t="shared" si="3"/>
        <v>0</v>
      </c>
      <c r="N30" s="79">
        <f t="shared" si="4"/>
        <v>0</v>
      </c>
      <c r="O30" s="79">
        <f t="shared" si="5"/>
        <v>0</v>
      </c>
      <c r="P30" s="81">
        <f t="shared" si="6"/>
        <v>0</v>
      </c>
      <c r="Q30" s="80" t="str">
        <f t="shared" si="7"/>
        <v/>
      </c>
      <c r="R30" s="82" t="str">
        <f t="shared" si="8"/>
        <v/>
      </c>
    </row>
    <row r="31" spans="2:32" ht="16.149999999999999" customHeight="1">
      <c r="B31" s="77" t="s">
        <v>214</v>
      </c>
      <c r="C31" s="78" t="s">
        <v>38</v>
      </c>
      <c r="D31" s="178">
        <v>0</v>
      </c>
      <c r="E31" s="78">
        <f>IFERROR(D31*ROUND((INDEX(Produktpreise!$B$4:$R$26,MATCH('Preise Output'!$B31,Produktpreise!$C$4:$C$26,0),MATCH(Produktpreise!$Q$4,Produktpreise!$B$4:$R$4,0))/(1-'Preise Output'!$G$8)/$F$10/F31),FALSE),"")</f>
        <v>0</v>
      </c>
      <c r="F31" s="77">
        <f>INDEX(Produktpreise!$B$4:$R$25,MATCH('Preise Output'!$B31,Produktpreise!$C$4:$C$25,0),MATCH('Preise Output'!F$16,Produktpreise!$B$4:$R$4,0))</f>
        <v>3</v>
      </c>
      <c r="G31" s="79">
        <f>D31*INDEX(Produktpreise!$B$4:$R$26,MATCH('Preise Output'!$B31,Produktpreise!$C$4:$C$26,0),MATCH('Preise Output'!G$16,Produktpreise!B$4:R$4,0))</f>
        <v>0</v>
      </c>
      <c r="H31" s="79">
        <f t="shared" si="0"/>
        <v>0</v>
      </c>
      <c r="I31" s="79">
        <f t="shared" si="14"/>
        <v>0</v>
      </c>
      <c r="J31" s="80" t="str">
        <f t="shared" si="1"/>
        <v/>
      </c>
      <c r="K31" s="79">
        <f t="shared" si="2"/>
        <v>0</v>
      </c>
      <c r="L31" s="79">
        <f t="shared" si="15"/>
        <v>0</v>
      </c>
      <c r="M31" s="79">
        <f t="shared" si="3"/>
        <v>0</v>
      </c>
      <c r="N31" s="79">
        <f t="shared" si="4"/>
        <v>0</v>
      </c>
      <c r="O31" s="79">
        <f t="shared" si="5"/>
        <v>0</v>
      </c>
      <c r="P31" s="81">
        <f t="shared" si="6"/>
        <v>0</v>
      </c>
      <c r="Q31" s="80" t="str">
        <f t="shared" si="7"/>
        <v/>
      </c>
      <c r="R31" s="82" t="str">
        <f t="shared" si="8"/>
        <v/>
      </c>
    </row>
    <row r="32" spans="2:32" ht="16.149999999999999" customHeight="1">
      <c r="B32" s="77" t="s">
        <v>215</v>
      </c>
      <c r="C32" s="78" t="s">
        <v>38</v>
      </c>
      <c r="D32" s="178">
        <v>0</v>
      </c>
      <c r="E32" s="78">
        <f>IFERROR(D32*ROUND((INDEX(Produktpreise!$B$4:$R$26,MATCH('Preise Output'!$B32,Produktpreise!$C$4:$C$26,0),MATCH(Produktpreise!$Q$4,Produktpreise!$B$4:$R$4,0))/(1-'Preise Output'!$G$8)/$F$10/F32),FALSE),"")</f>
        <v>0</v>
      </c>
      <c r="F32" s="77">
        <f>INDEX(Produktpreise!$B$4:$R$25,MATCH('Preise Output'!$B32,Produktpreise!$C$4:$C$25,0),MATCH('Preise Output'!F$16,Produktpreise!$B$4:$R$4,0))</f>
        <v>3</v>
      </c>
      <c r="G32" s="79">
        <f>D32*INDEX(Produktpreise!$B$4:$R$26,MATCH('Preise Output'!$B32,Produktpreise!$C$4:$C$26,0),MATCH('Preise Output'!G$16,Produktpreise!B$4:R$4,0))</f>
        <v>0</v>
      </c>
      <c r="H32" s="79">
        <f t="shared" si="0"/>
        <v>0</v>
      </c>
      <c r="I32" s="79">
        <f t="shared" si="14"/>
        <v>0</v>
      </c>
      <c r="J32" s="80" t="str">
        <f t="shared" si="1"/>
        <v/>
      </c>
      <c r="K32" s="79">
        <f t="shared" si="2"/>
        <v>0</v>
      </c>
      <c r="L32" s="79">
        <f t="shared" si="15"/>
        <v>0</v>
      </c>
      <c r="M32" s="79">
        <f t="shared" si="3"/>
        <v>0</v>
      </c>
      <c r="N32" s="79">
        <f t="shared" si="4"/>
        <v>0</v>
      </c>
      <c r="O32" s="79">
        <f t="shared" si="5"/>
        <v>0</v>
      </c>
      <c r="P32" s="81">
        <f t="shared" si="6"/>
        <v>0</v>
      </c>
      <c r="Q32" s="80" t="str">
        <f t="shared" si="7"/>
        <v/>
      </c>
      <c r="R32" s="82" t="str">
        <f t="shared" si="8"/>
        <v/>
      </c>
    </row>
    <row r="33" spans="2:18" ht="16.149999999999999" customHeight="1">
      <c r="B33" s="77" t="s">
        <v>227</v>
      </c>
      <c r="C33" s="78" t="s">
        <v>38</v>
      </c>
      <c r="D33" s="202">
        <f>IF(SUM(D36:D39)&gt;0,1,0)</f>
        <v>0</v>
      </c>
      <c r="E33" s="78">
        <f>IFERROR(D33*ROUND((INDEX(Produktpreise!$B$4:$R$26,MATCH('Preise Output'!$B33,Produktpreise!$C$4:$C$26,0),MATCH(Produktpreise!$Q$4,Produktpreise!$B$4:$R$4,0))/(1-'Preise Output'!$G$8)/$F$10/F33),FALSE),"")</f>
        <v>0</v>
      </c>
      <c r="F33" s="77">
        <f>INDEX(Produktpreise!$B$4:$R$25,MATCH('Preise Output'!$B33,Produktpreise!$C$4:$C$25,0),MATCH('Preise Output'!F$16,Produktpreise!$B$4:$R$4,0))</f>
        <v>3</v>
      </c>
      <c r="G33" s="79">
        <f>D33*INDEX(Produktpreise!$B$4:$R$26,MATCH('Preise Output'!$B33,Produktpreise!$C$4:$C$26,0),MATCH('Preise Output'!G$16,Produktpreise!B$4:R$4,0))</f>
        <v>0</v>
      </c>
      <c r="H33" s="79">
        <f t="shared" si="0"/>
        <v>0</v>
      </c>
      <c r="I33" s="79">
        <f t="shared" si="14"/>
        <v>0</v>
      </c>
      <c r="J33" s="80" t="str">
        <f t="shared" si="1"/>
        <v/>
      </c>
      <c r="K33" s="79">
        <f t="shared" si="2"/>
        <v>0</v>
      </c>
      <c r="L33" s="79">
        <f t="shared" si="15"/>
        <v>0</v>
      </c>
      <c r="M33" s="79">
        <f t="shared" si="3"/>
        <v>0</v>
      </c>
      <c r="N33" s="79">
        <f t="shared" si="4"/>
        <v>0</v>
      </c>
      <c r="O33" s="79">
        <f t="shared" si="5"/>
        <v>0</v>
      </c>
      <c r="P33" s="81">
        <f t="shared" si="6"/>
        <v>0</v>
      </c>
      <c r="Q33" s="80" t="str">
        <f t="shared" si="7"/>
        <v/>
      </c>
      <c r="R33" s="82" t="str">
        <f t="shared" si="8"/>
        <v/>
      </c>
    </row>
    <row r="34" spans="2:18" ht="16.149999999999999" customHeight="1">
      <c r="B34" s="77" t="s">
        <v>222</v>
      </c>
      <c r="C34" s="78" t="s">
        <v>38</v>
      </c>
      <c r="D34" s="202">
        <f>IF(((D36+D38)+2*(D37+D39))&gt;3,ROUNDDOWN(((D36+D38)+2*(D37+D39))/3-0.1,0),0)</f>
        <v>0</v>
      </c>
      <c r="E34" s="78">
        <f>IFERROR(D34*ROUND((INDEX(Produktpreise!$B$4:$R$26,MATCH('Preise Output'!$B34,Produktpreise!$C$4:$C$26,0),MATCH(Produktpreise!$Q$4,Produktpreise!$B$4:$R$4,0))/(1-'Preise Output'!$G$8)/$F$10/F34),FALSE),"")</f>
        <v>0</v>
      </c>
      <c r="F34" s="77">
        <f>INDEX(Produktpreise!$B$4:$R$25,MATCH('Preise Output'!$B34,Produktpreise!$C$4:$C$25,0),MATCH('Preise Output'!F$16,Produktpreise!$B$4:$R$4,0))</f>
        <v>3</v>
      </c>
      <c r="G34" s="79">
        <f>D34*INDEX(Produktpreise!$B$4:$R$26,MATCH('Preise Output'!$B34,Produktpreise!$C$4:$C$26,0),MATCH('Preise Output'!G$16,Produktpreise!B$4:R$4,0))</f>
        <v>0</v>
      </c>
      <c r="H34" s="79">
        <f t="shared" si="0"/>
        <v>0</v>
      </c>
      <c r="I34" s="79">
        <f t="shared" si="14"/>
        <v>0</v>
      </c>
      <c r="J34" s="80" t="str">
        <f t="shared" si="1"/>
        <v/>
      </c>
      <c r="K34" s="79">
        <f t="shared" si="2"/>
        <v>0</v>
      </c>
      <c r="L34" s="79">
        <f t="shared" si="15"/>
        <v>0</v>
      </c>
      <c r="M34" s="79">
        <f t="shared" si="3"/>
        <v>0</v>
      </c>
      <c r="N34" s="79">
        <f t="shared" si="4"/>
        <v>0</v>
      </c>
      <c r="O34" s="79">
        <f t="shared" si="5"/>
        <v>0</v>
      </c>
      <c r="P34" s="81">
        <f t="shared" si="6"/>
        <v>0</v>
      </c>
      <c r="Q34" s="80" t="str">
        <f t="shared" si="7"/>
        <v/>
      </c>
      <c r="R34" s="82" t="str">
        <f t="shared" si="8"/>
        <v/>
      </c>
    </row>
    <row r="35" spans="2:18" ht="16.149999999999999" customHeight="1">
      <c r="B35" s="77" t="s">
        <v>212</v>
      </c>
      <c r="C35" s="78" t="s">
        <v>38</v>
      </c>
      <c r="D35" s="178">
        <v>0</v>
      </c>
      <c r="E35" s="78">
        <f>IFERROR(D35*ROUND((INDEX(Produktpreise!$B$4:$R$26,MATCH('Preise Output'!$B35,Produktpreise!$C$4:$C$26,0),MATCH(Produktpreise!$Q$4,Produktpreise!$B$4:$R$4,0))/(1-'Preise Output'!$G$8)/$F$10/F35),FALSE),"")</f>
        <v>0</v>
      </c>
      <c r="F35" s="77">
        <f>INDEX(Produktpreise!$B$4:$R$25,MATCH('Preise Output'!$B35,Produktpreise!$C$4:$C$25,0),MATCH('Preise Output'!F$16,Produktpreise!$B$4:$R$4,0))</f>
        <v>3</v>
      </c>
      <c r="G35" s="79">
        <f>D35*INDEX(Produktpreise!$B$4:$R$26,MATCH('Preise Output'!$B35,Produktpreise!$C$4:$C$26,0),MATCH('Preise Output'!G$16,Produktpreise!B$4:R$4,0))</f>
        <v>0</v>
      </c>
      <c r="H35" s="79">
        <f t="shared" si="0"/>
        <v>0</v>
      </c>
      <c r="I35" s="79">
        <f t="shared" si="14"/>
        <v>0</v>
      </c>
      <c r="J35" s="80" t="str">
        <f t="shared" si="1"/>
        <v/>
      </c>
      <c r="K35" s="79">
        <f t="shared" si="2"/>
        <v>0</v>
      </c>
      <c r="L35" s="79">
        <f t="shared" si="15"/>
        <v>0</v>
      </c>
      <c r="M35" s="79">
        <f t="shared" si="3"/>
        <v>0</v>
      </c>
      <c r="N35" s="79">
        <f t="shared" si="4"/>
        <v>0</v>
      </c>
      <c r="O35" s="79">
        <f t="shared" si="5"/>
        <v>0</v>
      </c>
      <c r="P35" s="81">
        <f t="shared" si="6"/>
        <v>0</v>
      </c>
      <c r="Q35" s="80" t="str">
        <f t="shared" si="7"/>
        <v/>
      </c>
      <c r="R35" s="82" t="str">
        <f t="shared" si="8"/>
        <v/>
      </c>
    </row>
    <row r="36" spans="2:18" ht="16.149999999999999" customHeight="1">
      <c r="B36" s="77" t="s">
        <v>207</v>
      </c>
      <c r="C36" s="78" t="s">
        <v>38</v>
      </c>
      <c r="D36" s="178">
        <v>0</v>
      </c>
      <c r="E36" s="78">
        <f>IFERROR(D36*ROUND((INDEX(Produktpreise!$B$4:$R$26,MATCH('Preise Output'!$B36,Produktpreise!$C$4:$C$26,0),MATCH(Produktpreise!$Q$4,Produktpreise!$B$4:$R$4,0))/(1-'Preise Output'!$G$8)/$F$10/F36),FALSE),"")</f>
        <v>0</v>
      </c>
      <c r="F36" s="77">
        <f>INDEX(Produktpreise!$B$4:$R$25,MATCH('Preise Output'!$B36,Produktpreise!$C$4:$C$25,0),MATCH('Preise Output'!F$16,Produktpreise!$B$4:$R$4,0))</f>
        <v>3</v>
      </c>
      <c r="G36" s="79">
        <f>D36*INDEX(Produktpreise!$B$4:$R$26,MATCH('Preise Output'!$B36,Produktpreise!$C$4:$C$26,0),MATCH('Preise Output'!G$16,Produktpreise!B$4:R$4,0))</f>
        <v>0</v>
      </c>
      <c r="H36" s="79">
        <f t="shared" si="0"/>
        <v>0</v>
      </c>
      <c r="I36" s="79">
        <f t="shared" si="14"/>
        <v>0</v>
      </c>
      <c r="J36" s="80" t="str">
        <f t="shared" si="1"/>
        <v/>
      </c>
      <c r="K36" s="79">
        <f t="shared" si="2"/>
        <v>0</v>
      </c>
      <c r="L36" s="79">
        <f t="shared" si="15"/>
        <v>0</v>
      </c>
      <c r="M36" s="79">
        <f t="shared" si="3"/>
        <v>0</v>
      </c>
      <c r="N36" s="79">
        <f t="shared" si="4"/>
        <v>0</v>
      </c>
      <c r="O36" s="79">
        <f t="shared" si="5"/>
        <v>0</v>
      </c>
      <c r="P36" s="81">
        <f t="shared" si="6"/>
        <v>0</v>
      </c>
      <c r="Q36" s="80" t="str">
        <f t="shared" si="7"/>
        <v/>
      </c>
      <c r="R36" s="82" t="str">
        <f t="shared" si="8"/>
        <v/>
      </c>
    </row>
    <row r="37" spans="2:18" ht="16.149999999999999" customHeight="1">
      <c r="B37" s="77" t="s">
        <v>208</v>
      </c>
      <c r="C37" s="78" t="s">
        <v>38</v>
      </c>
      <c r="D37" s="178">
        <v>0</v>
      </c>
      <c r="E37" s="78">
        <f>IFERROR(D37*ROUND((INDEX(Produktpreise!$B$4:$R$26,MATCH('Preise Output'!$B37,Produktpreise!$C$4:$C$26,0),MATCH(Produktpreise!$Q$4,Produktpreise!$B$4:$R$4,0))/(1-'Preise Output'!$G$8)/$F$10/F37),FALSE),"")</f>
        <v>0</v>
      </c>
      <c r="F37" s="77">
        <f>INDEX(Produktpreise!$B$4:$R$25,MATCH('Preise Output'!$B37,Produktpreise!$C$4:$C$25,0),MATCH('Preise Output'!F$16,Produktpreise!$B$4:$R$4,0))</f>
        <v>3</v>
      </c>
      <c r="G37" s="79">
        <f>D37*INDEX(Produktpreise!$B$4:$R$26,MATCH('Preise Output'!$B37,Produktpreise!$C$4:$C$26,0),MATCH('Preise Output'!G$16,Produktpreise!B$4:R$4,0))</f>
        <v>0</v>
      </c>
      <c r="H37" s="79">
        <f t="shared" si="0"/>
        <v>0</v>
      </c>
      <c r="I37" s="79">
        <f t="shared" si="14"/>
        <v>0</v>
      </c>
      <c r="J37" s="80" t="str">
        <f t="shared" si="1"/>
        <v/>
      </c>
      <c r="K37" s="79">
        <f t="shared" si="2"/>
        <v>0</v>
      </c>
      <c r="L37" s="79">
        <f t="shared" si="15"/>
        <v>0</v>
      </c>
      <c r="M37" s="79">
        <f t="shared" si="3"/>
        <v>0</v>
      </c>
      <c r="N37" s="79">
        <f t="shared" si="4"/>
        <v>0</v>
      </c>
      <c r="O37" s="79">
        <f t="shared" si="5"/>
        <v>0</v>
      </c>
      <c r="P37" s="81">
        <f t="shared" si="6"/>
        <v>0</v>
      </c>
      <c r="Q37" s="80" t="str">
        <f t="shared" si="7"/>
        <v/>
      </c>
      <c r="R37" s="82" t="str">
        <f t="shared" si="8"/>
        <v/>
      </c>
    </row>
    <row r="38" spans="2:18" ht="16.149999999999999" customHeight="1">
      <c r="B38" s="77" t="s">
        <v>209</v>
      </c>
      <c r="C38" s="78" t="s">
        <v>38</v>
      </c>
      <c r="D38" s="178">
        <v>0</v>
      </c>
      <c r="E38" s="78">
        <f>IFERROR(D38*ROUND((INDEX(Produktpreise!$B$4:$R$26,MATCH('Preise Output'!$B38,Produktpreise!$C$4:$C$26,0),MATCH(Produktpreise!$Q$4,Produktpreise!$B$4:$R$4,0))/(1-'Preise Output'!$G$8)/$F$10/F38),FALSE),"")</f>
        <v>0</v>
      </c>
      <c r="F38" s="77">
        <f>INDEX(Produktpreise!$B$4:$R$25,MATCH('Preise Output'!$B38,Produktpreise!$C$4:$C$25,0),MATCH('Preise Output'!F$16,Produktpreise!$B$4:$R$4,0))</f>
        <v>3</v>
      </c>
      <c r="G38" s="79">
        <f>D38*INDEX(Produktpreise!$B$4:$R$26,MATCH('Preise Output'!$B38,Produktpreise!$C$4:$C$26,0),MATCH('Preise Output'!G$16,Produktpreise!B$4:R$4,0))</f>
        <v>0</v>
      </c>
      <c r="H38" s="79">
        <f t="shared" si="0"/>
        <v>0</v>
      </c>
      <c r="I38" s="79">
        <f t="shared" si="14"/>
        <v>0</v>
      </c>
      <c r="J38" s="80" t="str">
        <f t="shared" si="1"/>
        <v/>
      </c>
      <c r="K38" s="79">
        <f t="shared" si="2"/>
        <v>0</v>
      </c>
      <c r="L38" s="79">
        <f t="shared" si="15"/>
        <v>0</v>
      </c>
      <c r="M38" s="79">
        <f t="shared" si="3"/>
        <v>0</v>
      </c>
      <c r="N38" s="79">
        <f t="shared" si="4"/>
        <v>0</v>
      </c>
      <c r="O38" s="79">
        <f t="shared" si="5"/>
        <v>0</v>
      </c>
      <c r="P38" s="81">
        <f t="shared" si="6"/>
        <v>0</v>
      </c>
      <c r="Q38" s="80" t="str">
        <f t="shared" si="7"/>
        <v/>
      </c>
      <c r="R38" s="82" t="str">
        <f t="shared" si="8"/>
        <v/>
      </c>
    </row>
    <row r="39" spans="2:18" s="83" customFormat="1" ht="16.149999999999999" customHeight="1">
      <c r="B39" s="77" t="s">
        <v>210</v>
      </c>
      <c r="C39" s="78" t="s">
        <v>38</v>
      </c>
      <c r="D39" s="178">
        <v>0</v>
      </c>
      <c r="E39" s="78">
        <f>IFERROR(D39*ROUND((INDEX(Produktpreise!$B$4:$R$26,MATCH('Preise Output'!$B39,Produktpreise!$C$4:$C$26,0),MATCH(Produktpreise!$Q$4,Produktpreise!$B$4:$R$4,0))/(1-'Preise Output'!$G$8)/$F$10/F39),FALSE),"")</f>
        <v>0</v>
      </c>
      <c r="F39" s="77">
        <f>INDEX(Produktpreise!$B$4:$R$26,MATCH('Preise Output'!$B39,Produktpreise!$C$4:$C$26,0),MATCH('Preise Output'!F$16,Produktpreise!$B$4:$R$4,0))</f>
        <v>3</v>
      </c>
      <c r="G39" s="79">
        <f>D39*INDEX(Produktpreise!$B$4:$R$26,MATCH('Preise Output'!$B39,Produktpreise!$C$4:$C$26,0),MATCH('Preise Output'!G$16,Produktpreise!B$4:R$4,0))</f>
        <v>0</v>
      </c>
      <c r="H39" s="79">
        <f t="shared" si="0"/>
        <v>0</v>
      </c>
      <c r="I39" s="79">
        <f t="shared" si="14"/>
        <v>0</v>
      </c>
      <c r="J39" s="80" t="str">
        <f t="shared" si="1"/>
        <v/>
      </c>
      <c r="K39" s="79">
        <f t="shared" si="2"/>
        <v>0</v>
      </c>
      <c r="L39" s="79">
        <f t="shared" si="15"/>
        <v>0</v>
      </c>
      <c r="M39" s="79">
        <f t="shared" si="3"/>
        <v>0</v>
      </c>
      <c r="N39" s="79">
        <f t="shared" si="4"/>
        <v>0</v>
      </c>
      <c r="O39" s="79">
        <f t="shared" si="5"/>
        <v>0</v>
      </c>
      <c r="P39" s="81">
        <f t="shared" si="6"/>
        <v>0</v>
      </c>
      <c r="Q39" s="80" t="str">
        <f t="shared" si="7"/>
        <v/>
      </c>
      <c r="R39" s="82" t="str">
        <f t="shared" si="8"/>
        <v/>
      </c>
    </row>
    <row r="40" spans="2:18" s="83" customFormat="1">
      <c r="C40" s="84"/>
      <c r="D40" s="85"/>
      <c r="E40" s="84"/>
      <c r="F40" s="86"/>
      <c r="G40" s="87"/>
      <c r="H40" s="87"/>
      <c r="I40" s="87"/>
      <c r="J40" s="88"/>
      <c r="K40" s="87"/>
      <c r="L40" s="87"/>
      <c r="M40" s="87"/>
      <c r="N40" s="87"/>
      <c r="O40" s="87"/>
      <c r="P40" s="87"/>
      <c r="Q40" s="87"/>
      <c r="R40" s="87"/>
    </row>
    <row r="41" spans="2:18" s="94" customFormat="1" ht="19">
      <c r="B41" s="89" t="s">
        <v>56</v>
      </c>
      <c r="C41" s="89"/>
      <c r="D41" s="90">
        <f>SUBTOTAL(9,D18:D39)</f>
        <v>6</v>
      </c>
      <c r="E41" s="91">
        <f>SUBTOTAL(9,E18:E39)</f>
        <v>339</v>
      </c>
      <c r="F41" s="91">
        <f>SUBTOTAL(1,F18:F39)</f>
        <v>3</v>
      </c>
      <c r="G41" s="91">
        <f>SUBTOTAL(9,G18:G39)</f>
        <v>21786</v>
      </c>
      <c r="H41" s="91">
        <f>SUBTOTAL(9,H18:H39)</f>
        <v>20928</v>
      </c>
      <c r="I41" s="91">
        <f>SUBTOTAL(9,I18:I39)</f>
        <v>42714</v>
      </c>
      <c r="J41" s="92">
        <f>H41/I41</f>
        <v>0.48995645455822445</v>
      </c>
      <c r="K41" s="91">
        <f t="shared" ref="K41:P41" si="32">SUBTOTAL(9,K18:K39)</f>
        <v>50850</v>
      </c>
      <c r="L41" s="91">
        <f t="shared" si="32"/>
        <v>8118.9075630252082</v>
      </c>
      <c r="M41" s="91">
        <f t="shared" si="32"/>
        <v>4139.3399999999983</v>
      </c>
      <c r="N41" s="91">
        <f t="shared" si="32"/>
        <v>676.30500000000006</v>
      </c>
      <c r="O41" s="91">
        <f t="shared" si="32"/>
        <v>3303.2625630252096</v>
      </c>
      <c r="P41" s="91">
        <f t="shared" si="32"/>
        <v>12809.092436974792</v>
      </c>
      <c r="Q41" s="92">
        <f>($H41-L41)/$I41</f>
        <v>0.29988042414605964</v>
      </c>
      <c r="R41" s="93">
        <f>IFERROR((1-Q41)*F41,"")</f>
        <v>2.100358727561821</v>
      </c>
    </row>
  </sheetData>
  <autoFilter ref="B16:M39" xr:uid="{00000000-0009-0000-0000-000000000000}"/>
  <conditionalFormatting sqref="C28 C18:C20 C30:C39 C23:C26">
    <cfRule type="cellIs" dxfId="25" priority="35" operator="equal">
      <formula>"Verfügbar als Firmenwagen"</formula>
    </cfRule>
    <cfRule type="cellIs" dxfId="24" priority="36" operator="equal">
      <formula>"Verfügbar"</formula>
    </cfRule>
    <cfRule type="cellIs" dxfId="23" priority="37" operator="equal">
      <formula>"Nicht verfügbar"</formula>
    </cfRule>
  </conditionalFormatting>
  <conditionalFormatting sqref="F9">
    <cfRule type="containsText" dxfId="22" priority="15" operator="containsText" text="Bitte Produkt auswählen">
      <formula>NOT(ISERROR(SEARCH("Bitte Produkt auswählen",F9)))</formula>
    </cfRule>
    <cfRule type="cellIs" dxfId="21" priority="22" operator="lessThan">
      <formula>0.195</formula>
    </cfRule>
    <cfRule type="cellIs" dxfId="20" priority="23" operator="lessThan">
      <formula>0.295</formula>
    </cfRule>
    <cfRule type="cellIs" dxfId="19" priority="25" operator="greaterThanOrEqual">
      <formula>0.295</formula>
    </cfRule>
  </conditionalFormatting>
  <conditionalFormatting sqref="C29:C34">
    <cfRule type="cellIs" dxfId="18" priority="19" operator="equal">
      <formula>"Verfügbar als Firmenwagen"</formula>
    </cfRule>
    <cfRule type="cellIs" dxfId="17" priority="20" operator="equal">
      <formula>"Verfügbar"</formula>
    </cfRule>
    <cfRule type="cellIs" dxfId="16" priority="21" operator="equal">
      <formula>"Nicht verfügbar"</formula>
    </cfRule>
  </conditionalFormatting>
  <conditionalFormatting sqref="C21">
    <cfRule type="cellIs" dxfId="15" priority="16" operator="equal">
      <formula>"Verfügbar als Firmenwagen"</formula>
    </cfRule>
    <cfRule type="cellIs" dxfId="14" priority="17" operator="equal">
      <formula>"Verfügbar"</formula>
    </cfRule>
    <cfRule type="cellIs" dxfId="13" priority="18" operator="equal">
      <formula>"Nicht verfügbar"</formula>
    </cfRule>
  </conditionalFormatting>
  <conditionalFormatting sqref="C22">
    <cfRule type="cellIs" dxfId="12" priority="12" operator="equal">
      <formula>"Verfügbar als Firmenwagen"</formula>
    </cfRule>
    <cfRule type="cellIs" dxfId="11" priority="13" operator="equal">
      <formula>"Verfügbar"</formula>
    </cfRule>
    <cfRule type="cellIs" dxfId="10" priority="14" operator="equal">
      <formula>"Nicht verfügbar"</formula>
    </cfRule>
  </conditionalFormatting>
  <conditionalFormatting sqref="C27">
    <cfRule type="cellIs" dxfId="9" priority="9" operator="equal">
      <formula>"Verfügbar als Firmenwagen"</formula>
    </cfRule>
    <cfRule type="cellIs" dxfId="8" priority="10" operator="equal">
      <formula>"Verfügbar"</formula>
    </cfRule>
    <cfRule type="cellIs" dxfId="7" priority="11" operator="equal">
      <formula>"Nicht verfügbar"</formula>
    </cfRule>
  </conditionalFormatting>
  <conditionalFormatting sqref="C35:C36">
    <cfRule type="cellIs" dxfId="6" priority="6" operator="equal">
      <formula>"Verfügbar als Firmenwagen"</formula>
    </cfRule>
    <cfRule type="cellIs" dxfId="5" priority="7" operator="equal">
      <formula>"Verfügbar"</formula>
    </cfRule>
    <cfRule type="cellIs" dxfId="4" priority="8" operator="equal">
      <formula>"Nicht verfügbar"</formula>
    </cfRule>
  </conditionalFormatting>
  <conditionalFormatting sqref="C37:C39">
    <cfRule type="cellIs" dxfId="3" priority="3" operator="equal">
      <formula>"Verfügbar als Firmenwagen"</formula>
    </cfRule>
    <cfRule type="cellIs" dxfId="2" priority="4" operator="equal">
      <formula>"Verfügbar"</formula>
    </cfRule>
    <cfRule type="cellIs" dxfId="1" priority="5" operator="equal">
      <formula>"Nicht verfügbar"</formula>
    </cfRule>
  </conditionalFormatting>
  <conditionalFormatting sqref="G41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41"/>
  <sheetViews>
    <sheetView showGridLines="0" zoomScale="85" zoomScaleNormal="85" workbookViewId="0">
      <selection activeCell="C6" sqref="C6"/>
    </sheetView>
  </sheetViews>
  <sheetFormatPr baseColWidth="10" defaultColWidth="8.7265625" defaultRowHeight="14"/>
  <cols>
    <col min="1" max="1" width="3" style="100" customWidth="1"/>
    <col min="2" max="2" width="41" style="100" bestFit="1" customWidth="1"/>
    <col min="3" max="3" width="37.26953125" style="99" bestFit="1" customWidth="1"/>
    <col min="4" max="16384" width="8.7265625" style="100"/>
  </cols>
  <sheetData>
    <row r="2" spans="2:11">
      <c r="B2" s="109" t="s">
        <v>57</v>
      </c>
      <c r="C2" s="110">
        <v>25</v>
      </c>
    </row>
    <row r="3" spans="2:11">
      <c r="B3" s="109" t="s">
        <v>58</v>
      </c>
      <c r="C3" s="110">
        <v>40</v>
      </c>
    </row>
    <row r="4" spans="2:11">
      <c r="B4" s="109" t="s">
        <v>59</v>
      </c>
      <c r="C4" s="109">
        <f>+C3-C2</f>
        <v>15</v>
      </c>
    </row>
    <row r="5" spans="2:11" ht="6" customHeight="1">
      <c r="C5" s="100"/>
    </row>
    <row r="6" spans="2:11">
      <c r="B6" s="109" t="s">
        <v>60</v>
      </c>
      <c r="C6" s="110" t="s">
        <v>207</v>
      </c>
      <c r="D6" s="128" t="str">
        <f>IF(C7="--","Dieses Produkt ist im Angebot nicht ausgewählt worden. Bitte die richtige Anzahl an Produkten auf dem Tab Preise Output angeben","")</f>
        <v>Dieses Produkt ist im Angebot nicht ausgewählt worden. Bitte die richtige Anzahl an Produkten auf dem Tab Preise Output angeben</v>
      </c>
    </row>
    <row r="7" spans="2:11">
      <c r="B7" s="109" t="s">
        <v>61</v>
      </c>
      <c r="C7" s="109" t="str">
        <f>IFERROR(INDEX('Preise Output'!$B$18:$E$39,MATCH(Preisvergleich!$C$6,'Preise Output'!$B$18:$B$39,0),4)/INDEX('Preise Output'!$B$18:$E$39,MATCH(Preisvergleich!$C$6,'Preise Output'!$B$18:$B$39,0),3),"--")</f>
        <v>--</v>
      </c>
    </row>
    <row r="9" spans="2:11">
      <c r="B9" s="119" t="s">
        <v>62</v>
      </c>
      <c r="C9" s="120"/>
    </row>
    <row r="11" spans="2:11">
      <c r="B11" s="115" t="s">
        <v>63</v>
      </c>
      <c r="C11" s="116">
        <f>INDEX(Produktpreise!$B$33:$S$54,MATCH(Preisvergleich!$C$6,Produktpreise!$C$33:$C$54,0),MATCH(Preisvergleich!B11,Produktpreise!$B$32:$S$32,0))</f>
        <v>4799.8999999999996</v>
      </c>
      <c r="D11" s="182" t="s">
        <v>203</v>
      </c>
      <c r="E11" s="183"/>
      <c r="F11" s="183"/>
      <c r="G11" s="184"/>
    </row>
    <row r="12" spans="2:11">
      <c r="B12" s="115" t="s">
        <v>196</v>
      </c>
      <c r="C12" s="116">
        <f>INDEX(Produktpreise!$B$33:$S$54,MATCH(Preisvergleich!$C$6,Produktpreise!$C$33:$C$54,0),MATCH(Preisvergleich!B12,Produktpreise!$B$32:$S$32,0))</f>
        <v>870</v>
      </c>
      <c r="D12" s="185"/>
      <c r="E12" s="185"/>
      <c r="F12" s="185"/>
      <c r="G12" s="186"/>
      <c r="I12" s="188"/>
      <c r="J12" s="188"/>
    </row>
    <row r="13" spans="2:11">
      <c r="B13" s="115" t="s">
        <v>64</v>
      </c>
      <c r="C13" s="116">
        <f>INDEX(Produktpreise!$B$33:$S$54,MATCH(Preisvergleich!$C$6,Produktpreise!$C$33:$C$54,0),MATCH(Preisvergleich!B13,Produktpreise!$B$32:$S$32,0))*2</f>
        <v>150</v>
      </c>
      <c r="D13" s="190"/>
      <c r="E13" s="190"/>
      <c r="F13" s="190"/>
      <c r="G13" s="190"/>
      <c r="I13" s="188"/>
      <c r="J13" s="188"/>
    </row>
    <row r="14" spans="2:11">
      <c r="B14" s="115" t="s">
        <v>158</v>
      </c>
      <c r="C14" s="116">
        <f>INDEX(Produktpreise!$B$33:$S$54,MATCH(Preisvergleich!$C$6,Produktpreise!$C$33:$C$54,0),MATCH(Preisvergleich!B14,Produktpreise!$B$32:$S$32,0))*3</f>
        <v>0</v>
      </c>
      <c r="D14" s="100" t="s">
        <v>198</v>
      </c>
      <c r="K14" s="188"/>
    </row>
    <row r="15" spans="2:11">
      <c r="B15" s="115" t="s">
        <v>65</v>
      </c>
      <c r="C15" s="116">
        <f>INDEX(Produktpreise!$B$33:$S$54,MATCH(Preisvergleich!$C$6,Produktpreise!$C$33:$C$54,0),MATCH(Preisvergleich!B15,Produktpreise!$B$32:$S$32,0))</f>
        <v>0</v>
      </c>
      <c r="D15" s="203" t="s">
        <v>225</v>
      </c>
      <c r="E15" s="203"/>
      <c r="F15" s="203"/>
      <c r="G15" s="203"/>
      <c r="H15" s="203"/>
      <c r="I15" s="203"/>
    </row>
    <row r="16" spans="2:11">
      <c r="B16" s="115" t="s">
        <v>66</v>
      </c>
      <c r="C16" s="116">
        <f>INDEX(Produktpreise!$B$33:$S$54,MATCH(Preisvergleich!$C$6,Produktpreise!$C$33:$C$54,0),MATCH(Preisvergleich!B16,Produktpreise!$B$32:$S$32,0))*3</f>
        <v>718.19999999999993</v>
      </c>
    </row>
    <row r="17" spans="2:11">
      <c r="B17" s="101" t="s">
        <v>191</v>
      </c>
      <c r="C17" s="111">
        <f>INDEX(Produktpreise!$B$33:$S$54,MATCH(Preisvergleich!$C$6,Produktpreise!$C$33:$C$54,0),MATCH(Preisvergleich!B17,Produktpreise!$B$32:$S$32,0))</f>
        <v>0</v>
      </c>
    </row>
    <row r="18" spans="2:11">
      <c r="B18" s="112" t="s">
        <v>68</v>
      </c>
      <c r="C18" s="113">
        <f>INDEX(Produktpreise!$B$33:$S$54,MATCH(Preisvergleich!$C$6,Produktpreise!$C$33:$C$54,0),MATCH(Preisvergleich!B18,Produktpreise!$B$32:$S$32,0))*3</f>
        <v>0</v>
      </c>
      <c r="K18" s="188"/>
    </row>
    <row r="19" spans="2:11">
      <c r="B19" s="101" t="s">
        <v>199</v>
      </c>
      <c r="C19" s="99">
        <f>SUM(C11:C18)</f>
        <v>6538.0999999999995</v>
      </c>
      <c r="D19" s="188"/>
    </row>
    <row r="20" spans="2:11" ht="14.5" thickBot="1">
      <c r="B20" s="102" t="s">
        <v>69</v>
      </c>
      <c r="C20" s="103">
        <f>(C19-C18)*0.19</f>
        <v>1242.2389999999998</v>
      </c>
      <c r="D20" s="100" t="s">
        <v>206</v>
      </c>
    </row>
    <row r="21" spans="2:11">
      <c r="B21" s="104" t="s">
        <v>200</v>
      </c>
      <c r="C21" s="105">
        <f>SUM(C19:C20)</f>
        <v>7780.338999999999</v>
      </c>
    </row>
    <row r="24" spans="2:11">
      <c r="B24" s="119" t="s">
        <v>70</v>
      </c>
      <c r="C24" s="120"/>
    </row>
    <row r="25" spans="2:11" ht="6.65" customHeight="1"/>
    <row r="26" spans="2:11">
      <c r="B26" s="106" t="s">
        <v>71</v>
      </c>
    </row>
    <row r="27" spans="2:11">
      <c r="B27" s="117" t="str">
        <f>C7&amp;" "&amp;"Gutscheine"&amp;" "&amp;"x"&amp;" "&amp;INDEX('Preise Output'!$B$16:$F$39,MATCH(Preisvergleich!$C$6,'Preise Output'!$B$16:$B$39,0),5)&amp;" "&amp;"Jahre"&amp;" "&amp;"("&amp;'Preise Output'!F7&amp;"€"&amp;" "&amp;"je"&amp;" "&amp;"Gutschein"&amp;")"</f>
        <v>-- Gutscheine x 3 Jahre (50€ je Gutschein)</v>
      </c>
      <c r="C27" s="114" t="str">
        <f>IFERROR(C7*INDEX('Preise Output'!$B$16:$F$39,MATCH(Preisvergleich!$C$6,'Preise Output'!$B$16:$B$39,0),5)*'Preise Output'!$F$7,"--")</f>
        <v>--</v>
      </c>
    </row>
    <row r="28" spans="2:11">
      <c r="B28" s="100" t="s">
        <v>72</v>
      </c>
      <c r="C28" s="99" t="str">
        <f>IFERROR(C27-C27/1.07,"--")</f>
        <v>--</v>
      </c>
    </row>
    <row r="30" spans="2:11">
      <c r="B30" s="106" t="s">
        <v>73</v>
      </c>
    </row>
    <row r="31" spans="2:11">
      <c r="B31" s="117" t="s">
        <v>74</v>
      </c>
      <c r="C31" s="114" t="str">
        <f>C27</f>
        <v>--</v>
      </c>
    </row>
    <row r="32" spans="2:11">
      <c r="B32" s="100" t="s">
        <v>69</v>
      </c>
      <c r="C32" s="111" t="str">
        <f>IFERROR(C31-C31/1.19,"--")</f>
        <v>--</v>
      </c>
    </row>
    <row r="35" spans="2:3">
      <c r="B35" s="98" t="s">
        <v>75</v>
      </c>
    </row>
    <row r="36" spans="2:3">
      <c r="B36" s="117" t="str">
        <f>C4&amp;"€"&amp;" "&amp;"je"&amp;" "&amp;"Gutschein"&amp;" "&amp;"x"&amp;" "&amp;C7&amp;" "&amp;"Roomnights"&amp;" "&amp;"x"&amp;" "&amp;INDEX('Preise Output'!$B$16:$F$39,MATCH(Preisvergleich!$C$6,'Preise Output'!$B$16:$B$39,0),5)&amp;" "&amp;"Jahre"</f>
        <v>15€ je Gutschein x -- Roomnights x 3 Jahre</v>
      </c>
      <c r="C36" s="114" t="str">
        <f>IFERROR(C4*C7*INDEX('Preise Output'!$B$16:$F$39,MATCH(Preisvergleich!$C$6,'Preise Output'!$B$16:$B$39,0),5),"--")</f>
        <v>--</v>
      </c>
    </row>
    <row r="37" spans="2:3">
      <c r="B37" s="118" t="s">
        <v>76</v>
      </c>
      <c r="C37" s="116" t="str">
        <f>C28</f>
        <v>--</v>
      </c>
    </row>
    <row r="38" spans="2:3" ht="14.5" thickBot="1">
      <c r="B38" s="126" t="s">
        <v>77</v>
      </c>
      <c r="C38" s="127" t="str">
        <f>IFERROR(-C32,"--")</f>
        <v>--</v>
      </c>
    </row>
    <row r="39" spans="2:3">
      <c r="B39" s="98" t="s">
        <v>78</v>
      </c>
      <c r="C39" s="105">
        <f>SUM(C36:C38)</f>
        <v>0</v>
      </c>
    </row>
    <row r="41" spans="2:3">
      <c r="B41" s="107" t="s">
        <v>79</v>
      </c>
      <c r="C41" s="108">
        <f>C19-C39</f>
        <v>6538.0999999999995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Output'!$B$18:$B$39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41" activePane="bottomRight" state="frozen"/>
      <selection pane="topRight" activeCell="B28" sqref="B28"/>
      <selection pane="bottomLeft" activeCell="B28" sqref="B28"/>
      <selection pane="bottomRight" activeCell="M51" sqref="M51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6" customFormat="1" ht="24" customHeight="1">
      <c r="B2" s="96" t="s">
        <v>80</v>
      </c>
      <c r="Q2" s="97"/>
    </row>
    <row r="3" spans="2:19">
      <c r="G3" t="s">
        <v>63</v>
      </c>
      <c r="H3" t="s">
        <v>194</v>
      </c>
      <c r="I3" t="s">
        <v>82</v>
      </c>
      <c r="J3" t="s">
        <v>83</v>
      </c>
      <c r="K3" t="s">
        <v>65</v>
      </c>
      <c r="N3" t="s">
        <v>68</v>
      </c>
      <c r="O3" t="s">
        <v>186</v>
      </c>
    </row>
    <row r="4" spans="2:19" s="1" customFormat="1" ht="58">
      <c r="B4" s="124" t="s">
        <v>7</v>
      </c>
      <c r="C4" s="124" t="s">
        <v>60</v>
      </c>
      <c r="D4" s="124" t="s">
        <v>84</v>
      </c>
      <c r="E4" s="124" t="s">
        <v>85</v>
      </c>
      <c r="F4" s="124" t="s">
        <v>86</v>
      </c>
      <c r="G4" s="124" t="s">
        <v>188</v>
      </c>
      <c r="H4" s="124" t="s">
        <v>195</v>
      </c>
      <c r="I4" s="124" t="s">
        <v>89</v>
      </c>
      <c r="J4" s="124" t="s">
        <v>90</v>
      </c>
      <c r="K4" s="124" t="s">
        <v>91</v>
      </c>
      <c r="L4" s="124" t="s">
        <v>92</v>
      </c>
      <c r="M4" s="124" t="s">
        <v>93</v>
      </c>
      <c r="N4" s="124" t="s">
        <v>217</v>
      </c>
      <c r="O4" s="124" t="s">
        <v>191</v>
      </c>
      <c r="P4" s="124" t="s">
        <v>25</v>
      </c>
      <c r="Q4" s="125" t="s">
        <v>26</v>
      </c>
      <c r="R4" s="124" t="s">
        <v>95</v>
      </c>
      <c r="S4" s="124" t="s">
        <v>96</v>
      </c>
    </row>
    <row r="5" spans="2:19" s="1" customFormat="1">
      <c r="B5" s="9" t="s">
        <v>97</v>
      </c>
      <c r="C5" s="10" t="s">
        <v>189</v>
      </c>
      <c r="D5" s="10" t="s">
        <v>98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97</v>
      </c>
      <c r="C6" s="10" t="s">
        <v>190</v>
      </c>
      <c r="D6" s="10" t="s">
        <v>98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97</v>
      </c>
      <c r="C7" s="10" t="s">
        <v>202</v>
      </c>
      <c r="D7" s="10" t="s">
        <v>98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97</v>
      </c>
      <c r="C8" s="10" t="s">
        <v>193</v>
      </c>
      <c r="D8" s="10" t="s">
        <v>98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97</v>
      </c>
      <c r="C9" s="10" t="s">
        <v>39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99</v>
      </c>
      <c r="C10" s="15" t="s">
        <v>185</v>
      </c>
      <c r="D10" s="15" t="s">
        <v>98</v>
      </c>
      <c r="E10" s="15"/>
      <c r="F10" s="16">
        <v>0</v>
      </c>
      <c r="G10" s="16">
        <f>1229*1.07</f>
        <v>1315.03</v>
      </c>
      <c r="H10" s="16">
        <v>35</v>
      </c>
      <c r="I10" s="191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>
      <c r="B11" s="14" t="s">
        <v>99</v>
      </c>
      <c r="C11" s="15" t="s">
        <v>40</v>
      </c>
      <c r="D11" s="15" t="s">
        <v>98</v>
      </c>
      <c r="E11" s="15"/>
      <c r="F11" s="16">
        <v>0</v>
      </c>
      <c r="G11" s="16">
        <f>650.75*1.07</f>
        <v>696.30250000000001</v>
      </c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1247.3025</v>
      </c>
      <c r="R11" s="18">
        <f t="shared" si="2"/>
        <v>415.76749999999998</v>
      </c>
      <c r="S11" s="15"/>
    </row>
    <row r="12" spans="2:19" s="5" customFormat="1" ht="29">
      <c r="B12" s="19" t="s">
        <v>100</v>
      </c>
      <c r="C12" s="19" t="s">
        <v>41</v>
      </c>
      <c r="D12" s="20" t="s">
        <v>98</v>
      </c>
      <c r="E12" s="20"/>
      <c r="F12" s="21"/>
      <c r="G12" s="22">
        <v>1371.2</v>
      </c>
      <c r="H12" s="22">
        <f>850+249</f>
        <v>1099</v>
      </c>
      <c r="I12" s="22">
        <f>20*2+35</f>
        <v>75</v>
      </c>
      <c r="J12" s="22"/>
      <c r="K12" s="22"/>
      <c r="L12" s="22">
        <f>39*12/2</f>
        <v>234</v>
      </c>
      <c r="M12" s="22">
        <f>7.5*12</f>
        <v>90</v>
      </c>
      <c r="N12" s="22"/>
      <c r="O12" s="22"/>
      <c r="P12" s="23">
        <v>3</v>
      </c>
      <c r="Q12" s="24">
        <f>G12+H12+I12*(P12-1)+M12*P12+L12*P12</f>
        <v>3592.2</v>
      </c>
      <c r="R12" s="24">
        <f t="shared" ref="R12:R13" si="3">Q12/P12</f>
        <v>1197.3999999999999</v>
      </c>
      <c r="S12" s="19"/>
    </row>
    <row r="13" spans="2:19" s="5" customFormat="1" ht="29">
      <c r="B13" s="19" t="s">
        <v>100</v>
      </c>
      <c r="C13" s="19" t="s">
        <v>43</v>
      </c>
      <c r="D13" s="20" t="s">
        <v>98</v>
      </c>
      <c r="E13" s="20"/>
      <c r="F13" s="21"/>
      <c r="G13" s="22">
        <v>3522.4</v>
      </c>
      <c r="H13" s="22">
        <f>1700+249</f>
        <v>1949</v>
      </c>
      <c r="I13" s="22">
        <f>I12*2</f>
        <v>150</v>
      </c>
      <c r="J13" s="22"/>
      <c r="K13" s="22"/>
      <c r="L13" s="22">
        <f>39*12</f>
        <v>468</v>
      </c>
      <c r="M13" s="22">
        <f>7.5*2*12</f>
        <v>180</v>
      </c>
      <c r="N13" s="22"/>
      <c r="O13" s="22"/>
      <c r="P13" s="23">
        <v>3</v>
      </c>
      <c r="Q13" s="24">
        <f>G13+H13+I13*(P13-1)+M13*P13+L13*P13</f>
        <v>7715.4</v>
      </c>
      <c r="R13" s="24">
        <f t="shared" si="3"/>
        <v>2571.7999999999997</v>
      </c>
      <c r="S13" s="19"/>
    </row>
    <row r="14" spans="2:19" s="1" customFormat="1">
      <c r="B14" s="9" t="s">
        <v>65</v>
      </c>
      <c r="C14" s="10" t="s">
        <v>44</v>
      </c>
      <c r="D14" s="10"/>
      <c r="E14" s="10"/>
      <c r="F14" s="11">
        <v>0</v>
      </c>
      <c r="G14" s="36">
        <v>410</v>
      </c>
      <c r="H14" s="11"/>
      <c r="I14" s="11"/>
      <c r="J14" s="11"/>
      <c r="K14" s="11"/>
      <c r="L14" s="11"/>
      <c r="M14" s="11"/>
      <c r="N14" s="11"/>
      <c r="O14" s="11"/>
      <c r="P14" s="12">
        <v>3</v>
      </c>
      <c r="Q14" s="13">
        <f>G14+H14+K14+I14*(P14-1)+N14*P14+J14*P14+O14</f>
        <v>410</v>
      </c>
      <c r="R14" s="13">
        <f>Q14/P14</f>
        <v>136.66666666666666</v>
      </c>
      <c r="S14" s="10"/>
    </row>
    <row r="15" spans="2:19" s="1" customFormat="1">
      <c r="B15" s="9" t="s">
        <v>101</v>
      </c>
      <c r="C15" s="10" t="s">
        <v>45</v>
      </c>
      <c r="D15" s="10" t="s">
        <v>98</v>
      </c>
      <c r="E15" s="10"/>
      <c r="F15" s="11">
        <f>1925+825</f>
        <v>2750</v>
      </c>
      <c r="G15" s="36">
        <v>90.62</v>
      </c>
      <c r="H15" s="11"/>
      <c r="I15" s="11">
        <v>199</v>
      </c>
      <c r="J15" s="11">
        <v>79</v>
      </c>
      <c r="K15" s="11">
        <v>40</v>
      </c>
      <c r="L15" s="11"/>
      <c r="M15" s="11"/>
      <c r="N15" s="11">
        <v>93.9</v>
      </c>
      <c r="O15" s="11">
        <v>100</v>
      </c>
      <c r="P15" s="12">
        <v>3</v>
      </c>
      <c r="Q15" s="13">
        <f>F15+G15*12*P15+H15+I15*2+(N15+J15)*P15+K15+O15</f>
        <v>7069.0199999999995</v>
      </c>
      <c r="R15" s="13">
        <f t="shared" ref="R15:R16" si="4">Q15/P15</f>
        <v>2356.3399999999997</v>
      </c>
      <c r="S15" s="10"/>
    </row>
    <row r="16" spans="2:19" s="1" customFormat="1">
      <c r="B16" s="31" t="s">
        <v>101</v>
      </c>
      <c r="C16" s="32" t="s">
        <v>197</v>
      </c>
      <c r="D16" s="32" t="s">
        <v>98</v>
      </c>
      <c r="E16" s="32"/>
      <c r="F16" s="33"/>
      <c r="G16" s="33">
        <f>Q16</f>
        <v>0</v>
      </c>
      <c r="H16" s="33"/>
      <c r="I16" s="33"/>
      <c r="J16" s="33"/>
      <c r="K16" s="33"/>
      <c r="L16" s="33"/>
      <c r="M16" s="33"/>
      <c r="N16" s="33"/>
      <c r="O16" s="33"/>
      <c r="P16" s="161">
        <f>'Preise Output'!F29</f>
        <v>3</v>
      </c>
      <c r="Q16" s="160">
        <f>'Preise Output'!F12</f>
        <v>0</v>
      </c>
      <c r="R16" s="35">
        <f t="shared" si="4"/>
        <v>0</v>
      </c>
      <c r="S16" s="32"/>
    </row>
    <row r="17" spans="2:19" s="5" customFormat="1">
      <c r="B17" s="9" t="s">
        <v>97</v>
      </c>
      <c r="C17" s="25" t="s">
        <v>213</v>
      </c>
      <c r="D17" s="32" t="s">
        <v>98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216</v>
      </c>
      <c r="C18" s="25" t="s">
        <v>214</v>
      </c>
      <c r="D18" s="32" t="s">
        <v>98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216</v>
      </c>
      <c r="C19" s="25" t="s">
        <v>215</v>
      </c>
      <c r="D19" s="32" t="s">
        <v>98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100</v>
      </c>
      <c r="C20" s="25" t="s">
        <v>227</v>
      </c>
      <c r="D20" s="20" t="s">
        <v>98</v>
      </c>
      <c r="E20" s="25"/>
      <c r="F20" s="26">
        <v>0</v>
      </c>
      <c r="G20" s="198">
        <f>G47*(1-0)</f>
        <v>399.95</v>
      </c>
      <c r="H20" s="27"/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399.95</v>
      </c>
      <c r="R20" s="26">
        <f t="shared" si="2"/>
        <v>133.31666666666666</v>
      </c>
      <c r="S20" s="27"/>
    </row>
    <row r="21" spans="2:19" s="5" customFormat="1">
      <c r="B21" s="19" t="s">
        <v>100</v>
      </c>
      <c r="C21" s="25" t="s">
        <v>222</v>
      </c>
      <c r="D21" s="20" t="s">
        <v>98</v>
      </c>
      <c r="E21" s="25"/>
      <c r="F21" s="26">
        <v>0</v>
      </c>
      <c r="G21" s="198">
        <f>G48*(1-0)</f>
        <v>169.95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169.95</v>
      </c>
      <c r="R21" s="26">
        <f t="shared" ref="R21" si="6">Q21/P21</f>
        <v>56.65</v>
      </c>
      <c r="S21" s="27"/>
    </row>
    <row r="22" spans="2:19" s="5" customFormat="1">
      <c r="B22" s="25" t="s">
        <v>211</v>
      </c>
      <c r="C22" s="25" t="s">
        <v>212</v>
      </c>
      <c r="D22" s="20" t="s">
        <v>98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100</v>
      </c>
      <c r="C23" s="19" t="s">
        <v>207</v>
      </c>
      <c r="D23" s="20" t="s">
        <v>98</v>
      </c>
      <c r="E23" s="20"/>
      <c r="F23" s="21"/>
      <c r="G23" s="22">
        <f>G50*(1-27%)-G49*0.17</f>
        <v>3775.9184999999998</v>
      </c>
      <c r="H23" s="22">
        <f>750+90+30</f>
        <v>870</v>
      </c>
      <c r="I23" s="200">
        <f>20*2+35</f>
        <v>75</v>
      </c>
      <c r="J23" s="22"/>
      <c r="K23" s="198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5034.7184999999999</v>
      </c>
      <c r="R23" s="24">
        <f t="shared" si="2"/>
        <v>1678.2394999999999</v>
      </c>
      <c r="S23" s="19"/>
    </row>
    <row r="24" spans="2:19" s="5" customFormat="1">
      <c r="B24" s="19" t="s">
        <v>100</v>
      </c>
      <c r="C24" s="19" t="s">
        <v>208</v>
      </c>
      <c r="D24" s="20" t="s">
        <v>98</v>
      </c>
      <c r="E24" s="20"/>
      <c r="F24" s="21"/>
      <c r="G24" s="22">
        <f>G51*(1-27%)-G49*0.17</f>
        <v>5819.9184999999998</v>
      </c>
      <c r="H24" s="22">
        <f>750*2+180+60</f>
        <v>1740</v>
      </c>
      <c r="I24" s="200">
        <f>I23*2</f>
        <v>150</v>
      </c>
      <c r="J24" s="22"/>
      <c r="K24" s="198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8337.5185000000001</v>
      </c>
      <c r="R24" s="24">
        <f t="shared" si="2"/>
        <v>2779.1728333333335</v>
      </c>
      <c r="S24" s="19"/>
    </row>
    <row r="25" spans="2:19" s="5" customFormat="1">
      <c r="B25" s="19" t="s">
        <v>100</v>
      </c>
      <c r="C25" s="19" t="s">
        <v>209</v>
      </c>
      <c r="D25" s="20" t="s">
        <v>98</v>
      </c>
      <c r="E25" s="20"/>
      <c r="F25" s="21"/>
      <c r="G25" s="22">
        <f>G52*(1-27%)-G49*0.17</f>
        <v>3921.9184999999998</v>
      </c>
      <c r="H25" s="22">
        <f>750+90+30</f>
        <v>870</v>
      </c>
      <c r="I25" s="200">
        <f>20*2+35</f>
        <v>75</v>
      </c>
      <c r="J25" s="22"/>
      <c r="K25" s="198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5180.7184999999999</v>
      </c>
      <c r="R25" s="24">
        <f t="shared" ref="R25:R26" si="9">Q25/P25</f>
        <v>1726.9061666666666</v>
      </c>
      <c r="S25" s="19"/>
    </row>
    <row r="26" spans="2:19" s="5" customFormat="1">
      <c r="B26" s="19" t="s">
        <v>100</v>
      </c>
      <c r="C26" s="19" t="s">
        <v>210</v>
      </c>
      <c r="D26" s="20" t="s">
        <v>98</v>
      </c>
      <c r="E26" s="20"/>
      <c r="F26" s="21"/>
      <c r="G26" s="22">
        <f>G53*(1-27%)-G49*0.17</f>
        <v>5965.9184999999998</v>
      </c>
      <c r="H26" s="22">
        <f>750*2+180+60</f>
        <v>1740</v>
      </c>
      <c r="I26" s="200">
        <f>I25*2</f>
        <v>150</v>
      </c>
      <c r="J26" s="22"/>
      <c r="K26" s="198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8483.5185000000001</v>
      </c>
      <c r="R26" s="24">
        <f t="shared" si="9"/>
        <v>2827.8395</v>
      </c>
      <c r="S26" s="19"/>
    </row>
    <row r="27" spans="2:19" s="5" customFormat="1">
      <c r="F27" s="201"/>
      <c r="G27" s="201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6" customFormat="1" ht="24" customHeight="1">
      <c r="B29" s="96" t="s">
        <v>192</v>
      </c>
      <c r="Q29" s="97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187</v>
      </c>
      <c r="Q31" s="2"/>
      <c r="R31" s="2"/>
      <c r="S31" s="2"/>
    </row>
    <row r="32" spans="2:19" s="1" customFormat="1" ht="58">
      <c r="B32" s="124" t="s">
        <v>7</v>
      </c>
      <c r="C32" s="124" t="s">
        <v>60</v>
      </c>
      <c r="D32" s="124" t="s">
        <v>84</v>
      </c>
      <c r="E32" s="124" t="s">
        <v>85</v>
      </c>
      <c r="F32" s="124" t="s">
        <v>86</v>
      </c>
      <c r="G32" s="124" t="s">
        <v>63</v>
      </c>
      <c r="H32" s="124" t="s">
        <v>196</v>
      </c>
      <c r="I32" s="124" t="s">
        <v>64</v>
      </c>
      <c r="J32" s="124" t="s">
        <v>158</v>
      </c>
      <c r="K32" s="124" t="s">
        <v>65</v>
      </c>
      <c r="L32" s="124" t="s">
        <v>92</v>
      </c>
      <c r="M32" s="124" t="s">
        <v>66</v>
      </c>
      <c r="N32" s="124" t="s">
        <v>68</v>
      </c>
      <c r="O32" s="124" t="s">
        <v>191</v>
      </c>
      <c r="P32" s="124" t="s">
        <v>25</v>
      </c>
      <c r="Q32" s="125" t="s">
        <v>26</v>
      </c>
      <c r="R32" s="124" t="s">
        <v>95</v>
      </c>
      <c r="S32" s="124" t="s">
        <v>96</v>
      </c>
    </row>
    <row r="33" spans="2:19">
      <c r="B33" s="9" t="s">
        <v>97</v>
      </c>
      <c r="C33" s="10" t="s">
        <v>189</v>
      </c>
      <c r="D33" s="10" t="s">
        <v>98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97</v>
      </c>
      <c r="C34" s="10" t="s">
        <v>190</v>
      </c>
      <c r="D34" s="10" t="s">
        <v>98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0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1">Q34/P34</f>
        <v>1639</v>
      </c>
      <c r="S34" s="10"/>
    </row>
    <row r="35" spans="2:19">
      <c r="B35" s="9" t="s">
        <v>97</v>
      </c>
      <c r="C35" s="10" t="s">
        <v>202</v>
      </c>
      <c r="D35" s="10" t="s">
        <v>98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0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1"/>
        <v>1826.6666666666667</v>
      </c>
      <c r="S35" s="10"/>
    </row>
    <row r="36" spans="2:19">
      <c r="B36" s="9" t="s">
        <v>97</v>
      </c>
      <c r="C36" s="10" t="s">
        <v>193</v>
      </c>
      <c r="D36" s="10" t="s">
        <v>98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0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1"/>
        <v>1648.6666666666667</v>
      </c>
      <c r="S36" s="10"/>
    </row>
    <row r="37" spans="2:19">
      <c r="B37" s="9" t="s">
        <v>97</v>
      </c>
      <c r="C37" s="10" t="s">
        <v>39</v>
      </c>
      <c r="D37" s="10" t="s">
        <v>98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0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1"/>
        <v>1423.6666666666667</v>
      </c>
      <c r="S37" s="10"/>
    </row>
    <row r="38" spans="2:19">
      <c r="B38" s="14" t="s">
        <v>99</v>
      </c>
      <c r="C38" s="15" t="s">
        <v>185</v>
      </c>
      <c r="D38" s="15" t="s">
        <v>98</v>
      </c>
      <c r="E38" s="15"/>
      <c r="F38" s="16">
        <v>0</v>
      </c>
      <c r="G38" s="36">
        <v>1672</v>
      </c>
      <c r="H38" s="16">
        <v>0</v>
      </c>
      <c r="I38" s="11">
        <v>0</v>
      </c>
      <c r="J38" s="192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1"/>
        <v>710.66666666666663</v>
      </c>
      <c r="S38" s="15"/>
    </row>
    <row r="39" spans="2:19">
      <c r="B39" s="14" t="s">
        <v>99</v>
      </c>
      <c r="C39" s="15" t="s">
        <v>40</v>
      </c>
      <c r="D39" s="15" t="s">
        <v>98</v>
      </c>
      <c r="E39" s="15"/>
      <c r="F39" s="16">
        <v>0</v>
      </c>
      <c r="G39" s="16">
        <v>798</v>
      </c>
      <c r="H39" s="16">
        <v>0</v>
      </c>
      <c r="I39" s="11"/>
      <c r="J39" s="16">
        <v>0</v>
      </c>
      <c r="K39" s="16">
        <v>100</v>
      </c>
      <c r="L39" s="16"/>
      <c r="M39" s="16">
        <v>0</v>
      </c>
      <c r="N39" s="16">
        <v>120</v>
      </c>
      <c r="O39" s="11">
        <v>100</v>
      </c>
      <c r="P39" s="17">
        <v>3</v>
      </c>
      <c r="Q39" s="18">
        <f>G39+K39+N39*3+I39*2</f>
        <v>1258</v>
      </c>
      <c r="R39" s="13">
        <f t="shared" si="11"/>
        <v>419.33333333333331</v>
      </c>
      <c r="S39" s="15"/>
    </row>
    <row r="40" spans="2:19" ht="29">
      <c r="B40" s="19" t="s">
        <v>100</v>
      </c>
      <c r="C40" s="19" t="s">
        <v>41</v>
      </c>
      <c r="D40" s="20" t="s">
        <v>98</v>
      </c>
      <c r="E40" s="20"/>
      <c r="F40" s="21"/>
      <c r="G40" s="22">
        <f>G12/0.8</f>
        <v>1714</v>
      </c>
      <c r="H40" s="22">
        <f>H12</f>
        <v>1099</v>
      </c>
      <c r="I40" s="22">
        <f>I12</f>
        <v>75</v>
      </c>
      <c r="J40" s="22"/>
      <c r="K40" s="22"/>
      <c r="L40" s="22"/>
      <c r="M40" s="22">
        <f>(M12+L12)</f>
        <v>324</v>
      </c>
      <c r="N40" s="22"/>
      <c r="O40" s="22"/>
      <c r="P40" s="23">
        <v>3</v>
      </c>
      <c r="Q40" s="24">
        <f>G40+H40+I40*(P40-1)+M40*P40+L40*P40</f>
        <v>3935</v>
      </c>
      <c r="R40" s="13">
        <f t="shared" si="11"/>
        <v>1311.6666666666667</v>
      </c>
      <c r="S40" s="19"/>
    </row>
    <row r="41" spans="2:19" ht="29">
      <c r="B41" s="19" t="s">
        <v>100</v>
      </c>
      <c r="C41" s="19" t="s">
        <v>43</v>
      </c>
      <c r="D41" s="20" t="s">
        <v>98</v>
      </c>
      <c r="E41" s="20"/>
      <c r="F41" s="21"/>
      <c r="G41" s="22">
        <f>G13/0.8</f>
        <v>4403</v>
      </c>
      <c r="H41" s="22">
        <f>H13</f>
        <v>1949</v>
      </c>
      <c r="I41" s="22">
        <f>I13</f>
        <v>150</v>
      </c>
      <c r="J41" s="22"/>
      <c r="K41" s="22"/>
      <c r="L41" s="22"/>
      <c r="M41" s="22">
        <f>(M13+L13)</f>
        <v>648</v>
      </c>
      <c r="N41" s="22"/>
      <c r="O41" s="22"/>
      <c r="P41" s="23">
        <v>3</v>
      </c>
      <c r="Q41" s="24">
        <f>G41+H41+I41*(P41-1)+M41*P41+L41*P41</f>
        <v>8596</v>
      </c>
      <c r="R41" s="13">
        <f t="shared" si="11"/>
        <v>2865.3333333333335</v>
      </c>
      <c r="S41" s="19"/>
    </row>
    <row r="42" spans="2:19">
      <c r="B42" s="31" t="s">
        <v>101</v>
      </c>
      <c r="C42" s="32" t="s">
        <v>45</v>
      </c>
      <c r="D42" s="32" t="s">
        <v>98</v>
      </c>
      <c r="E42" s="32"/>
      <c r="F42" s="33"/>
      <c r="G42" s="33">
        <f>ROUND(6400*1.19,-1)</f>
        <v>7620</v>
      </c>
      <c r="H42" s="33">
        <v>0</v>
      </c>
      <c r="I42" s="33"/>
      <c r="J42" s="33">
        <f>30*12</f>
        <v>360</v>
      </c>
      <c r="K42" s="33">
        <v>100</v>
      </c>
      <c r="L42" s="33"/>
      <c r="M42" s="33">
        <v>0</v>
      </c>
      <c r="N42" s="33">
        <f>10*12</f>
        <v>120</v>
      </c>
      <c r="O42" s="33"/>
      <c r="P42" s="34">
        <v>3</v>
      </c>
      <c r="Q42" s="35"/>
      <c r="R42" s="35"/>
      <c r="S42" s="32"/>
    </row>
    <row r="43" spans="2:19" s="1" customFormat="1">
      <c r="B43" s="31" t="s">
        <v>101</v>
      </c>
      <c r="C43" s="32" t="s">
        <v>197</v>
      </c>
      <c r="D43" s="32" t="s">
        <v>98</v>
      </c>
      <c r="E43" s="32"/>
      <c r="F43" s="33"/>
      <c r="G43" s="162">
        <f>Q16</f>
        <v>0</v>
      </c>
      <c r="H43" s="162"/>
      <c r="I43" s="162"/>
      <c r="J43" s="162"/>
      <c r="K43" s="162"/>
      <c r="L43" s="162"/>
      <c r="M43" s="162"/>
      <c r="N43" s="162"/>
      <c r="O43" s="162"/>
      <c r="P43" s="161">
        <f>P16</f>
        <v>3</v>
      </c>
      <c r="Q43" s="162">
        <f>G43*P43</f>
        <v>0</v>
      </c>
      <c r="R43" s="35">
        <f>Q43/P43</f>
        <v>0</v>
      </c>
      <c r="S43" s="32"/>
    </row>
    <row r="44" spans="2:19">
      <c r="B44" s="9" t="s">
        <v>97</v>
      </c>
      <c r="C44" s="25"/>
      <c r="D44" s="10" t="s">
        <v>98</v>
      </c>
      <c r="E44" s="25"/>
      <c r="F44" s="26">
        <v>0</v>
      </c>
      <c r="G44" s="27">
        <f>5781</f>
        <v>5781</v>
      </c>
      <c r="H44" s="27">
        <v>500</v>
      </c>
      <c r="I44" s="27">
        <f>277+100</f>
        <v>377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2">F44+G44+H44+(I44+N44)*P44</f>
        <v>8852</v>
      </c>
      <c r="R44" s="26"/>
      <c r="S44" s="27"/>
    </row>
    <row r="45" spans="2:19">
      <c r="B45" s="25" t="s">
        <v>216</v>
      </c>
      <c r="C45" s="25" t="s">
        <v>214</v>
      </c>
      <c r="D45" s="32" t="s">
        <v>98</v>
      </c>
      <c r="E45" s="25"/>
      <c r="F45" s="26">
        <v>0</v>
      </c>
      <c r="G45" s="27">
        <v>1142</v>
      </c>
      <c r="H45" s="27">
        <v>0</v>
      </c>
      <c r="I45" s="27">
        <v>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2739.6</v>
      </c>
      <c r="R45" s="13">
        <f>Q45/P45</f>
        <v>913.19999999999993</v>
      </c>
      <c r="S45" s="27"/>
    </row>
    <row r="46" spans="2:19">
      <c r="B46" s="25" t="s">
        <v>216</v>
      </c>
      <c r="C46" s="25" t="s">
        <v>215</v>
      </c>
      <c r="D46" s="32" t="s">
        <v>98</v>
      </c>
      <c r="E46" s="25"/>
      <c r="F46" s="26">
        <v>0</v>
      </c>
      <c r="G46" s="27">
        <v>1309</v>
      </c>
      <c r="H46" s="27">
        <v>0</v>
      </c>
      <c r="I46" s="27">
        <v>0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2957</v>
      </c>
      <c r="R46" s="13">
        <f>Q46/P46</f>
        <v>985.66666666666663</v>
      </c>
      <c r="S46" s="27"/>
    </row>
    <row r="47" spans="2:19">
      <c r="B47" s="19" t="s">
        <v>100</v>
      </c>
      <c r="C47" s="25" t="s">
        <v>227</v>
      </c>
      <c r="D47" s="32" t="s">
        <v>98</v>
      </c>
      <c r="E47" s="25"/>
      <c r="F47" s="26">
        <v>0</v>
      </c>
      <c r="G47" s="198">
        <f>399.95</f>
        <v>399.95</v>
      </c>
      <c r="H47" s="27">
        <v>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399.95</v>
      </c>
      <c r="R47" s="13">
        <f>Q47/P47</f>
        <v>133.31666666666666</v>
      </c>
      <c r="S47" s="27"/>
    </row>
    <row r="48" spans="2:19">
      <c r="B48" s="19" t="s">
        <v>100</v>
      </c>
      <c r="C48" s="25" t="s">
        <v>222</v>
      </c>
      <c r="D48" s="32" t="s">
        <v>98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2"/>
        <v>169.95</v>
      </c>
      <c r="R48" s="13">
        <f>Q48/P48</f>
        <v>56.65</v>
      </c>
      <c r="S48" s="27"/>
    </row>
    <row r="49" spans="2:20">
      <c r="B49" s="25" t="s">
        <v>211</v>
      </c>
      <c r="C49" s="25" t="s">
        <v>212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100</v>
      </c>
      <c r="C50" s="19" t="s">
        <v>207</v>
      </c>
      <c r="D50" s="19"/>
      <c r="E50" s="19"/>
      <c r="F50" s="19">
        <v>0</v>
      </c>
      <c r="G50" s="22">
        <f>(3199.95+1599.95)</f>
        <v>4799.8999999999996</v>
      </c>
      <c r="H50" s="179">
        <f t="shared" ref="H50:I53" si="13">H23</f>
        <v>870</v>
      </c>
      <c r="I50" s="199">
        <f t="shared" si="13"/>
        <v>75</v>
      </c>
      <c r="J50" s="179">
        <f t="shared" ref="J50:L51" si="14">J23*1.19</f>
        <v>0</v>
      </c>
      <c r="K50" s="199">
        <f>K23</f>
        <v>0</v>
      </c>
      <c r="L50" s="179">
        <f t="shared" si="14"/>
        <v>0</v>
      </c>
      <c r="M50" s="179">
        <f>19.95*12</f>
        <v>239.39999999999998</v>
      </c>
      <c r="N50" s="179">
        <f t="shared" ref="N50:O51" si="15">N23</f>
        <v>0</v>
      </c>
      <c r="O50" s="179">
        <f t="shared" si="15"/>
        <v>0</v>
      </c>
      <c r="P50" s="19">
        <v>3</v>
      </c>
      <c r="Q50" s="24">
        <f>G50+H50+I50*(P50-1)+M50*(P50-1)+L50*P50</f>
        <v>6298.7</v>
      </c>
      <c r="R50" s="179">
        <f>Q50/P50</f>
        <v>2099.5666666666666</v>
      </c>
      <c r="S50" s="19"/>
    </row>
    <row r="51" spans="2:20">
      <c r="B51" s="19" t="s">
        <v>100</v>
      </c>
      <c r="C51" s="19" t="s">
        <v>208</v>
      </c>
      <c r="D51" s="19"/>
      <c r="E51" s="19"/>
      <c r="F51" s="19">
        <v>0</v>
      </c>
      <c r="G51" s="22">
        <f>(5999.95+1599.95)</f>
        <v>7599.9</v>
      </c>
      <c r="H51" s="179">
        <f t="shared" si="13"/>
        <v>1740</v>
      </c>
      <c r="I51" s="199">
        <f t="shared" si="13"/>
        <v>150</v>
      </c>
      <c r="J51" s="179">
        <f t="shared" si="14"/>
        <v>0</v>
      </c>
      <c r="K51" s="199">
        <f>K24</f>
        <v>0</v>
      </c>
      <c r="L51" s="179">
        <f t="shared" si="14"/>
        <v>0</v>
      </c>
      <c r="M51" s="179">
        <f>19.95*12*2</f>
        <v>478.79999999999995</v>
      </c>
      <c r="N51" s="179">
        <f t="shared" si="15"/>
        <v>0</v>
      </c>
      <c r="O51" s="179">
        <f t="shared" si="15"/>
        <v>0</v>
      </c>
      <c r="P51" s="19">
        <v>3</v>
      </c>
      <c r="Q51" s="24">
        <f t="shared" ref="Q51:Q53" si="16">G51+H51+I51*(P51-1)+M51*(P51-1)+L51*P51</f>
        <v>10597.5</v>
      </c>
      <c r="R51" s="179">
        <f t="shared" ref="R51:R53" si="17">Q51/P51</f>
        <v>3532.5</v>
      </c>
      <c r="S51" s="19"/>
      <c r="T51" s="193"/>
    </row>
    <row r="52" spans="2:20">
      <c r="B52" s="19" t="s">
        <v>100</v>
      </c>
      <c r="C52" s="19" t="s">
        <v>209</v>
      </c>
      <c r="D52" s="19"/>
      <c r="E52" s="25"/>
      <c r="F52" s="19">
        <v>0</v>
      </c>
      <c r="G52" s="27">
        <f>(3399.95+1599.95)</f>
        <v>4999.8999999999996</v>
      </c>
      <c r="H52" s="179">
        <f t="shared" si="13"/>
        <v>870</v>
      </c>
      <c r="I52" s="199">
        <f t="shared" si="13"/>
        <v>75</v>
      </c>
      <c r="J52" s="27"/>
      <c r="K52" s="199">
        <f>K25</f>
        <v>0</v>
      </c>
      <c r="L52" s="27"/>
      <c r="M52" s="179">
        <f>19.95*12</f>
        <v>239.39999999999998</v>
      </c>
      <c r="N52" s="27"/>
      <c r="O52" s="27"/>
      <c r="P52" s="28">
        <v>3</v>
      </c>
      <c r="Q52" s="24">
        <f t="shared" si="16"/>
        <v>6498.7</v>
      </c>
      <c r="R52" s="179">
        <f t="shared" si="17"/>
        <v>2166.2333333333331</v>
      </c>
      <c r="S52" s="27"/>
    </row>
    <row r="53" spans="2:20">
      <c r="B53" s="19" t="s">
        <v>100</v>
      </c>
      <c r="C53" s="19" t="s">
        <v>210</v>
      </c>
      <c r="D53" s="19"/>
      <c r="E53" s="25"/>
      <c r="F53" s="19">
        <v>0</v>
      </c>
      <c r="G53" s="27">
        <f>(6199.95+1599.95)</f>
        <v>7799.9</v>
      </c>
      <c r="H53" s="179">
        <f t="shared" si="13"/>
        <v>1740</v>
      </c>
      <c r="I53" s="199">
        <f t="shared" si="13"/>
        <v>150</v>
      </c>
      <c r="J53" s="27"/>
      <c r="K53" s="199">
        <f>K26</f>
        <v>0</v>
      </c>
      <c r="L53" s="27"/>
      <c r="M53" s="179">
        <f>19.95*12*2</f>
        <v>478.79999999999995</v>
      </c>
      <c r="N53" s="27"/>
      <c r="O53" s="27"/>
      <c r="P53" s="29">
        <v>3</v>
      </c>
      <c r="Q53" s="24">
        <f t="shared" si="16"/>
        <v>10797.5</v>
      </c>
      <c r="R53" s="179">
        <f t="shared" si="17"/>
        <v>3599.1666666666665</v>
      </c>
      <c r="S53" s="27"/>
    </row>
    <row r="54" spans="2:20">
      <c r="B54" s="25" t="s">
        <v>102</v>
      </c>
      <c r="C54" s="25" t="s">
        <v>55</v>
      </c>
      <c r="D54" s="25" t="s">
        <v>103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2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7"/>
  <sheetViews>
    <sheetView workbookViewId="0">
      <selection activeCell="B8" sqref="B8"/>
    </sheetView>
  </sheetViews>
  <sheetFormatPr baseColWidth="10" defaultRowHeight="14.5"/>
  <sheetData>
    <row r="1" spans="1:2">
      <c r="A1" t="s">
        <v>218</v>
      </c>
    </row>
    <row r="2" spans="1:2">
      <c r="A2">
        <v>221220</v>
      </c>
      <c r="B2" t="s">
        <v>219</v>
      </c>
    </row>
    <row r="3" spans="1:2">
      <c r="B3" t="s">
        <v>220</v>
      </c>
    </row>
    <row r="4" spans="1:2">
      <c r="B4" t="s">
        <v>221</v>
      </c>
    </row>
    <row r="5" spans="1:2">
      <c r="A5">
        <v>230126</v>
      </c>
      <c r="B5" t="s">
        <v>223</v>
      </c>
    </row>
    <row r="6" spans="1:2">
      <c r="B6" t="s">
        <v>224</v>
      </c>
    </row>
    <row r="7" spans="1:2">
      <c r="B7" t="s">
        <v>226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/>
  <cols>
    <col min="3" max="3" width="26.7265625" customWidth="1"/>
    <col min="4" max="4" width="12.1796875" style="140" customWidth="1"/>
    <col min="5" max="5" width="11.26953125" style="139" bestFit="1" customWidth="1"/>
    <col min="6" max="6" width="11.7265625" style="139" bestFit="1" customWidth="1"/>
    <col min="7" max="7" width="11.26953125" style="139" bestFit="1" customWidth="1"/>
    <col min="8" max="8" width="14.54296875" style="139" customWidth="1"/>
    <col min="9" max="15" width="11.26953125" style="139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31" customFormat="1">
      <c r="D2" s="135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4" spans="2:54">
      <c r="D4" s="137" t="s">
        <v>104</v>
      </c>
      <c r="E4" s="138" t="s">
        <v>105</v>
      </c>
      <c r="F4" s="137" t="s">
        <v>106</v>
      </c>
      <c r="G4" s="138" t="s">
        <v>107</v>
      </c>
      <c r="H4" s="137" t="s">
        <v>108</v>
      </c>
      <c r="I4" s="138" t="s">
        <v>109</v>
      </c>
      <c r="J4" s="137" t="s">
        <v>110</v>
      </c>
      <c r="K4" s="138" t="s">
        <v>111</v>
      </c>
      <c r="L4" s="137" t="s">
        <v>112</v>
      </c>
      <c r="M4" s="138" t="s">
        <v>113</v>
      </c>
      <c r="N4" s="137" t="s">
        <v>114</v>
      </c>
      <c r="O4" s="138" t="s">
        <v>115</v>
      </c>
      <c r="P4" s="137" t="s">
        <v>116</v>
      </c>
      <c r="Q4" s="138" t="s">
        <v>117</v>
      </c>
      <c r="R4" s="137" t="s">
        <v>118</v>
      </c>
      <c r="S4" s="138" t="s">
        <v>119</v>
      </c>
      <c r="T4" s="137" t="s">
        <v>120</v>
      </c>
      <c r="U4" s="138" t="s">
        <v>121</v>
      </c>
      <c r="V4" s="137" t="s">
        <v>122</v>
      </c>
      <c r="W4" s="138" t="s">
        <v>123</v>
      </c>
      <c r="X4" s="137" t="s">
        <v>124</v>
      </c>
      <c r="Y4" s="138" t="s">
        <v>125</v>
      </c>
      <c r="Z4" s="137" t="s">
        <v>126</v>
      </c>
      <c r="AA4" s="138" t="s">
        <v>127</v>
      </c>
      <c r="AB4" s="137" t="s">
        <v>128</v>
      </c>
      <c r="AC4" s="138" t="s">
        <v>129</v>
      </c>
      <c r="AD4" s="137" t="s">
        <v>130</v>
      </c>
      <c r="AE4" s="138" t="s">
        <v>131</v>
      </c>
      <c r="AF4" s="137" t="s">
        <v>132</v>
      </c>
      <c r="AG4" s="138" t="s">
        <v>133</v>
      </c>
      <c r="AH4" s="137" t="s">
        <v>134</v>
      </c>
      <c r="AI4" s="138" t="s">
        <v>135</v>
      </c>
      <c r="AJ4" s="137" t="s">
        <v>136</v>
      </c>
      <c r="AK4" s="138" t="s">
        <v>137</v>
      </c>
      <c r="AL4" s="137" t="s">
        <v>138</v>
      </c>
      <c r="AM4" s="138" t="s">
        <v>139</v>
      </c>
      <c r="AN4" s="137" t="s">
        <v>140</v>
      </c>
      <c r="AQ4" s="129" t="s">
        <v>141</v>
      </c>
      <c r="AR4" s="129" t="s">
        <v>142</v>
      </c>
      <c r="AS4" s="129" t="s">
        <v>143</v>
      </c>
      <c r="AT4" s="129" t="s">
        <v>144</v>
      </c>
      <c r="AU4" s="129" t="s">
        <v>145</v>
      </c>
      <c r="AV4" s="129" t="s">
        <v>146</v>
      </c>
      <c r="AW4" s="129" t="s">
        <v>147</v>
      </c>
      <c r="AX4" s="129" t="s">
        <v>148</v>
      </c>
      <c r="AY4" s="129" t="s">
        <v>149</v>
      </c>
      <c r="AZ4" s="129" t="s">
        <v>150</v>
      </c>
      <c r="BA4" s="129" t="s">
        <v>151</v>
      </c>
      <c r="BB4" s="129" t="s">
        <v>152</v>
      </c>
    </row>
    <row r="5" spans="2:54">
      <c r="C5" s="129" t="s">
        <v>153</v>
      </c>
      <c r="D5" s="137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AN5" s="147">
        <f>SUM(AN6:AN7)</f>
        <v>42714</v>
      </c>
    </row>
    <row r="6" spans="2:54">
      <c r="B6" s="148">
        <v>1</v>
      </c>
      <c r="C6" s="130" t="s">
        <v>86</v>
      </c>
      <c r="D6" s="141">
        <f>'Preise Output'!$E$41*B6*'Preise Output'!F5</f>
        <v>11865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1"/>
      <c r="P6" s="141">
        <f>'Preise Output'!$E$41*B6*INDEX(Annahmen!$B$19:$C$22,MATCH('Preise Output'!$C$7,Annahmen!$B$19:$B$22,0),2)</f>
        <v>11865</v>
      </c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3"/>
      <c r="AB6" s="141">
        <f>'Preise Output'!$E$41*B6*INDEX(Annahmen!$B$19:$C$22,MATCH('Preise Output'!$C$7,Annahmen!$B$19:$B$22,0),2)</f>
        <v>11865</v>
      </c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3"/>
      <c r="AN6" s="143">
        <f>SUM(D6:AM6)</f>
        <v>35595</v>
      </c>
      <c r="AQ6" s="143">
        <f>SUM(D6:F6)</f>
        <v>11865</v>
      </c>
      <c r="AR6" s="143">
        <f>SUM(G6:I6)</f>
        <v>0</v>
      </c>
      <c r="AS6" s="143">
        <f>SUM(J6:L6)</f>
        <v>0</v>
      </c>
      <c r="AT6" s="143">
        <f>SUM(M6:O6)</f>
        <v>0</v>
      </c>
      <c r="AU6" s="143">
        <f>SUM(P6:R6)</f>
        <v>11865</v>
      </c>
      <c r="AV6" s="143">
        <f>SUM(S6:U6)</f>
        <v>0</v>
      </c>
      <c r="AW6" s="143">
        <f>SUM(V6:X6)</f>
        <v>0</v>
      </c>
      <c r="AX6" s="143">
        <f>SUM(Y6:AA6)</f>
        <v>0</v>
      </c>
      <c r="AY6" s="143">
        <f>SUM(AB6:AD6)</f>
        <v>11865</v>
      </c>
      <c r="AZ6" s="143">
        <f>SUM(AE6:AG6)</f>
        <v>0</v>
      </c>
      <c r="BA6" s="143">
        <f>SUM(AH6:AJ6)</f>
        <v>0</v>
      </c>
      <c r="BB6" s="143">
        <f>SUM(AK6:AM6)</f>
        <v>0</v>
      </c>
    </row>
    <row r="7" spans="2:54">
      <c r="C7" s="130" t="s">
        <v>154</v>
      </c>
      <c r="D7" s="142"/>
      <c r="E7" s="142">
        <f>IF($B$6=100%,(('Preise Output'!$F$10-INDEX(Annahmen!$B$18:$C$22,MATCH('Preise Output'!$C$7,Annahmen!$B$18:$B$22,0),2))*'Preise Output'!$E$41)/10,('Preise Output'!$E$41*'Preise Output'!$F$10-$D$6)/10)</f>
        <v>237.3</v>
      </c>
      <c r="F7" s="142">
        <f>IF($B$6=100%,(('Preise Output'!$F$10-INDEX(Annahmen!$B$18:$C$22,MATCH('Preise Output'!$C$7,Annahmen!$B$18:$B$22,0),2))*'Preise Output'!$E$41)/10,('Preise Output'!$E$41*'Preise Output'!$F$10-$D$6)/10)</f>
        <v>237.3</v>
      </c>
      <c r="G7" s="142">
        <f>IF($B$6=100%,(('Preise Output'!$F$10-INDEX(Annahmen!$B$18:$C$22,MATCH('Preise Output'!$C$7,Annahmen!$B$18:$B$22,0),2))*'Preise Output'!$E$41)/10,('Preise Output'!$E$41*'Preise Output'!$F$10-$D$6)/10)</f>
        <v>237.3</v>
      </c>
      <c r="H7" s="142">
        <f>IF($B$6=100%,(('Preise Output'!$F$10-INDEX(Annahmen!$B$18:$C$22,MATCH('Preise Output'!$C$7,Annahmen!$B$18:$B$22,0),2))*'Preise Output'!$E$41)/10,('Preise Output'!$E$41*'Preise Output'!$F$10-$D$6)/10)</f>
        <v>237.3</v>
      </c>
      <c r="I7" s="142">
        <f>IF($B$6=100%,(('Preise Output'!$F$10-INDEX(Annahmen!$B$18:$C$22,MATCH('Preise Output'!$C$7,Annahmen!$B$18:$B$22,0),2))*'Preise Output'!$E$41)/10,('Preise Output'!$E$41*'Preise Output'!$F$10-$D$6)/10)</f>
        <v>237.3</v>
      </c>
      <c r="J7" s="142">
        <f>IF($B$6=100%,(('Preise Output'!$F$10-INDEX(Annahmen!$B$18:$C$22,MATCH('Preise Output'!$C$7,Annahmen!$B$18:$B$22,0),2))*'Preise Output'!$E$41)/10,('Preise Output'!$E$41*'Preise Output'!$F$10-$D$6)/10)</f>
        <v>237.3</v>
      </c>
      <c r="K7" s="142">
        <f>IF($B$6=100%,(('Preise Output'!$F$10-INDEX(Annahmen!$B$18:$C$22,MATCH('Preise Output'!$C$7,Annahmen!$B$18:$B$22,0),2))*'Preise Output'!$E$41)/10,('Preise Output'!$E$41*'Preise Output'!$F$10-$D$6)/10)</f>
        <v>237.3</v>
      </c>
      <c r="L7" s="142">
        <f>IF($B$6=100%,(('Preise Output'!$F$10-INDEX(Annahmen!$B$18:$C$22,MATCH('Preise Output'!$C$7,Annahmen!$B$18:$B$22,0),2))*'Preise Output'!$E$41)/10,('Preise Output'!$E$41*'Preise Output'!$F$10-$D$6)/10)</f>
        <v>237.3</v>
      </c>
      <c r="M7" s="142">
        <f>IF($B$6=100%,(('Preise Output'!$F$10-INDEX(Annahmen!$B$18:$C$22,MATCH('Preise Output'!$C$7,Annahmen!$B$18:$B$22,0),2))*'Preise Output'!$E$41)/10,('Preise Output'!$E$41*'Preise Output'!$F$10-$D$6)/10)</f>
        <v>237.3</v>
      </c>
      <c r="N7" s="142">
        <f>IF($B$6=100%,(('Preise Output'!$F$10-INDEX(Annahmen!$B$18:$C$22,MATCH('Preise Output'!$C$7,Annahmen!$B$18:$B$22,0),2))*'Preise Output'!$E$41)/10,('Preise Output'!$E$41*'Preise Output'!$F$10-$D$6)/10)</f>
        <v>237.3</v>
      </c>
      <c r="O7" s="141"/>
      <c r="P7" s="142"/>
      <c r="Q7" s="142">
        <f>IF($B$6=100%,(('Preise Output'!$F$10-INDEX(Annahmen!$B$18:$C$22,MATCH('Preise Output'!$C$7,Annahmen!$B$18:$B$22,0),2))*'Preise Output'!$E$41)/10,('Preise Output'!$E$41*'Preise Output'!$F$10-$D$6)/10)</f>
        <v>237.3</v>
      </c>
      <c r="R7" s="142">
        <f>IF($B$6=100%,(('Preise Output'!$F$10-INDEX(Annahmen!$B$18:$C$22,MATCH('Preise Output'!$C$7,Annahmen!$B$18:$B$22,0),2))*'Preise Output'!$E$41)/10,('Preise Output'!$E$41*'Preise Output'!$F$10-$D$6)/10)</f>
        <v>237.3</v>
      </c>
      <c r="S7" s="142">
        <f>IF($B$6=100%,(('Preise Output'!$F$10-INDEX(Annahmen!$B$18:$C$22,MATCH('Preise Output'!$C$7,Annahmen!$B$18:$B$22,0),2))*'Preise Output'!$E$41)/10,('Preise Output'!$E$41*'Preise Output'!$F$10-$D$6)/10)</f>
        <v>237.3</v>
      </c>
      <c r="T7" s="142">
        <f>IF($B$6=100%,(('Preise Output'!$F$10-INDEX(Annahmen!$B$18:$C$22,MATCH('Preise Output'!$C$7,Annahmen!$B$18:$B$22,0),2))*'Preise Output'!$E$41)/10,('Preise Output'!$E$41*'Preise Output'!$F$10-$D$6)/10)</f>
        <v>237.3</v>
      </c>
      <c r="U7" s="142">
        <f>IF($B$6=100%,(('Preise Output'!$F$10-INDEX(Annahmen!$B$18:$C$22,MATCH('Preise Output'!$C$7,Annahmen!$B$18:$B$22,0),2))*'Preise Output'!$E$41)/10,('Preise Output'!$E$41*'Preise Output'!$F$10-$D$6)/10)</f>
        <v>237.3</v>
      </c>
      <c r="V7" s="142">
        <f>IF($B$6=100%,(('Preise Output'!$F$10-INDEX(Annahmen!$B$18:$C$22,MATCH('Preise Output'!$C$7,Annahmen!$B$18:$B$22,0),2))*'Preise Output'!$E$41)/10,('Preise Output'!$E$41*'Preise Output'!$F$10-$D$6)/10)</f>
        <v>237.3</v>
      </c>
      <c r="W7" s="142">
        <f>IF($B$6=100%,(('Preise Output'!$F$10-INDEX(Annahmen!$B$18:$C$22,MATCH('Preise Output'!$C$7,Annahmen!$B$18:$B$22,0),2))*'Preise Output'!$E$41)/10,('Preise Output'!$E$41*'Preise Output'!$F$10-$D$6)/10)</f>
        <v>237.3</v>
      </c>
      <c r="X7" s="142">
        <f>IF($B$6=100%,(('Preise Output'!$F$10-INDEX(Annahmen!$B$18:$C$22,MATCH('Preise Output'!$C$7,Annahmen!$B$18:$B$22,0),2))*'Preise Output'!$E$41)/10,('Preise Output'!$E$41*'Preise Output'!$F$10-$D$6)/10)</f>
        <v>237.3</v>
      </c>
      <c r="Y7" s="142">
        <f>IF($B$6=100%,(('Preise Output'!$F$10-INDEX(Annahmen!$B$18:$C$22,MATCH('Preise Output'!$C$7,Annahmen!$B$18:$B$22,0),2))*'Preise Output'!$E$41)/10,('Preise Output'!$E$41*'Preise Output'!$F$10-$D$6)/10)</f>
        <v>237.3</v>
      </c>
      <c r="Z7" s="142">
        <f>IF($B$6=100%,(('Preise Output'!$F$10-INDEX(Annahmen!$B$18:$C$22,MATCH('Preise Output'!$C$7,Annahmen!$B$18:$B$22,0),2))*'Preise Output'!$E$41)/10,('Preise Output'!$E$41*'Preise Output'!$F$10-$D$6)/10)</f>
        <v>237.3</v>
      </c>
      <c r="AA7" s="143"/>
      <c r="AB7" s="142"/>
      <c r="AC7" s="142">
        <f>IF($B$6=100%,(('Preise Output'!$F$10-INDEX(Annahmen!$B$18:$C$22,MATCH('Preise Output'!$C$7,Annahmen!$B$18:$B$22,0),2))*'Preise Output'!$E$41)/10,('Preise Output'!$E$41*'Preise Output'!$F$10-$D$6)/10)</f>
        <v>237.3</v>
      </c>
      <c r="AD7" s="142">
        <f>IF($B$6=100%,(('Preise Output'!$F$10-INDEX(Annahmen!$B$18:$C$22,MATCH('Preise Output'!$C$7,Annahmen!$B$18:$B$22,0),2))*'Preise Output'!$E$41)/10,('Preise Output'!$E$41*'Preise Output'!$F$10-$D$6)/10)</f>
        <v>237.3</v>
      </c>
      <c r="AE7" s="142">
        <f>IF($B$6=100%,(('Preise Output'!$F$10-INDEX(Annahmen!$B$18:$C$22,MATCH('Preise Output'!$C$7,Annahmen!$B$18:$B$22,0),2))*'Preise Output'!$E$41)/10,('Preise Output'!$E$41*'Preise Output'!$F$10-$D$6)/10)</f>
        <v>237.3</v>
      </c>
      <c r="AF7" s="142">
        <f>IF($B$6=100%,(('Preise Output'!$F$10-INDEX(Annahmen!$B$18:$C$22,MATCH('Preise Output'!$C$7,Annahmen!$B$18:$B$22,0),2))*'Preise Output'!$E$41)/10,('Preise Output'!$E$41*'Preise Output'!$F$10-$D$6)/10)</f>
        <v>237.3</v>
      </c>
      <c r="AG7" s="142">
        <f>IF($B$6=100%,(('Preise Output'!$F$10-INDEX(Annahmen!$B$18:$C$22,MATCH('Preise Output'!$C$7,Annahmen!$B$18:$B$22,0),2))*'Preise Output'!$E$41)/10,('Preise Output'!$E$41*'Preise Output'!$F$10-$D$6)/10)</f>
        <v>237.3</v>
      </c>
      <c r="AH7" s="142">
        <f>IF($B$6=100%,(('Preise Output'!$F$10-INDEX(Annahmen!$B$18:$C$22,MATCH('Preise Output'!$C$7,Annahmen!$B$18:$B$22,0),2))*'Preise Output'!$E$41)/10,('Preise Output'!$E$41*'Preise Output'!$F$10-$D$6)/10)</f>
        <v>237.3</v>
      </c>
      <c r="AI7" s="142">
        <f>IF($B$6=100%,(('Preise Output'!$F$10-INDEX(Annahmen!$B$18:$C$22,MATCH('Preise Output'!$C$7,Annahmen!$B$18:$B$22,0),2))*'Preise Output'!$E$41)/10,('Preise Output'!$E$41*'Preise Output'!$F$10-$D$6)/10)</f>
        <v>237.3</v>
      </c>
      <c r="AJ7" s="142">
        <f>IF($B$6=100%,(('Preise Output'!$F$10-INDEX(Annahmen!$B$18:$C$22,MATCH('Preise Output'!$C$7,Annahmen!$B$18:$B$22,0),2))*'Preise Output'!$E$41)/10,('Preise Output'!$E$41*'Preise Output'!$F$10-$D$6)/10)</f>
        <v>237.3</v>
      </c>
      <c r="AK7" s="142">
        <f>IF($B$6=100%,(('Preise Output'!$F$10-INDEX(Annahmen!$B$18:$C$22,MATCH('Preise Output'!$C$7,Annahmen!$B$18:$B$22,0),2))*'Preise Output'!$E$41)/10,('Preise Output'!$E$41*'Preise Output'!$F$10-$D$6)/10)</f>
        <v>237.3</v>
      </c>
      <c r="AL7" s="142">
        <f>IF($B$6=100%,(('Preise Output'!$F$10-INDEX(Annahmen!$B$18:$C$22,MATCH('Preise Output'!$C$7,Annahmen!$B$18:$B$22,0),2))*'Preise Output'!$E$41)/10,('Preise Output'!$E$41*'Preise Output'!$F$10-$D$6)/10)</f>
        <v>237.3</v>
      </c>
      <c r="AM7" s="143"/>
      <c r="AN7" s="143">
        <f t="shared" ref="AN7:AN43" si="0">SUM(D7:AM7)</f>
        <v>7119.0000000000036</v>
      </c>
      <c r="AQ7" s="143">
        <f t="shared" ref="AQ7:AQ45" si="1">SUM(D7:F7)</f>
        <v>474.6</v>
      </c>
      <c r="AR7" s="143">
        <f t="shared" ref="AR7:AR45" si="2">SUM(G7:I7)</f>
        <v>711.90000000000009</v>
      </c>
      <c r="AS7" s="143">
        <f t="shared" ref="AS7:AS45" si="3">SUM(J7:L7)</f>
        <v>711.90000000000009</v>
      </c>
      <c r="AT7" s="143">
        <f t="shared" ref="AT7:AT45" si="4">SUM(M7:O7)</f>
        <v>474.6</v>
      </c>
      <c r="AU7" s="143">
        <f t="shared" ref="AU7:AU45" si="5">SUM(P7:R7)</f>
        <v>474.6</v>
      </c>
      <c r="AV7" s="143">
        <f t="shared" ref="AV7:AV45" si="6">SUM(S7:U7)</f>
        <v>711.90000000000009</v>
      </c>
      <c r="AW7" s="143">
        <f t="shared" ref="AW7:AW45" si="7">SUM(V7:X7)</f>
        <v>711.90000000000009</v>
      </c>
      <c r="AX7" s="143">
        <f t="shared" ref="AX7:AX45" si="8">SUM(Y7:AA7)</f>
        <v>474.6</v>
      </c>
      <c r="AY7" s="143">
        <f t="shared" ref="AY7:AY45" si="9">SUM(AB7:AD7)</f>
        <v>474.6</v>
      </c>
      <c r="AZ7" s="143">
        <f t="shared" ref="AZ7:AZ45" si="10">SUM(AE7:AG7)</f>
        <v>711.90000000000009</v>
      </c>
      <c r="BA7" s="143">
        <f t="shared" ref="BA7:BA45" si="11">SUM(AH7:AJ7)</f>
        <v>711.90000000000009</v>
      </c>
      <c r="BB7" s="143">
        <f t="shared" ref="BB7:BB45" si="12">SUM(AK7:AM7)</f>
        <v>474.6</v>
      </c>
    </row>
    <row r="8" spans="2:54">
      <c r="C8" s="129" t="s">
        <v>155</v>
      </c>
      <c r="D8" s="141" t="e">
        <f t="shared" ref="D8:AN8" si="13">D9+D18+D25+D33+D38+D42+D43</f>
        <v>#N/A</v>
      </c>
      <c r="E8" s="141" t="e">
        <f t="shared" si="13"/>
        <v>#N/A</v>
      </c>
      <c r="F8" s="141" t="e">
        <f t="shared" si="13"/>
        <v>#N/A</v>
      </c>
      <c r="G8" s="141" t="e">
        <f t="shared" si="13"/>
        <v>#N/A</v>
      </c>
      <c r="H8" s="141" t="e">
        <f t="shared" si="13"/>
        <v>#N/A</v>
      </c>
      <c r="I8" s="141" t="e">
        <f t="shared" si="13"/>
        <v>#N/A</v>
      </c>
      <c r="J8" s="141" t="e">
        <f t="shared" si="13"/>
        <v>#N/A</v>
      </c>
      <c r="K8" s="141" t="e">
        <f t="shared" si="13"/>
        <v>#N/A</v>
      </c>
      <c r="L8" s="141" t="e">
        <f t="shared" si="13"/>
        <v>#N/A</v>
      </c>
      <c r="M8" s="141" t="e">
        <f t="shared" si="13"/>
        <v>#N/A</v>
      </c>
      <c r="N8" s="141" t="e">
        <f t="shared" si="13"/>
        <v>#N/A</v>
      </c>
      <c r="O8" s="141" t="e">
        <f t="shared" si="13"/>
        <v>#N/A</v>
      </c>
      <c r="P8" s="141" t="e">
        <f t="shared" si="13"/>
        <v>#N/A</v>
      </c>
      <c r="Q8" s="141" t="e">
        <f t="shared" si="13"/>
        <v>#N/A</v>
      </c>
      <c r="R8" s="141" t="e">
        <f t="shared" si="13"/>
        <v>#N/A</v>
      </c>
      <c r="S8" s="141" t="e">
        <f t="shared" si="13"/>
        <v>#N/A</v>
      </c>
      <c r="T8" s="141" t="e">
        <f t="shared" si="13"/>
        <v>#N/A</v>
      </c>
      <c r="U8" s="141" t="e">
        <f t="shared" si="13"/>
        <v>#N/A</v>
      </c>
      <c r="V8" s="141" t="e">
        <f t="shared" si="13"/>
        <v>#N/A</v>
      </c>
      <c r="W8" s="141" t="e">
        <f t="shared" si="13"/>
        <v>#N/A</v>
      </c>
      <c r="X8" s="141" t="e">
        <f t="shared" si="13"/>
        <v>#N/A</v>
      </c>
      <c r="Y8" s="141" t="e">
        <f t="shared" si="13"/>
        <v>#N/A</v>
      </c>
      <c r="Z8" s="141" t="e">
        <f t="shared" si="13"/>
        <v>#N/A</v>
      </c>
      <c r="AA8" s="141" t="e">
        <f t="shared" si="13"/>
        <v>#N/A</v>
      </c>
      <c r="AB8" s="141" t="e">
        <f t="shared" si="13"/>
        <v>#N/A</v>
      </c>
      <c r="AC8" s="141" t="e">
        <f t="shared" si="13"/>
        <v>#N/A</v>
      </c>
      <c r="AD8" s="141" t="e">
        <f t="shared" si="13"/>
        <v>#N/A</v>
      </c>
      <c r="AE8" s="141" t="e">
        <f t="shared" si="13"/>
        <v>#N/A</v>
      </c>
      <c r="AF8" s="141" t="e">
        <f t="shared" si="13"/>
        <v>#N/A</v>
      </c>
      <c r="AG8" s="141" t="e">
        <f t="shared" si="13"/>
        <v>#N/A</v>
      </c>
      <c r="AH8" s="141" t="e">
        <f t="shared" si="13"/>
        <v>#N/A</v>
      </c>
      <c r="AI8" s="141" t="e">
        <f t="shared" si="13"/>
        <v>#N/A</v>
      </c>
      <c r="AJ8" s="141" t="e">
        <f t="shared" si="13"/>
        <v>#N/A</v>
      </c>
      <c r="AK8" s="141" t="e">
        <f t="shared" si="13"/>
        <v>#N/A</v>
      </c>
      <c r="AL8" s="141" t="e">
        <f t="shared" si="13"/>
        <v>#N/A</v>
      </c>
      <c r="AM8" s="141" t="e">
        <f t="shared" si="13"/>
        <v>#N/A</v>
      </c>
      <c r="AN8" s="147" t="e">
        <f t="shared" si="13"/>
        <v>#N/A</v>
      </c>
      <c r="AQ8" s="143" t="e">
        <f t="shared" si="1"/>
        <v>#N/A</v>
      </c>
      <c r="AR8" s="143" t="e">
        <f t="shared" si="2"/>
        <v>#N/A</v>
      </c>
      <c r="AS8" s="143" t="e">
        <f t="shared" si="3"/>
        <v>#N/A</v>
      </c>
      <c r="AT8" s="143" t="e">
        <f t="shared" si="4"/>
        <v>#N/A</v>
      </c>
      <c r="AU8" s="143" t="e">
        <f t="shared" si="5"/>
        <v>#N/A</v>
      </c>
      <c r="AV8" s="143" t="e">
        <f t="shared" si="6"/>
        <v>#N/A</v>
      </c>
      <c r="AW8" s="143" t="e">
        <f t="shared" si="7"/>
        <v>#N/A</v>
      </c>
      <c r="AX8" s="143" t="e">
        <f t="shared" si="8"/>
        <v>#N/A</v>
      </c>
      <c r="AY8" s="143" t="e">
        <f t="shared" si="9"/>
        <v>#N/A</v>
      </c>
      <c r="AZ8" s="143" t="e">
        <f t="shared" si="10"/>
        <v>#N/A</v>
      </c>
      <c r="BA8" s="143" t="e">
        <f t="shared" si="11"/>
        <v>#N/A</v>
      </c>
      <c r="BB8" s="143" t="e">
        <f t="shared" si="12"/>
        <v>#N/A</v>
      </c>
    </row>
    <row r="9" spans="2:54" s="129" customFormat="1">
      <c r="C9" s="129" t="s">
        <v>156</v>
      </c>
      <c r="D9" s="142" t="e">
        <f>SUM(D10:D17)</f>
        <v>#N/A</v>
      </c>
      <c r="E9" s="142">
        <f t="shared" ref="E9:AM9" si="14">SUM(E10:E17)</f>
        <v>0</v>
      </c>
      <c r="F9" s="142">
        <f t="shared" si="14"/>
        <v>0</v>
      </c>
      <c r="G9" s="142">
        <f t="shared" si="14"/>
        <v>-474</v>
      </c>
      <c r="H9" s="142">
        <f t="shared" si="14"/>
        <v>0</v>
      </c>
      <c r="I9" s="142">
        <f t="shared" si="14"/>
        <v>0</v>
      </c>
      <c r="J9" s="142">
        <f t="shared" si="14"/>
        <v>-474</v>
      </c>
      <c r="K9" s="142">
        <f t="shared" si="14"/>
        <v>0</v>
      </c>
      <c r="L9" s="142">
        <f t="shared" si="14"/>
        <v>0</v>
      </c>
      <c r="M9" s="142">
        <f t="shared" si="14"/>
        <v>-474</v>
      </c>
      <c r="N9" s="142">
        <f t="shared" si="14"/>
        <v>0</v>
      </c>
      <c r="O9" s="142">
        <f t="shared" si="14"/>
        <v>0</v>
      </c>
      <c r="P9" s="142" t="e">
        <f t="shared" si="14"/>
        <v>#N/A</v>
      </c>
      <c r="Q9" s="142">
        <f t="shared" si="14"/>
        <v>0</v>
      </c>
      <c r="R9" s="142">
        <f t="shared" si="14"/>
        <v>0</v>
      </c>
      <c r="S9" s="142">
        <f t="shared" si="14"/>
        <v>-474</v>
      </c>
      <c r="T9" s="142">
        <f t="shared" si="14"/>
        <v>0</v>
      </c>
      <c r="U9" s="142">
        <f t="shared" si="14"/>
        <v>0</v>
      </c>
      <c r="V9" s="142">
        <f t="shared" si="14"/>
        <v>-474</v>
      </c>
      <c r="W9" s="142">
        <f t="shared" si="14"/>
        <v>0</v>
      </c>
      <c r="X9" s="142">
        <f t="shared" si="14"/>
        <v>0</v>
      </c>
      <c r="Y9" s="142">
        <f t="shared" si="14"/>
        <v>-474</v>
      </c>
      <c r="Z9" s="142">
        <f t="shared" si="14"/>
        <v>0</v>
      </c>
      <c r="AA9" s="142">
        <f t="shared" si="14"/>
        <v>0</v>
      </c>
      <c r="AB9" s="142" t="e">
        <f t="shared" si="14"/>
        <v>#N/A</v>
      </c>
      <c r="AC9" s="142">
        <f t="shared" si="14"/>
        <v>0</v>
      </c>
      <c r="AD9" s="142">
        <f t="shared" si="14"/>
        <v>0</v>
      </c>
      <c r="AE9" s="142">
        <f t="shared" si="14"/>
        <v>-474</v>
      </c>
      <c r="AF9" s="142">
        <f t="shared" si="14"/>
        <v>0</v>
      </c>
      <c r="AG9" s="142">
        <f t="shared" si="14"/>
        <v>0</v>
      </c>
      <c r="AH9" s="142">
        <f t="shared" si="14"/>
        <v>-474</v>
      </c>
      <c r="AI9" s="142">
        <f t="shared" si="14"/>
        <v>0</v>
      </c>
      <c r="AJ9" s="142">
        <f t="shared" si="14"/>
        <v>0</v>
      </c>
      <c r="AK9" s="142">
        <f t="shared" si="14"/>
        <v>-474</v>
      </c>
      <c r="AL9" s="142">
        <f t="shared" si="14"/>
        <v>0</v>
      </c>
      <c r="AM9" s="142" t="e">
        <f t="shared" si="14"/>
        <v>#N/A</v>
      </c>
      <c r="AN9" s="147" t="e">
        <f>SUM(AN10:AN17)</f>
        <v>#N/A</v>
      </c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</row>
    <row r="10" spans="2:54" outlineLevel="1">
      <c r="C10" s="130" t="s">
        <v>63</v>
      </c>
      <c r="D10" s="141" t="e">
        <f>-SUM(Kosten!F5:F7)</f>
        <v>#N/A</v>
      </c>
      <c r="E10" s="144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 t="e">
        <f t="shared" si="0"/>
        <v>#N/A</v>
      </c>
      <c r="AQ10" s="143" t="e">
        <f t="shared" si="1"/>
        <v>#N/A</v>
      </c>
      <c r="AR10" s="143">
        <f t="shared" si="2"/>
        <v>0</v>
      </c>
      <c r="AS10" s="143">
        <f t="shared" si="3"/>
        <v>0</v>
      </c>
      <c r="AT10" s="143">
        <f t="shared" si="4"/>
        <v>0</v>
      </c>
      <c r="AU10" s="143">
        <f t="shared" si="5"/>
        <v>0</v>
      </c>
      <c r="AV10" s="143">
        <f t="shared" si="6"/>
        <v>0</v>
      </c>
      <c r="AW10" s="143">
        <f t="shared" si="7"/>
        <v>0</v>
      </c>
      <c r="AX10" s="143">
        <f t="shared" si="8"/>
        <v>0</v>
      </c>
      <c r="AY10" s="143">
        <f t="shared" si="9"/>
        <v>0</v>
      </c>
      <c r="AZ10" s="143">
        <f t="shared" si="10"/>
        <v>0</v>
      </c>
      <c r="BA10" s="143">
        <f t="shared" si="11"/>
        <v>0</v>
      </c>
      <c r="BB10" s="143">
        <f t="shared" si="12"/>
        <v>0</v>
      </c>
    </row>
    <row r="11" spans="2:54" outlineLevel="1">
      <c r="C11" s="130" t="s">
        <v>65</v>
      </c>
      <c r="D11" s="141">
        <f>-SUM(Kosten!G5:G7)</f>
        <v>-354</v>
      </c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>
        <f t="shared" si="0"/>
        <v>-354</v>
      </c>
      <c r="AQ11" s="143">
        <f t="shared" si="1"/>
        <v>-354</v>
      </c>
      <c r="AR11" s="143">
        <f t="shared" si="2"/>
        <v>0</v>
      </c>
      <c r="AS11" s="143">
        <f t="shared" si="3"/>
        <v>0</v>
      </c>
      <c r="AT11" s="143">
        <f t="shared" si="4"/>
        <v>0</v>
      </c>
      <c r="AU11" s="143">
        <f t="shared" si="5"/>
        <v>0</v>
      </c>
      <c r="AV11" s="143">
        <f t="shared" si="6"/>
        <v>0</v>
      </c>
      <c r="AW11" s="143">
        <f t="shared" si="7"/>
        <v>0</v>
      </c>
      <c r="AX11" s="143">
        <f t="shared" si="8"/>
        <v>0</v>
      </c>
      <c r="AY11" s="143">
        <f t="shared" si="9"/>
        <v>0</v>
      </c>
      <c r="AZ11" s="143">
        <f t="shared" si="10"/>
        <v>0</v>
      </c>
      <c r="BA11" s="143">
        <f t="shared" si="11"/>
        <v>0</v>
      </c>
      <c r="BB11" s="143">
        <f t="shared" si="12"/>
        <v>0</v>
      </c>
    </row>
    <row r="12" spans="2:54" outlineLevel="1">
      <c r="C12" s="130" t="s">
        <v>68</v>
      </c>
      <c r="D12" s="141" t="e">
        <f>-SUM(Kosten!$M$5:$M$7)</f>
        <v>#N/A</v>
      </c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 t="e">
        <f>-SUM(Kosten!$M$5:$M$7)</f>
        <v>#N/A</v>
      </c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1" t="e">
        <f>-SUM(Kosten!$M$5:$M$7)</f>
        <v>#N/A</v>
      </c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 t="e">
        <f t="shared" si="0"/>
        <v>#N/A</v>
      </c>
      <c r="AQ12" s="143" t="e">
        <f t="shared" si="1"/>
        <v>#N/A</v>
      </c>
      <c r="AR12" s="143">
        <f t="shared" si="2"/>
        <v>0</v>
      </c>
      <c r="AS12" s="143">
        <f t="shared" si="3"/>
        <v>0</v>
      </c>
      <c r="AT12" s="143">
        <f t="shared" si="4"/>
        <v>0</v>
      </c>
      <c r="AU12" s="143" t="e">
        <f t="shared" si="5"/>
        <v>#N/A</v>
      </c>
      <c r="AV12" s="143">
        <f t="shared" si="6"/>
        <v>0</v>
      </c>
      <c r="AW12" s="143">
        <f t="shared" si="7"/>
        <v>0</v>
      </c>
      <c r="AX12" s="143">
        <f t="shared" si="8"/>
        <v>0</v>
      </c>
      <c r="AY12" s="143" t="e">
        <f t="shared" si="9"/>
        <v>#N/A</v>
      </c>
      <c r="AZ12" s="143">
        <f t="shared" si="10"/>
        <v>0</v>
      </c>
      <c r="BA12" s="143">
        <f t="shared" si="11"/>
        <v>0</v>
      </c>
      <c r="BB12" s="143">
        <f t="shared" si="12"/>
        <v>0</v>
      </c>
    </row>
    <row r="13" spans="2:54" outlineLevel="1">
      <c r="C13" s="130" t="s">
        <v>81</v>
      </c>
      <c r="D13" s="141" t="e">
        <f>-SUM(Kosten!H5:H7)</f>
        <v>#N/A</v>
      </c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 t="e">
        <f t="shared" si="0"/>
        <v>#N/A</v>
      </c>
      <c r="AQ13" s="143" t="e">
        <f t="shared" si="1"/>
        <v>#N/A</v>
      </c>
      <c r="AR13" s="143">
        <f t="shared" si="2"/>
        <v>0</v>
      </c>
      <c r="AS13" s="143">
        <f t="shared" si="3"/>
        <v>0</v>
      </c>
      <c r="AT13" s="143">
        <f t="shared" si="4"/>
        <v>0</v>
      </c>
      <c r="AU13" s="143">
        <f t="shared" si="5"/>
        <v>0</v>
      </c>
      <c r="AV13" s="143">
        <f t="shared" si="6"/>
        <v>0</v>
      </c>
      <c r="AW13" s="143">
        <f t="shared" si="7"/>
        <v>0</v>
      </c>
      <c r="AX13" s="143">
        <f t="shared" si="8"/>
        <v>0</v>
      </c>
      <c r="AY13" s="143">
        <f t="shared" si="9"/>
        <v>0</v>
      </c>
      <c r="AZ13" s="143">
        <f t="shared" si="10"/>
        <v>0</v>
      </c>
      <c r="BA13" s="143">
        <f t="shared" si="11"/>
        <v>0</v>
      </c>
      <c r="BB13" s="143">
        <f t="shared" si="12"/>
        <v>0</v>
      </c>
    </row>
    <row r="14" spans="2:54" outlineLevel="1">
      <c r="C14" s="130" t="s">
        <v>157</v>
      </c>
      <c r="D14" s="141" t="e">
        <f>-Kosten!F8-Kosten!H8</f>
        <v>#N/A</v>
      </c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</row>
    <row r="15" spans="2:54" outlineLevel="1">
      <c r="C15" s="130" t="s">
        <v>83</v>
      </c>
      <c r="D15" s="141"/>
      <c r="E15" s="141"/>
      <c r="F15" s="141"/>
      <c r="G15" s="141">
        <f>-SUM(Kosten!$J$5:$J$7)/3</f>
        <v>-474</v>
      </c>
      <c r="H15" s="141"/>
      <c r="I15" s="141"/>
      <c r="J15" s="141">
        <f>-SUM(Kosten!$J$5:$J$7)/3</f>
        <v>-474</v>
      </c>
      <c r="K15" s="141"/>
      <c r="L15" s="141"/>
      <c r="M15" s="141">
        <f>-SUM(Kosten!$J$5:$J$7)/3</f>
        <v>-474</v>
      </c>
      <c r="N15" s="141"/>
      <c r="O15" s="141"/>
      <c r="Q15" s="143"/>
      <c r="R15" s="143"/>
      <c r="S15" s="141">
        <f>-SUM(Kosten!$J$5:$J$7)/3</f>
        <v>-474</v>
      </c>
      <c r="T15" s="143"/>
      <c r="U15" s="143"/>
      <c r="V15" s="141">
        <f>-SUM(Kosten!$J$5:$J$7)/3</f>
        <v>-474</v>
      </c>
      <c r="W15" s="143"/>
      <c r="X15" s="143"/>
      <c r="Y15" s="141">
        <f>-SUM(Kosten!$J$5:$J$7)/3</f>
        <v>-474</v>
      </c>
      <c r="Z15" s="143"/>
      <c r="AA15" s="143"/>
      <c r="AB15" s="141"/>
      <c r="AC15" s="143"/>
      <c r="AD15" s="143"/>
      <c r="AE15" s="141">
        <f>-SUM(Kosten!$J$5:$J$7)/3</f>
        <v>-474</v>
      </c>
      <c r="AF15" s="143"/>
      <c r="AG15" s="143"/>
      <c r="AH15" s="141">
        <f>-SUM(Kosten!$J$5:$J$7)/3</f>
        <v>-474</v>
      </c>
      <c r="AI15" s="143"/>
      <c r="AJ15" s="143"/>
      <c r="AK15" s="141">
        <f>-SUM(Kosten!$J$5:$J$7)/3</f>
        <v>-474</v>
      </c>
      <c r="AL15" s="143"/>
      <c r="AM15" s="143"/>
      <c r="AN15" s="143">
        <f t="shared" si="0"/>
        <v>-4266</v>
      </c>
      <c r="AQ15" s="143">
        <f t="shared" si="1"/>
        <v>0</v>
      </c>
      <c r="AR15" s="143">
        <f t="shared" si="2"/>
        <v>-474</v>
      </c>
      <c r="AS15" s="143">
        <f t="shared" si="3"/>
        <v>-474</v>
      </c>
      <c r="AT15" s="143">
        <f>SUM(M15:O15)</f>
        <v>-474</v>
      </c>
      <c r="AU15" s="143">
        <f>SUM(M15:R15)</f>
        <v>-474</v>
      </c>
      <c r="AV15" s="143">
        <f t="shared" si="6"/>
        <v>-474</v>
      </c>
      <c r="AW15" s="143">
        <f t="shared" si="7"/>
        <v>-474</v>
      </c>
      <c r="AX15" s="143">
        <f t="shared" si="8"/>
        <v>-474</v>
      </c>
      <c r="AY15" s="143">
        <f t="shared" si="9"/>
        <v>0</v>
      </c>
      <c r="AZ15" s="143">
        <f t="shared" si="10"/>
        <v>-474</v>
      </c>
      <c r="BA15" s="143">
        <f t="shared" si="11"/>
        <v>-474</v>
      </c>
      <c r="BB15" s="143">
        <f t="shared" si="12"/>
        <v>-474</v>
      </c>
    </row>
    <row r="16" spans="2:54" outlineLevel="1">
      <c r="C16" s="130" t="s">
        <v>82</v>
      </c>
      <c r="D16" s="141"/>
      <c r="E16" s="141"/>
      <c r="F16" s="141"/>
      <c r="G16" s="141"/>
      <c r="H16" s="141"/>
      <c r="I16" s="141"/>
      <c r="J16" s="141"/>
      <c r="K16" s="141"/>
      <c r="L16" s="141"/>
      <c r="N16" s="141"/>
      <c r="O16" s="141"/>
      <c r="P16" s="141">
        <f>-SUM(Kosten!$I$5:$I$7)</f>
        <v>-1194</v>
      </c>
      <c r="Q16" s="143"/>
      <c r="R16" s="143"/>
      <c r="S16" s="143"/>
      <c r="T16" s="143"/>
      <c r="U16" s="143"/>
      <c r="V16" s="143"/>
      <c r="W16" s="143"/>
      <c r="X16" s="143"/>
      <c r="Z16" s="143"/>
      <c r="AA16" s="143"/>
      <c r="AB16" s="141">
        <f>-SUM(Kosten!$I$5:$I$7)</f>
        <v>-1194</v>
      </c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>
        <f t="shared" si="0"/>
        <v>-2388</v>
      </c>
      <c r="AQ16" s="143">
        <f t="shared" si="1"/>
        <v>0</v>
      </c>
      <c r="AR16" s="143">
        <f t="shared" si="2"/>
        <v>0</v>
      </c>
      <c r="AS16" s="143">
        <f t="shared" si="3"/>
        <v>0</v>
      </c>
      <c r="AT16" s="143">
        <f t="shared" si="4"/>
        <v>0</v>
      </c>
      <c r="AU16" s="143">
        <f>SUM(P16:R16)</f>
        <v>-1194</v>
      </c>
      <c r="AV16" s="143">
        <f t="shared" si="6"/>
        <v>0</v>
      </c>
      <c r="AW16" s="143">
        <f t="shared" si="7"/>
        <v>0</v>
      </c>
      <c r="AX16" s="143">
        <f t="shared" si="8"/>
        <v>0</v>
      </c>
      <c r="AY16" s="143">
        <f>SUM(AB16:AD16)</f>
        <v>-1194</v>
      </c>
      <c r="AZ16" s="143">
        <f t="shared" si="10"/>
        <v>0</v>
      </c>
      <c r="BA16" s="143">
        <f t="shared" si="11"/>
        <v>0</v>
      </c>
      <c r="BB16" s="143">
        <f t="shared" si="12"/>
        <v>0</v>
      </c>
    </row>
    <row r="17" spans="3:54" outlineLevel="1">
      <c r="C17" s="130" t="s">
        <v>67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3"/>
      <c r="Q17" s="143"/>
      <c r="R17" s="143"/>
      <c r="S17" s="143"/>
      <c r="T17" s="143"/>
      <c r="U17" s="143"/>
      <c r="V17" s="143"/>
      <c r="W17" s="143"/>
      <c r="X17" s="143"/>
      <c r="Y17" s="141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 t="e">
        <f>-SUM(Kosten!$N$5:$N$7)</f>
        <v>#N/A</v>
      </c>
      <c r="AN17" s="143" t="e">
        <f t="shared" si="0"/>
        <v>#N/A</v>
      </c>
      <c r="AQ17" s="143">
        <f t="shared" si="1"/>
        <v>0</v>
      </c>
      <c r="AR17" s="143">
        <f t="shared" si="2"/>
        <v>0</v>
      </c>
      <c r="AS17" s="143">
        <f t="shared" si="3"/>
        <v>0</v>
      </c>
      <c r="AT17" s="143">
        <f t="shared" si="4"/>
        <v>0</v>
      </c>
      <c r="AU17" s="143">
        <f t="shared" si="5"/>
        <v>0</v>
      </c>
      <c r="AV17" s="143">
        <f t="shared" si="6"/>
        <v>0</v>
      </c>
      <c r="AW17" s="143">
        <f t="shared" si="7"/>
        <v>0</v>
      </c>
      <c r="AX17" s="143">
        <f t="shared" si="8"/>
        <v>0</v>
      </c>
      <c r="AY17" s="143">
        <f t="shared" si="9"/>
        <v>0</v>
      </c>
      <c r="AZ17" s="143">
        <f t="shared" si="10"/>
        <v>0</v>
      </c>
      <c r="BA17" s="143">
        <f t="shared" si="11"/>
        <v>0</v>
      </c>
      <c r="BB17" s="143" t="e">
        <f t="shared" si="12"/>
        <v>#N/A</v>
      </c>
    </row>
    <row r="18" spans="3:54" s="129" customFormat="1">
      <c r="C18" s="129" t="s">
        <v>99</v>
      </c>
      <c r="D18" s="142" t="e">
        <f>SUM(D19:D24)</f>
        <v>#N/A</v>
      </c>
      <c r="E18" s="142">
        <f t="shared" ref="E18:AM18" si="15">SUM(E19:E24)</f>
        <v>0</v>
      </c>
      <c r="F18" s="142">
        <f t="shared" si="15"/>
        <v>0</v>
      </c>
      <c r="G18" s="142">
        <f t="shared" si="15"/>
        <v>0</v>
      </c>
      <c r="H18" s="142">
        <f t="shared" si="15"/>
        <v>0</v>
      </c>
      <c r="I18" s="142">
        <f t="shared" si="15"/>
        <v>0</v>
      </c>
      <c r="J18" s="142">
        <f t="shared" si="15"/>
        <v>0</v>
      </c>
      <c r="K18" s="142">
        <f t="shared" si="15"/>
        <v>0</v>
      </c>
      <c r="L18" s="142">
        <f t="shared" si="15"/>
        <v>0</v>
      </c>
      <c r="M18" s="142">
        <f t="shared" si="15"/>
        <v>0</v>
      </c>
      <c r="N18" s="142">
        <f t="shared" si="15"/>
        <v>0</v>
      </c>
      <c r="O18" s="142">
        <f t="shared" si="15"/>
        <v>0</v>
      </c>
      <c r="P18" s="142" t="e">
        <f t="shared" si="15"/>
        <v>#N/A</v>
      </c>
      <c r="Q18" s="142">
        <f t="shared" si="15"/>
        <v>0</v>
      </c>
      <c r="R18" s="142">
        <f t="shared" si="15"/>
        <v>0</v>
      </c>
      <c r="S18" s="142">
        <f t="shared" si="15"/>
        <v>0</v>
      </c>
      <c r="T18" s="142">
        <f t="shared" si="15"/>
        <v>0</v>
      </c>
      <c r="U18" s="142">
        <f t="shared" si="15"/>
        <v>0</v>
      </c>
      <c r="V18" s="142">
        <f t="shared" si="15"/>
        <v>0</v>
      </c>
      <c r="W18" s="142">
        <f t="shared" si="15"/>
        <v>0</v>
      </c>
      <c r="X18" s="142">
        <f t="shared" si="15"/>
        <v>0</v>
      </c>
      <c r="Y18" s="142">
        <f t="shared" si="15"/>
        <v>0</v>
      </c>
      <c r="Z18" s="142">
        <f t="shared" si="15"/>
        <v>0</v>
      </c>
      <c r="AA18" s="142">
        <f t="shared" si="15"/>
        <v>0</v>
      </c>
      <c r="AB18" s="142" t="e">
        <f t="shared" si="15"/>
        <v>#N/A</v>
      </c>
      <c r="AC18" s="142">
        <f t="shared" si="15"/>
        <v>0</v>
      </c>
      <c r="AD18" s="142">
        <f t="shared" si="15"/>
        <v>0</v>
      </c>
      <c r="AE18" s="142">
        <f t="shared" si="15"/>
        <v>0</v>
      </c>
      <c r="AF18" s="142">
        <f t="shared" si="15"/>
        <v>0</v>
      </c>
      <c r="AG18" s="142">
        <f t="shared" si="15"/>
        <v>0</v>
      </c>
      <c r="AH18" s="142">
        <f t="shared" si="15"/>
        <v>0</v>
      </c>
      <c r="AI18" s="142">
        <f t="shared" si="15"/>
        <v>0</v>
      </c>
      <c r="AJ18" s="142">
        <f t="shared" si="15"/>
        <v>0</v>
      </c>
      <c r="AK18" s="142">
        <f t="shared" si="15"/>
        <v>0</v>
      </c>
      <c r="AL18" s="142">
        <f t="shared" si="15"/>
        <v>0</v>
      </c>
      <c r="AM18" s="142" t="e">
        <f t="shared" si="15"/>
        <v>#N/A</v>
      </c>
      <c r="AN18" s="147" t="e">
        <f>SUM(AN19:AN24)</f>
        <v>#N/A</v>
      </c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</row>
    <row r="19" spans="3:54" hidden="1" outlineLevel="1">
      <c r="C19" s="130" t="s">
        <v>63</v>
      </c>
      <c r="D19" s="141" t="e">
        <f>-SUM(Kosten!$F$10:$F$11)</f>
        <v>#N/A</v>
      </c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 t="e">
        <f t="shared" si="0"/>
        <v>#N/A</v>
      </c>
      <c r="AQ19" s="143" t="e">
        <f t="shared" si="1"/>
        <v>#N/A</v>
      </c>
      <c r="AR19" s="143">
        <f t="shared" si="2"/>
        <v>0</v>
      </c>
      <c r="AS19" s="143">
        <f t="shared" si="3"/>
        <v>0</v>
      </c>
      <c r="AT19" s="143">
        <f t="shared" si="4"/>
        <v>0</v>
      </c>
      <c r="AU19" s="143">
        <f t="shared" si="5"/>
        <v>0</v>
      </c>
      <c r="AV19" s="143">
        <f t="shared" si="6"/>
        <v>0</v>
      </c>
      <c r="AW19" s="143">
        <f t="shared" si="7"/>
        <v>0</v>
      </c>
      <c r="AX19" s="143">
        <f t="shared" si="8"/>
        <v>0</v>
      </c>
      <c r="AY19" s="143">
        <f t="shared" si="9"/>
        <v>0</v>
      </c>
      <c r="AZ19" s="143">
        <f t="shared" si="10"/>
        <v>0</v>
      </c>
      <c r="BA19" s="143">
        <f t="shared" si="11"/>
        <v>0</v>
      </c>
      <c r="BB19" s="143">
        <f t="shared" si="12"/>
        <v>0</v>
      </c>
    </row>
    <row r="20" spans="3:54" hidden="1" outlineLevel="1">
      <c r="C20" s="130" t="s">
        <v>65</v>
      </c>
      <c r="D20" s="141">
        <f>-SUM(Kosten!$G$10:$G$11)</f>
        <v>0</v>
      </c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>
        <f t="shared" si="0"/>
        <v>0</v>
      </c>
      <c r="AQ20" s="143">
        <f t="shared" si="1"/>
        <v>0</v>
      </c>
      <c r="AR20" s="143">
        <f t="shared" si="2"/>
        <v>0</v>
      </c>
      <c r="AS20" s="143">
        <f t="shared" si="3"/>
        <v>0</v>
      </c>
      <c r="AT20" s="143">
        <f t="shared" si="4"/>
        <v>0</v>
      </c>
      <c r="AU20" s="143">
        <f t="shared" si="5"/>
        <v>0</v>
      </c>
      <c r="AV20" s="143">
        <f t="shared" si="6"/>
        <v>0</v>
      </c>
      <c r="AW20" s="143">
        <f t="shared" si="7"/>
        <v>0</v>
      </c>
      <c r="AX20" s="143">
        <f t="shared" si="8"/>
        <v>0</v>
      </c>
      <c r="AY20" s="143">
        <f t="shared" si="9"/>
        <v>0</v>
      </c>
      <c r="AZ20" s="143">
        <f t="shared" si="10"/>
        <v>0</v>
      </c>
      <c r="BA20" s="143">
        <f t="shared" si="11"/>
        <v>0</v>
      </c>
      <c r="BB20" s="143">
        <f t="shared" si="12"/>
        <v>0</v>
      </c>
    </row>
    <row r="21" spans="3:54" hidden="1" outlineLevel="1">
      <c r="C21" s="130" t="s">
        <v>68</v>
      </c>
      <c r="D21" s="141" t="e">
        <f>-SUM(Kosten!$M$10:$M$11)</f>
        <v>#N/A</v>
      </c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 t="e">
        <f>-SUM(Kosten!$M$10:$M$11)</f>
        <v>#N/A</v>
      </c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1" t="e">
        <f>-SUM(Kosten!$M$10:$M$11)</f>
        <v>#N/A</v>
      </c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 t="e">
        <f t="shared" si="0"/>
        <v>#N/A</v>
      </c>
      <c r="AQ21" s="143" t="e">
        <f t="shared" si="1"/>
        <v>#N/A</v>
      </c>
      <c r="AR21" s="143">
        <f t="shared" si="2"/>
        <v>0</v>
      </c>
      <c r="AS21" s="143">
        <f t="shared" si="3"/>
        <v>0</v>
      </c>
      <c r="AT21" s="143">
        <f t="shared" si="4"/>
        <v>0</v>
      </c>
      <c r="AU21" s="143" t="e">
        <f t="shared" si="5"/>
        <v>#N/A</v>
      </c>
      <c r="AV21" s="143">
        <f t="shared" si="6"/>
        <v>0</v>
      </c>
      <c r="AW21" s="143">
        <f t="shared" si="7"/>
        <v>0</v>
      </c>
      <c r="AX21" s="143">
        <f t="shared" si="8"/>
        <v>0</v>
      </c>
      <c r="AY21" s="143" t="e">
        <f t="shared" si="9"/>
        <v>#N/A</v>
      </c>
      <c r="AZ21" s="143">
        <f t="shared" si="10"/>
        <v>0</v>
      </c>
      <c r="BA21" s="143">
        <f t="shared" si="11"/>
        <v>0</v>
      </c>
      <c r="BB21" s="143">
        <f t="shared" si="12"/>
        <v>0</v>
      </c>
    </row>
    <row r="22" spans="3:54" hidden="1" outlineLevel="1">
      <c r="C22" s="130" t="s">
        <v>81</v>
      </c>
      <c r="D22" s="141" t="e">
        <f>-SUM(Kosten!$H$10:$H$11)</f>
        <v>#N/A</v>
      </c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 t="e">
        <f t="shared" si="0"/>
        <v>#N/A</v>
      </c>
      <c r="AQ22" s="143" t="e">
        <f t="shared" si="1"/>
        <v>#N/A</v>
      </c>
      <c r="AR22" s="143">
        <f t="shared" si="2"/>
        <v>0</v>
      </c>
      <c r="AS22" s="143">
        <f t="shared" si="3"/>
        <v>0</v>
      </c>
      <c r="AT22" s="143">
        <f t="shared" si="4"/>
        <v>0</v>
      </c>
      <c r="AU22" s="143">
        <f t="shared" si="5"/>
        <v>0</v>
      </c>
      <c r="AV22" s="143">
        <f t="shared" si="6"/>
        <v>0</v>
      </c>
      <c r="AW22" s="143">
        <f t="shared" si="7"/>
        <v>0</v>
      </c>
      <c r="AX22" s="143">
        <f t="shared" si="8"/>
        <v>0</v>
      </c>
      <c r="AY22" s="143">
        <f t="shared" si="9"/>
        <v>0</v>
      </c>
      <c r="AZ22" s="143">
        <f t="shared" si="10"/>
        <v>0</v>
      </c>
      <c r="BA22" s="143">
        <f t="shared" si="11"/>
        <v>0</v>
      </c>
      <c r="BB22" s="143">
        <f t="shared" si="12"/>
        <v>0</v>
      </c>
    </row>
    <row r="23" spans="3:54" hidden="1" outlineLevel="1">
      <c r="C23" s="130" t="s">
        <v>82</v>
      </c>
      <c r="D23" s="141"/>
      <c r="E23" s="141"/>
      <c r="F23" s="141"/>
      <c r="G23" s="141"/>
      <c r="H23" s="141"/>
      <c r="I23" s="141"/>
      <c r="J23" s="141"/>
      <c r="K23" s="141"/>
      <c r="L23" s="141"/>
      <c r="N23" s="141"/>
      <c r="O23" s="141">
        <f>-SUM(Kosten!$I$10:$I$11)</f>
        <v>0</v>
      </c>
      <c r="P23" s="143"/>
      <c r="Q23" s="143"/>
      <c r="R23" s="143"/>
      <c r="S23" s="143"/>
      <c r="T23" s="143"/>
      <c r="U23" s="143"/>
      <c r="V23" s="143"/>
      <c r="W23" s="143"/>
      <c r="X23" s="143"/>
      <c r="Z23" s="143"/>
      <c r="AA23" s="141">
        <f>-SUM(Kosten!$I$10:$I$11)</f>
        <v>0</v>
      </c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>
        <f t="shared" si="0"/>
        <v>0</v>
      </c>
      <c r="AQ23" s="143">
        <f t="shared" si="1"/>
        <v>0</v>
      </c>
      <c r="AR23" s="143">
        <f t="shared" si="2"/>
        <v>0</v>
      </c>
      <c r="AS23" s="143">
        <f t="shared" si="3"/>
        <v>0</v>
      </c>
      <c r="AT23" s="143">
        <f>SUM(N23:O23)</f>
        <v>0</v>
      </c>
      <c r="AU23" s="143">
        <f t="shared" si="5"/>
        <v>0</v>
      </c>
      <c r="AV23" s="143">
        <f t="shared" si="6"/>
        <v>0</v>
      </c>
      <c r="AW23" s="143">
        <f t="shared" si="7"/>
        <v>0</v>
      </c>
      <c r="AX23" s="143">
        <f>SUM(Z23:AA23)</f>
        <v>0</v>
      </c>
      <c r="AY23" s="143">
        <f t="shared" si="9"/>
        <v>0</v>
      </c>
      <c r="AZ23" s="143">
        <f t="shared" si="10"/>
        <v>0</v>
      </c>
      <c r="BA23" s="143">
        <f t="shared" si="11"/>
        <v>0</v>
      </c>
      <c r="BB23" s="143">
        <f t="shared" si="12"/>
        <v>0</v>
      </c>
    </row>
    <row r="24" spans="3:54" hidden="1" outlineLevel="1">
      <c r="C24" s="130" t="s">
        <v>67</v>
      </c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3"/>
      <c r="Q24" s="143"/>
      <c r="R24" s="143"/>
      <c r="S24" s="143"/>
      <c r="T24" s="143"/>
      <c r="U24" s="143"/>
      <c r="V24" s="143"/>
      <c r="W24" s="143"/>
      <c r="X24" s="143"/>
      <c r="Y24" s="141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 t="e">
        <f>-SUM(Kosten!$N$10:$N$11)</f>
        <v>#N/A</v>
      </c>
      <c r="AN24" s="143" t="e">
        <f t="shared" si="0"/>
        <v>#N/A</v>
      </c>
      <c r="AQ24" s="143">
        <f t="shared" si="1"/>
        <v>0</v>
      </c>
      <c r="AR24" s="143">
        <f t="shared" si="2"/>
        <v>0</v>
      </c>
      <c r="AS24" s="143">
        <f t="shared" si="3"/>
        <v>0</v>
      </c>
      <c r="AT24" s="143">
        <f t="shared" si="4"/>
        <v>0</v>
      </c>
      <c r="AU24" s="143">
        <f t="shared" si="5"/>
        <v>0</v>
      </c>
      <c r="AV24" s="143">
        <f t="shared" si="6"/>
        <v>0</v>
      </c>
      <c r="AW24" s="143">
        <f t="shared" si="7"/>
        <v>0</v>
      </c>
      <c r="AX24" s="143">
        <f t="shared" si="8"/>
        <v>0</v>
      </c>
      <c r="AY24" s="143">
        <f t="shared" si="9"/>
        <v>0</v>
      </c>
      <c r="AZ24" s="143">
        <f t="shared" si="10"/>
        <v>0</v>
      </c>
      <c r="BA24" s="143">
        <f t="shared" si="11"/>
        <v>0</v>
      </c>
      <c r="BB24" s="143" t="e">
        <f t="shared" si="12"/>
        <v>#N/A</v>
      </c>
    </row>
    <row r="25" spans="3:54" s="129" customFormat="1" collapsed="1">
      <c r="C25" s="129" t="s">
        <v>45</v>
      </c>
      <c r="D25" s="142" t="e">
        <f>SUM(D26:D32)</f>
        <v>#N/A</v>
      </c>
      <c r="E25" s="142" t="e">
        <f t="shared" ref="E25:AM25" si="16">SUM(E26:E32)</f>
        <v>#N/A</v>
      </c>
      <c r="F25" s="142" t="e">
        <f t="shared" si="16"/>
        <v>#N/A</v>
      </c>
      <c r="G25" s="142" t="e">
        <f t="shared" si="16"/>
        <v>#N/A</v>
      </c>
      <c r="H25" s="142" t="e">
        <f t="shared" si="16"/>
        <v>#N/A</v>
      </c>
      <c r="I25" s="142" t="e">
        <f t="shared" si="16"/>
        <v>#N/A</v>
      </c>
      <c r="J25" s="142" t="e">
        <f t="shared" si="16"/>
        <v>#N/A</v>
      </c>
      <c r="K25" s="142" t="e">
        <f t="shared" si="16"/>
        <v>#N/A</v>
      </c>
      <c r="L25" s="142" t="e">
        <f t="shared" si="16"/>
        <v>#N/A</v>
      </c>
      <c r="M25" s="142" t="e">
        <f t="shared" si="16"/>
        <v>#N/A</v>
      </c>
      <c r="N25" s="142" t="e">
        <f t="shared" si="16"/>
        <v>#N/A</v>
      </c>
      <c r="O25" s="142" t="e">
        <f t="shared" si="16"/>
        <v>#N/A</v>
      </c>
      <c r="P25" s="142" t="e">
        <f t="shared" si="16"/>
        <v>#N/A</v>
      </c>
      <c r="Q25" s="142" t="e">
        <f t="shared" si="16"/>
        <v>#N/A</v>
      </c>
      <c r="R25" s="142" t="e">
        <f t="shared" si="16"/>
        <v>#N/A</v>
      </c>
      <c r="S25" s="142" t="e">
        <f t="shared" si="16"/>
        <v>#N/A</v>
      </c>
      <c r="T25" s="142" t="e">
        <f t="shared" si="16"/>
        <v>#N/A</v>
      </c>
      <c r="U25" s="142" t="e">
        <f t="shared" si="16"/>
        <v>#N/A</v>
      </c>
      <c r="V25" s="142" t="e">
        <f t="shared" si="16"/>
        <v>#N/A</v>
      </c>
      <c r="W25" s="142" t="e">
        <f t="shared" si="16"/>
        <v>#N/A</v>
      </c>
      <c r="X25" s="142" t="e">
        <f t="shared" si="16"/>
        <v>#N/A</v>
      </c>
      <c r="Y25" s="142" t="e">
        <f t="shared" si="16"/>
        <v>#N/A</v>
      </c>
      <c r="Z25" s="142" t="e">
        <f t="shared" si="16"/>
        <v>#N/A</v>
      </c>
      <c r="AA25" s="142" t="e">
        <f t="shared" si="16"/>
        <v>#N/A</v>
      </c>
      <c r="AB25" s="142" t="e">
        <f t="shared" si="16"/>
        <v>#N/A</v>
      </c>
      <c r="AC25" s="142" t="e">
        <f t="shared" si="16"/>
        <v>#N/A</v>
      </c>
      <c r="AD25" s="142" t="e">
        <f t="shared" si="16"/>
        <v>#N/A</v>
      </c>
      <c r="AE25" s="142" t="e">
        <f t="shared" si="16"/>
        <v>#N/A</v>
      </c>
      <c r="AF25" s="142" t="e">
        <f t="shared" si="16"/>
        <v>#N/A</v>
      </c>
      <c r="AG25" s="142" t="e">
        <f t="shared" si="16"/>
        <v>#N/A</v>
      </c>
      <c r="AH25" s="142" t="e">
        <f t="shared" si="16"/>
        <v>#N/A</v>
      </c>
      <c r="AI25" s="142" t="e">
        <f t="shared" si="16"/>
        <v>#N/A</v>
      </c>
      <c r="AJ25" s="142" t="e">
        <f t="shared" si="16"/>
        <v>#N/A</v>
      </c>
      <c r="AK25" s="142" t="e">
        <f t="shared" si="16"/>
        <v>#N/A</v>
      </c>
      <c r="AL25" s="142" t="e">
        <f t="shared" si="16"/>
        <v>#N/A</v>
      </c>
      <c r="AM25" s="142" t="e">
        <f t="shared" si="16"/>
        <v>#N/A</v>
      </c>
      <c r="AN25" s="147" t="e">
        <f>SUM(AN26:AN32)</f>
        <v>#N/A</v>
      </c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</row>
    <row r="26" spans="3:54" hidden="1" outlineLevel="1">
      <c r="C26" s="130" t="s">
        <v>103</v>
      </c>
      <c r="D26" s="141" t="e">
        <f>-Kosten!$F$15</f>
        <v>#N/A</v>
      </c>
      <c r="E26" s="141" t="e">
        <f>-Kosten!$F$15</f>
        <v>#N/A</v>
      </c>
      <c r="F26" s="141" t="e">
        <f>-Kosten!$F$15</f>
        <v>#N/A</v>
      </c>
      <c r="G26" s="141" t="e">
        <f>-Kosten!$F$15</f>
        <v>#N/A</v>
      </c>
      <c r="H26" s="141" t="e">
        <f>-Kosten!$F$15</f>
        <v>#N/A</v>
      </c>
      <c r="I26" s="141" t="e">
        <f>-Kosten!$F$15</f>
        <v>#N/A</v>
      </c>
      <c r="J26" s="141" t="e">
        <f>-Kosten!$F$15</f>
        <v>#N/A</v>
      </c>
      <c r="K26" s="141" t="e">
        <f>-Kosten!$F$15</f>
        <v>#N/A</v>
      </c>
      <c r="L26" s="141" t="e">
        <f>-Kosten!$F$15</f>
        <v>#N/A</v>
      </c>
      <c r="M26" s="141" t="e">
        <f>-Kosten!$F$15</f>
        <v>#N/A</v>
      </c>
      <c r="N26" s="141" t="e">
        <f>-Kosten!$F$15</f>
        <v>#N/A</v>
      </c>
      <c r="O26" s="141" t="e">
        <f>-Kosten!$F$15</f>
        <v>#N/A</v>
      </c>
      <c r="P26" s="141" t="e">
        <f>-Kosten!$F$15</f>
        <v>#N/A</v>
      </c>
      <c r="Q26" s="141" t="e">
        <f>-Kosten!$F$15</f>
        <v>#N/A</v>
      </c>
      <c r="R26" s="141" t="e">
        <f>-Kosten!$F$15</f>
        <v>#N/A</v>
      </c>
      <c r="S26" s="141" t="e">
        <f>-Kosten!$F$15</f>
        <v>#N/A</v>
      </c>
      <c r="T26" s="141" t="e">
        <f>-Kosten!$F$15</f>
        <v>#N/A</v>
      </c>
      <c r="U26" s="141" t="e">
        <f>-Kosten!$F$15</f>
        <v>#N/A</v>
      </c>
      <c r="V26" s="141" t="e">
        <f>-Kosten!$F$15</f>
        <v>#N/A</v>
      </c>
      <c r="W26" s="141" t="e">
        <f>-Kosten!$F$15</f>
        <v>#N/A</v>
      </c>
      <c r="X26" s="141" t="e">
        <f>-Kosten!$F$15</f>
        <v>#N/A</v>
      </c>
      <c r="Y26" s="141" t="e">
        <f>-Kosten!$F$15</f>
        <v>#N/A</v>
      </c>
      <c r="Z26" s="141" t="e">
        <f>-Kosten!$F$15</f>
        <v>#N/A</v>
      </c>
      <c r="AA26" s="141" t="e">
        <f>-Kosten!$F$15</f>
        <v>#N/A</v>
      </c>
      <c r="AB26" s="141" t="e">
        <f>-Kosten!$F$15</f>
        <v>#N/A</v>
      </c>
      <c r="AC26" s="141" t="e">
        <f>-Kosten!$F$15</f>
        <v>#N/A</v>
      </c>
      <c r="AD26" s="141" t="e">
        <f>-Kosten!$F$15</f>
        <v>#N/A</v>
      </c>
      <c r="AE26" s="141" t="e">
        <f>-Kosten!$F$15</f>
        <v>#N/A</v>
      </c>
      <c r="AF26" s="141" t="e">
        <f>-Kosten!$F$15</f>
        <v>#N/A</v>
      </c>
      <c r="AG26" s="141" t="e">
        <f>-Kosten!$F$15</f>
        <v>#N/A</v>
      </c>
      <c r="AH26" s="141" t="e">
        <f>-Kosten!$F$15</f>
        <v>#N/A</v>
      </c>
      <c r="AI26" s="141" t="e">
        <f>-Kosten!$F$15</f>
        <v>#N/A</v>
      </c>
      <c r="AJ26" s="141" t="e">
        <f>-Kosten!$F$15</f>
        <v>#N/A</v>
      </c>
      <c r="AK26" s="141" t="e">
        <f>-Kosten!$F$15</f>
        <v>#N/A</v>
      </c>
      <c r="AL26" s="141" t="e">
        <f>-Kosten!$F$15</f>
        <v>#N/A</v>
      </c>
      <c r="AM26" s="141" t="e">
        <f>-Kosten!$F$15</f>
        <v>#N/A</v>
      </c>
      <c r="AN26" s="143" t="e">
        <f t="shared" si="0"/>
        <v>#N/A</v>
      </c>
      <c r="AQ26" s="143" t="e">
        <f t="shared" si="1"/>
        <v>#N/A</v>
      </c>
      <c r="AR26" s="143" t="e">
        <f t="shared" si="2"/>
        <v>#N/A</v>
      </c>
      <c r="AS26" s="143" t="e">
        <f t="shared" si="3"/>
        <v>#N/A</v>
      </c>
      <c r="AT26" s="143" t="e">
        <f t="shared" si="4"/>
        <v>#N/A</v>
      </c>
      <c r="AU26" s="143" t="e">
        <f t="shared" si="5"/>
        <v>#N/A</v>
      </c>
      <c r="AV26" s="143" t="e">
        <f t="shared" si="6"/>
        <v>#N/A</v>
      </c>
      <c r="AW26" s="143" t="e">
        <f t="shared" si="7"/>
        <v>#N/A</v>
      </c>
      <c r="AX26" s="143" t="e">
        <f t="shared" si="8"/>
        <v>#N/A</v>
      </c>
      <c r="AY26" s="143" t="e">
        <f t="shared" si="9"/>
        <v>#N/A</v>
      </c>
      <c r="AZ26" s="143" t="e">
        <f t="shared" si="10"/>
        <v>#N/A</v>
      </c>
      <c r="BA26" s="143" t="e">
        <f t="shared" si="11"/>
        <v>#N/A</v>
      </c>
      <c r="BB26" s="143" t="e">
        <f t="shared" si="12"/>
        <v>#N/A</v>
      </c>
    </row>
    <row r="27" spans="3:54" hidden="1" outlineLevel="1">
      <c r="C27" s="130" t="s">
        <v>86</v>
      </c>
      <c r="D27" s="141">
        <f>-Kosten!E15</f>
        <v>0</v>
      </c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3">
        <f t="shared" si="0"/>
        <v>0</v>
      </c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</row>
    <row r="28" spans="3:54" hidden="1" outlineLevel="1">
      <c r="C28" s="130" t="s">
        <v>65</v>
      </c>
      <c r="D28" s="141">
        <f>-Kosten!G15</f>
        <v>0</v>
      </c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  <c r="AH28" s="141"/>
      <c r="AI28" s="141"/>
      <c r="AJ28" s="141"/>
      <c r="AK28" s="141"/>
      <c r="AL28" s="141"/>
      <c r="AM28" s="141"/>
      <c r="AN28" s="143">
        <f t="shared" si="0"/>
        <v>0</v>
      </c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</row>
    <row r="29" spans="3:54" hidden="1" outlineLevel="1">
      <c r="C29" s="130" t="s">
        <v>68</v>
      </c>
      <c r="D29" s="141" t="e">
        <f>-Kosten!$M$15</f>
        <v>#N/A</v>
      </c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 t="e">
        <f>-Kosten!$M$15</f>
        <v>#N/A</v>
      </c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 t="e">
        <f>-Kosten!$M$15</f>
        <v>#N/A</v>
      </c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3" t="e">
        <f t="shared" si="0"/>
        <v>#N/A</v>
      </c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</row>
    <row r="30" spans="3:54" hidden="1" outlineLevel="1">
      <c r="C30" s="130" t="s">
        <v>83</v>
      </c>
      <c r="D30" s="141"/>
      <c r="E30" s="141"/>
      <c r="F30" s="141"/>
      <c r="G30" s="141"/>
      <c r="H30" s="141"/>
      <c r="I30" s="141">
        <f>-Kosten!$J$15</f>
        <v>0</v>
      </c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>
        <f>-Kosten!$J$15</f>
        <v>0</v>
      </c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>
        <f>-Kosten!$J$15</f>
        <v>0</v>
      </c>
      <c r="AH30" s="141"/>
      <c r="AI30" s="141"/>
      <c r="AJ30" s="141"/>
      <c r="AK30" s="141"/>
      <c r="AL30" s="141"/>
      <c r="AM30" s="141"/>
      <c r="AN30" s="143">
        <f t="shared" si="0"/>
        <v>0</v>
      </c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</row>
    <row r="31" spans="3:54" hidden="1" outlineLevel="1">
      <c r="C31" s="130" t="s">
        <v>82</v>
      </c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>
        <f>-Kosten!$I$15</f>
        <v>0</v>
      </c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>
        <f>-Kosten!$I$15</f>
        <v>0</v>
      </c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3">
        <f t="shared" si="0"/>
        <v>0</v>
      </c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</row>
    <row r="32" spans="3:54" hidden="1" outlineLevel="1">
      <c r="C32" s="130" t="s">
        <v>67</v>
      </c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 t="e">
        <f>-Kosten!$N$15</f>
        <v>#N/A</v>
      </c>
      <c r="AN32" s="143" t="e">
        <f t="shared" si="0"/>
        <v>#N/A</v>
      </c>
      <c r="AQ32" s="143">
        <f t="shared" si="1"/>
        <v>0</v>
      </c>
      <c r="AR32" s="143">
        <f t="shared" si="2"/>
        <v>0</v>
      </c>
      <c r="AS32" s="143">
        <f t="shared" si="3"/>
        <v>0</v>
      </c>
      <c r="AT32" s="143">
        <f t="shared" si="4"/>
        <v>0</v>
      </c>
      <c r="AU32" s="143">
        <f t="shared" si="5"/>
        <v>0</v>
      </c>
      <c r="AV32" s="143">
        <f t="shared" si="6"/>
        <v>0</v>
      </c>
      <c r="AW32" s="143">
        <f t="shared" si="7"/>
        <v>0</v>
      </c>
      <c r="AX32" s="143">
        <f t="shared" si="8"/>
        <v>0</v>
      </c>
      <c r="AY32" s="143">
        <f t="shared" si="9"/>
        <v>0</v>
      </c>
      <c r="AZ32" s="143">
        <f t="shared" si="10"/>
        <v>0</v>
      </c>
      <c r="BA32" s="143">
        <f t="shared" si="11"/>
        <v>0</v>
      </c>
      <c r="BB32" s="143" t="e">
        <f t="shared" si="12"/>
        <v>#N/A</v>
      </c>
    </row>
    <row r="33" spans="3:54" s="129" customFormat="1" collapsed="1">
      <c r="C33" s="129" t="s">
        <v>100</v>
      </c>
      <c r="D33" s="142" t="e">
        <f t="shared" ref="D33:AN33" si="17">SUM(D34:D37)</f>
        <v>#N/A</v>
      </c>
      <c r="E33" s="142" t="e">
        <f t="shared" si="17"/>
        <v>#N/A</v>
      </c>
      <c r="F33" s="142" t="e">
        <f t="shared" si="17"/>
        <v>#N/A</v>
      </c>
      <c r="G33" s="142" t="e">
        <f t="shared" si="17"/>
        <v>#N/A</v>
      </c>
      <c r="H33" s="142" t="e">
        <f t="shared" si="17"/>
        <v>#N/A</v>
      </c>
      <c r="I33" s="142" t="e">
        <f t="shared" si="17"/>
        <v>#N/A</v>
      </c>
      <c r="J33" s="142" t="e">
        <f t="shared" si="17"/>
        <v>#N/A</v>
      </c>
      <c r="K33" s="142" t="e">
        <f t="shared" si="17"/>
        <v>#N/A</v>
      </c>
      <c r="L33" s="142" t="e">
        <f t="shared" si="17"/>
        <v>#N/A</v>
      </c>
      <c r="M33" s="142" t="e">
        <f t="shared" si="17"/>
        <v>#N/A</v>
      </c>
      <c r="N33" s="142" t="e">
        <f t="shared" si="17"/>
        <v>#N/A</v>
      </c>
      <c r="O33" s="142" t="e">
        <f t="shared" si="17"/>
        <v>#N/A</v>
      </c>
      <c r="P33" s="142" t="e">
        <f t="shared" si="17"/>
        <v>#N/A</v>
      </c>
      <c r="Q33" s="142" t="e">
        <f t="shared" si="17"/>
        <v>#N/A</v>
      </c>
      <c r="R33" s="142" t="e">
        <f t="shared" si="17"/>
        <v>#N/A</v>
      </c>
      <c r="S33" s="142" t="e">
        <f t="shared" si="17"/>
        <v>#N/A</v>
      </c>
      <c r="T33" s="142" t="e">
        <f t="shared" si="17"/>
        <v>#N/A</v>
      </c>
      <c r="U33" s="142" t="e">
        <f t="shared" si="17"/>
        <v>#N/A</v>
      </c>
      <c r="V33" s="142" t="e">
        <f t="shared" si="17"/>
        <v>#N/A</v>
      </c>
      <c r="W33" s="142" t="e">
        <f t="shared" si="17"/>
        <v>#N/A</v>
      </c>
      <c r="X33" s="142" t="e">
        <f t="shared" si="17"/>
        <v>#N/A</v>
      </c>
      <c r="Y33" s="142" t="e">
        <f t="shared" si="17"/>
        <v>#N/A</v>
      </c>
      <c r="Z33" s="142" t="e">
        <f t="shared" si="17"/>
        <v>#N/A</v>
      </c>
      <c r="AA33" s="142" t="e">
        <f t="shared" si="17"/>
        <v>#N/A</v>
      </c>
      <c r="AB33" s="142" t="e">
        <f t="shared" si="17"/>
        <v>#N/A</v>
      </c>
      <c r="AC33" s="142" t="e">
        <f t="shared" si="17"/>
        <v>#N/A</v>
      </c>
      <c r="AD33" s="142" t="e">
        <f t="shared" si="17"/>
        <v>#N/A</v>
      </c>
      <c r="AE33" s="142" t="e">
        <f t="shared" si="17"/>
        <v>#N/A</v>
      </c>
      <c r="AF33" s="142" t="e">
        <f t="shared" si="17"/>
        <v>#N/A</v>
      </c>
      <c r="AG33" s="142" t="e">
        <f t="shared" si="17"/>
        <v>#N/A</v>
      </c>
      <c r="AH33" s="142" t="e">
        <f t="shared" si="17"/>
        <v>#N/A</v>
      </c>
      <c r="AI33" s="142" t="e">
        <f t="shared" si="17"/>
        <v>#N/A</v>
      </c>
      <c r="AJ33" s="142" t="e">
        <f t="shared" si="17"/>
        <v>#N/A</v>
      </c>
      <c r="AK33" s="142" t="e">
        <f t="shared" si="17"/>
        <v>#N/A</v>
      </c>
      <c r="AL33" s="142" t="e">
        <f t="shared" si="17"/>
        <v>#N/A</v>
      </c>
      <c r="AM33" s="142" t="e">
        <f t="shared" si="17"/>
        <v>#N/A</v>
      </c>
      <c r="AN33" s="147" t="e">
        <f t="shared" si="17"/>
        <v>#N/A</v>
      </c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</row>
    <row r="34" spans="3:54" hidden="1" outlineLevel="1">
      <c r="C34" s="130" t="s">
        <v>63</v>
      </c>
      <c r="D34" s="141"/>
      <c r="E34" s="141"/>
      <c r="F34" s="141" t="e">
        <f>-SUMIFS(Kosten!$F$4:$F$26,Kosten!$B$4:$B$26,'Cash Flow'!$C$33)-SUMIFS(Kosten!$G$4:$G$26,Kosten!$B$4:$B$26,'Cash Flow'!$C$33)</f>
        <v>#N/A</v>
      </c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3" t="e">
        <f t="shared" si="0"/>
        <v>#N/A</v>
      </c>
      <c r="AQ34" s="143" t="e">
        <f>SUM(D34:F34)</f>
        <v>#N/A</v>
      </c>
      <c r="AR34" s="143" t="e">
        <f>SUM(E34:I34)</f>
        <v>#N/A</v>
      </c>
      <c r="AS34" s="143">
        <f t="shared" si="3"/>
        <v>0</v>
      </c>
      <c r="AT34" s="143">
        <f t="shared" si="4"/>
        <v>0</v>
      </c>
      <c r="AU34" s="143">
        <f t="shared" si="5"/>
        <v>0</v>
      </c>
      <c r="AV34" s="143">
        <f t="shared" si="6"/>
        <v>0</v>
      </c>
      <c r="AW34" s="143">
        <f t="shared" si="7"/>
        <v>0</v>
      </c>
      <c r="AX34" s="143">
        <f t="shared" si="8"/>
        <v>0</v>
      </c>
      <c r="AY34" s="143">
        <f t="shared" si="9"/>
        <v>0</v>
      </c>
      <c r="AZ34" s="143">
        <f t="shared" si="10"/>
        <v>0</v>
      </c>
      <c r="BA34" s="143">
        <f t="shared" si="11"/>
        <v>0</v>
      </c>
      <c r="BB34" s="143">
        <f t="shared" si="12"/>
        <v>0</v>
      </c>
    </row>
    <row r="35" spans="3:54" hidden="1" outlineLevel="1">
      <c r="C35" s="130" t="s">
        <v>159</v>
      </c>
      <c r="D35" s="141"/>
      <c r="E35" s="141" t="e">
        <f>-SUMIFS(Kosten!$H$4:$H$26,Kosten!$B$4:$B$26,'Cash Flow'!$C$33)</f>
        <v>#N/A</v>
      </c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3" t="e">
        <f t="shared" si="0"/>
        <v>#N/A</v>
      </c>
      <c r="AQ35" s="143" t="e">
        <f>SUM(D35:F35)</f>
        <v>#N/A</v>
      </c>
      <c r="AR35" s="143" t="e">
        <f>SUM(E35:I35)</f>
        <v>#N/A</v>
      </c>
      <c r="AS35" s="143">
        <f t="shared" si="3"/>
        <v>0</v>
      </c>
      <c r="AT35" s="143">
        <f t="shared" si="4"/>
        <v>0</v>
      </c>
      <c r="AU35" s="143">
        <f t="shared" si="5"/>
        <v>0</v>
      </c>
      <c r="AV35" s="143">
        <f t="shared" si="6"/>
        <v>0</v>
      </c>
      <c r="AW35" s="143">
        <f t="shared" si="7"/>
        <v>0</v>
      </c>
      <c r="AX35" s="143">
        <f t="shared" si="8"/>
        <v>0</v>
      </c>
      <c r="AY35" s="143">
        <f t="shared" si="9"/>
        <v>0</v>
      </c>
      <c r="AZ35" s="143">
        <f t="shared" si="10"/>
        <v>0</v>
      </c>
      <c r="BA35" s="143">
        <f t="shared" si="11"/>
        <v>0</v>
      </c>
      <c r="BB35" s="143">
        <f t="shared" si="12"/>
        <v>0</v>
      </c>
    </row>
    <row r="36" spans="3:54" hidden="1" outlineLevel="1">
      <c r="C36" s="130" t="s">
        <v>82</v>
      </c>
      <c r="D36" s="141"/>
      <c r="E36" s="141"/>
      <c r="F36" s="141"/>
      <c r="G36" s="141"/>
      <c r="H36" s="141"/>
      <c r="I36" s="141"/>
      <c r="J36" s="141"/>
      <c r="K36" s="141"/>
      <c r="L36" s="141"/>
      <c r="N36" s="141"/>
      <c r="O36" s="141" t="e">
        <f>-SUMIFS(Kosten!$I$4:$I$26,Kosten!$B$4:$B$26,'Cash Flow'!$C$33)</f>
        <v>#N/A</v>
      </c>
      <c r="P36" s="141"/>
      <c r="Q36" s="141"/>
      <c r="R36" s="141"/>
      <c r="S36" s="141"/>
      <c r="T36" s="141"/>
      <c r="U36" s="141"/>
      <c r="V36" s="141"/>
      <c r="W36" s="141"/>
      <c r="X36" s="141"/>
      <c r="Z36" s="141"/>
      <c r="AA36" s="141" t="e">
        <f>-SUMIFS(Kosten!$I$4:$I$26,Kosten!$B$4:$B$26,'Cash Flow'!$C$33)</f>
        <v>#N/A</v>
      </c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3" t="e">
        <f t="shared" si="0"/>
        <v>#N/A</v>
      </c>
      <c r="AQ36" s="143">
        <f t="shared" si="1"/>
        <v>0</v>
      </c>
      <c r="AR36" s="143">
        <f t="shared" si="2"/>
        <v>0</v>
      </c>
      <c r="AS36" s="143">
        <f t="shared" si="3"/>
        <v>0</v>
      </c>
      <c r="AT36" s="143" t="e">
        <f>SUM(N36:O36)</f>
        <v>#N/A</v>
      </c>
      <c r="AU36" s="143">
        <f t="shared" si="5"/>
        <v>0</v>
      </c>
      <c r="AV36" s="143">
        <f t="shared" si="6"/>
        <v>0</v>
      </c>
      <c r="AW36" s="143">
        <f t="shared" si="7"/>
        <v>0</v>
      </c>
      <c r="AX36" s="143" t="e">
        <f>SUM(Z36:AA36)</f>
        <v>#N/A</v>
      </c>
      <c r="AY36" s="143">
        <f t="shared" si="9"/>
        <v>0</v>
      </c>
      <c r="AZ36" s="143">
        <f t="shared" si="10"/>
        <v>0</v>
      </c>
      <c r="BA36" s="143">
        <f t="shared" si="11"/>
        <v>0</v>
      </c>
      <c r="BB36" s="143">
        <f t="shared" si="12"/>
        <v>0</v>
      </c>
    </row>
    <row r="37" spans="3:54" hidden="1" outlineLevel="1">
      <c r="C37" s="130" t="s">
        <v>160</v>
      </c>
      <c r="D37" s="141" t="e">
        <f>(-SUMIFS(Kosten!$K$4:$K26,Kosten!$B$4:$B$26,'Cash Flow'!$C$33)-SUMIFS(Kosten!$L$4:$L26,Kosten!$B$4:$B$26,'Cash Flow'!$C$33))/12</f>
        <v>#N/A</v>
      </c>
      <c r="E37" s="141" t="e">
        <f>(-SUMIFS(Kosten!$K$4:$K26,Kosten!$B$4:$B$26,'Cash Flow'!$C$33)-SUMIFS(Kosten!$L$4:$L26,Kosten!$B$4:$B$26,'Cash Flow'!$C$33))/12</f>
        <v>#N/A</v>
      </c>
      <c r="F37" s="141" t="e">
        <f>(-SUMIFS(Kosten!$K$4:$K26,Kosten!$B$4:$B$26,'Cash Flow'!$C$33)-SUMIFS(Kosten!$L$4:$L26,Kosten!$B$4:$B$26,'Cash Flow'!$C$33))/12</f>
        <v>#N/A</v>
      </c>
      <c r="G37" s="141" t="e">
        <f>(-SUMIFS(Kosten!$K$4:$K26,Kosten!$B$4:$B$26,'Cash Flow'!$C$33)-SUMIFS(Kosten!$L$4:$L26,Kosten!$B$4:$B$26,'Cash Flow'!$C$33))/12</f>
        <v>#N/A</v>
      </c>
      <c r="H37" s="141" t="e">
        <f>(-SUMIFS(Kosten!$K$4:$K26,Kosten!$B$4:$B$26,'Cash Flow'!$C$33)-SUMIFS(Kosten!$L$4:$L26,Kosten!$B$4:$B$26,'Cash Flow'!$C$33))/12</f>
        <v>#N/A</v>
      </c>
      <c r="I37" s="141" t="e">
        <f>(-SUMIFS(Kosten!$K$4:$K26,Kosten!$B$4:$B$26,'Cash Flow'!$C$33)-SUMIFS(Kosten!$L$4:$L26,Kosten!$B$4:$B$26,'Cash Flow'!$C$33))/12</f>
        <v>#N/A</v>
      </c>
      <c r="J37" s="141" t="e">
        <f>(-SUMIFS(Kosten!$K$4:$K26,Kosten!$B$4:$B$26,'Cash Flow'!$C$33)-SUMIFS(Kosten!$L$4:$L26,Kosten!$B$4:$B$26,'Cash Flow'!$C$33))/12</f>
        <v>#N/A</v>
      </c>
      <c r="K37" s="141" t="e">
        <f>(-SUMIFS(Kosten!$K$4:$K26,Kosten!$B$4:$B$26,'Cash Flow'!$C$33)-SUMIFS(Kosten!$L$4:$L26,Kosten!$B$4:$B$26,'Cash Flow'!$C$33))/12</f>
        <v>#N/A</v>
      </c>
      <c r="L37" s="141" t="e">
        <f>(-SUMIFS(Kosten!$K$4:$K26,Kosten!$B$4:$B$26,'Cash Flow'!$C$33)-SUMIFS(Kosten!$L$4:$L26,Kosten!$B$4:$B$26,'Cash Flow'!$C$33))/12</f>
        <v>#N/A</v>
      </c>
      <c r="M37" s="141" t="e">
        <f>(-SUMIFS(Kosten!$K$4:$K26,Kosten!$B$4:$B$26,'Cash Flow'!$C$33)-SUMIFS(Kosten!$L$4:$L26,Kosten!$B$4:$B$26,'Cash Flow'!$C$33))/12</f>
        <v>#N/A</v>
      </c>
      <c r="N37" s="141" t="e">
        <f>(-SUMIFS(Kosten!$K$4:$K26,Kosten!$B$4:$B$26,'Cash Flow'!$C$33)-SUMIFS(Kosten!$L$4:$L26,Kosten!$B$4:$B$26,'Cash Flow'!$C$33))/12</f>
        <v>#N/A</v>
      </c>
      <c r="O37" s="141" t="e">
        <f>(-SUMIFS(Kosten!$K$4:$K26,Kosten!$B$4:$B$26,'Cash Flow'!$C$33)-SUMIFS(Kosten!$L$4:$L26,Kosten!$B$4:$B$26,'Cash Flow'!$C$33))/12</f>
        <v>#N/A</v>
      </c>
      <c r="P37" s="141" t="e">
        <f>(-SUMIFS(Kosten!$K$4:$K26,Kosten!$B$4:$B$26,'Cash Flow'!$C$33)-SUMIFS(Kosten!$L$4:$L26,Kosten!$B$4:$B$26,'Cash Flow'!$C$33))/12</f>
        <v>#N/A</v>
      </c>
      <c r="Q37" s="141" t="e">
        <f>(-SUMIFS(Kosten!$K$4:$K26,Kosten!$B$4:$B$26,'Cash Flow'!$C$33)-SUMIFS(Kosten!$L$4:$L26,Kosten!$B$4:$B$26,'Cash Flow'!$C$33))/12</f>
        <v>#N/A</v>
      </c>
      <c r="R37" s="141" t="e">
        <f>(-SUMIFS(Kosten!$K$4:$K26,Kosten!$B$4:$B$26,'Cash Flow'!$C$33)-SUMIFS(Kosten!$L$4:$L26,Kosten!$B$4:$B$26,'Cash Flow'!$C$33))/12</f>
        <v>#N/A</v>
      </c>
      <c r="S37" s="141" t="e">
        <f>(-SUMIFS(Kosten!$K$4:$K26,Kosten!$B$4:$B$26,'Cash Flow'!$C$33)-SUMIFS(Kosten!$L$4:$L26,Kosten!$B$4:$B$26,'Cash Flow'!$C$33))/12</f>
        <v>#N/A</v>
      </c>
      <c r="T37" s="141" t="e">
        <f>(-SUMIFS(Kosten!$K$4:$K26,Kosten!$B$4:$B$26,'Cash Flow'!$C$33)-SUMIFS(Kosten!$L$4:$L26,Kosten!$B$4:$B$26,'Cash Flow'!$C$33))/12</f>
        <v>#N/A</v>
      </c>
      <c r="U37" s="141" t="e">
        <f>(-SUMIFS(Kosten!$K$4:$K26,Kosten!$B$4:$B$26,'Cash Flow'!$C$33)-SUMIFS(Kosten!$L$4:$L26,Kosten!$B$4:$B$26,'Cash Flow'!$C$33))/12</f>
        <v>#N/A</v>
      </c>
      <c r="V37" s="141" t="e">
        <f>(-SUMIFS(Kosten!$K$4:$K26,Kosten!$B$4:$B$26,'Cash Flow'!$C$33)-SUMIFS(Kosten!$L$4:$L26,Kosten!$B$4:$B$26,'Cash Flow'!$C$33))/12</f>
        <v>#N/A</v>
      </c>
      <c r="W37" s="141" t="e">
        <f>(-SUMIFS(Kosten!$K$4:$K26,Kosten!$B$4:$B$26,'Cash Flow'!$C$33)-SUMIFS(Kosten!$L$4:$L26,Kosten!$B$4:$B$26,'Cash Flow'!$C$33))/12</f>
        <v>#N/A</v>
      </c>
      <c r="X37" s="141" t="e">
        <f>(-SUMIFS(Kosten!$K$4:$K26,Kosten!$B$4:$B$26,'Cash Flow'!$C$33)-SUMIFS(Kosten!$L$4:$L26,Kosten!$B$4:$B$26,'Cash Flow'!$C$33))/12</f>
        <v>#N/A</v>
      </c>
      <c r="Y37" s="141" t="e">
        <f>(-SUMIFS(Kosten!$K$4:$K26,Kosten!$B$4:$B$26,'Cash Flow'!$C$33)-SUMIFS(Kosten!$L$4:$L26,Kosten!$B$4:$B$26,'Cash Flow'!$C$33))/12</f>
        <v>#N/A</v>
      </c>
      <c r="Z37" s="141" t="e">
        <f>(-SUMIFS(Kosten!$K$4:$K26,Kosten!$B$4:$B$26,'Cash Flow'!$C$33)-SUMIFS(Kosten!$L$4:$L26,Kosten!$B$4:$B$26,'Cash Flow'!$C$33))/12</f>
        <v>#N/A</v>
      </c>
      <c r="AA37" s="141" t="e">
        <f>(-SUMIFS(Kosten!$K$4:$K26,Kosten!$B$4:$B$26,'Cash Flow'!$C$33)-SUMIFS(Kosten!$L$4:$L26,Kosten!$B$4:$B$26,'Cash Flow'!$C$33))/12</f>
        <v>#N/A</v>
      </c>
      <c r="AB37" s="141" t="e">
        <f>(-SUMIFS(Kosten!$K$4:$K26,Kosten!$B$4:$B$26,'Cash Flow'!$C$33)-SUMIFS(Kosten!$L$4:$L26,Kosten!$B$4:$B$26,'Cash Flow'!$C$33))/12</f>
        <v>#N/A</v>
      </c>
      <c r="AC37" s="141" t="e">
        <f>(-SUMIFS(Kosten!$K$4:$K26,Kosten!$B$4:$B$26,'Cash Flow'!$C$33)-SUMIFS(Kosten!$L$4:$L26,Kosten!$B$4:$B$26,'Cash Flow'!$C$33))/12</f>
        <v>#N/A</v>
      </c>
      <c r="AD37" s="141" t="e">
        <f>(-SUMIFS(Kosten!$K$4:$K26,Kosten!$B$4:$B$26,'Cash Flow'!$C$33)-SUMIFS(Kosten!$L$4:$L26,Kosten!$B$4:$B$26,'Cash Flow'!$C$33))/12</f>
        <v>#N/A</v>
      </c>
      <c r="AE37" s="141" t="e">
        <f>(-SUMIFS(Kosten!$K$4:$K26,Kosten!$B$4:$B$26,'Cash Flow'!$C$33)-SUMIFS(Kosten!$L$4:$L26,Kosten!$B$4:$B$26,'Cash Flow'!$C$33))/12</f>
        <v>#N/A</v>
      </c>
      <c r="AF37" s="141" t="e">
        <f>(-SUMIFS(Kosten!$K$4:$K26,Kosten!$B$4:$B$26,'Cash Flow'!$C$33)-SUMIFS(Kosten!$L$4:$L26,Kosten!$B$4:$B$26,'Cash Flow'!$C$33))/12</f>
        <v>#N/A</v>
      </c>
      <c r="AG37" s="141" t="e">
        <f>(-SUMIFS(Kosten!$K$4:$K26,Kosten!$B$4:$B$26,'Cash Flow'!$C$33)-SUMIFS(Kosten!$L$4:$L26,Kosten!$B$4:$B$26,'Cash Flow'!$C$33))/12</f>
        <v>#N/A</v>
      </c>
      <c r="AH37" s="141" t="e">
        <f>(-SUMIFS(Kosten!$K$4:$K26,Kosten!$B$4:$B$26,'Cash Flow'!$C$33)-SUMIFS(Kosten!$L$4:$L26,Kosten!$B$4:$B$26,'Cash Flow'!$C$33))/12</f>
        <v>#N/A</v>
      </c>
      <c r="AI37" s="141" t="e">
        <f>(-SUMIFS(Kosten!$K$4:$K26,Kosten!$B$4:$B$26,'Cash Flow'!$C$33)-SUMIFS(Kosten!$L$4:$L26,Kosten!$B$4:$B$26,'Cash Flow'!$C$33))/12</f>
        <v>#N/A</v>
      </c>
      <c r="AJ37" s="141" t="e">
        <f>(-SUMIFS(Kosten!$K$4:$K26,Kosten!$B$4:$B$26,'Cash Flow'!$C$33)-SUMIFS(Kosten!$L$4:$L26,Kosten!$B$4:$B$26,'Cash Flow'!$C$33))/12</f>
        <v>#N/A</v>
      </c>
      <c r="AK37" s="141" t="e">
        <f>(-SUMIFS(Kosten!$K$4:$K26,Kosten!$B$4:$B$26,'Cash Flow'!$C$33)-SUMIFS(Kosten!$L$4:$L26,Kosten!$B$4:$B$26,'Cash Flow'!$C$33))/12</f>
        <v>#N/A</v>
      </c>
      <c r="AL37" s="141" t="e">
        <f>(-SUMIFS(Kosten!$K$4:$K26,Kosten!$B$4:$B$26,'Cash Flow'!$C$33)-SUMIFS(Kosten!$L$4:$L26,Kosten!$B$4:$B$26,'Cash Flow'!$C$33))/12</f>
        <v>#N/A</v>
      </c>
      <c r="AM37" s="141" t="e">
        <f>(-SUMIFS(Kosten!$K$4:$K26,Kosten!$B$4:$B$26,'Cash Flow'!$C$33)-SUMIFS(Kosten!$L$4:$L26,Kosten!$B$4:$B$26,'Cash Flow'!$C$33))/12</f>
        <v>#N/A</v>
      </c>
      <c r="AN37" s="143" t="e">
        <f t="shared" si="0"/>
        <v>#N/A</v>
      </c>
      <c r="AQ37" s="143" t="e">
        <f t="shared" si="1"/>
        <v>#N/A</v>
      </c>
      <c r="AR37" s="143" t="e">
        <f t="shared" si="2"/>
        <v>#N/A</v>
      </c>
      <c r="AS37" s="143" t="e">
        <f t="shared" si="3"/>
        <v>#N/A</v>
      </c>
      <c r="AT37" s="143" t="e">
        <f t="shared" si="4"/>
        <v>#N/A</v>
      </c>
      <c r="AU37" s="143" t="e">
        <f t="shared" si="5"/>
        <v>#N/A</v>
      </c>
      <c r="AV37" s="143" t="e">
        <f t="shared" si="6"/>
        <v>#N/A</v>
      </c>
      <c r="AW37" s="143" t="e">
        <f t="shared" si="7"/>
        <v>#N/A</v>
      </c>
      <c r="AX37" s="143" t="e">
        <f t="shared" si="8"/>
        <v>#N/A</v>
      </c>
      <c r="AY37" s="143" t="e">
        <f t="shared" si="9"/>
        <v>#N/A</v>
      </c>
      <c r="AZ37" s="143" t="e">
        <f t="shared" si="10"/>
        <v>#N/A</v>
      </c>
      <c r="BA37" s="143" t="e">
        <f t="shared" si="11"/>
        <v>#N/A</v>
      </c>
      <c r="BB37" s="143" t="e">
        <f t="shared" si="12"/>
        <v>#N/A</v>
      </c>
    </row>
    <row r="38" spans="3:54" s="129" customFormat="1" collapsed="1">
      <c r="C38" s="129" t="s">
        <v>102</v>
      </c>
      <c r="D38" s="142" t="e">
        <f>SUM(D39:D41)</f>
        <v>#N/A</v>
      </c>
      <c r="E38" s="142" t="e">
        <f t="shared" ref="E38:AM38" si="18">SUM(E39:E41)</f>
        <v>#N/A</v>
      </c>
      <c r="F38" s="142" t="e">
        <f t="shared" si="18"/>
        <v>#N/A</v>
      </c>
      <c r="G38" s="142" t="e">
        <f t="shared" si="18"/>
        <v>#N/A</v>
      </c>
      <c r="H38" s="142" t="e">
        <f t="shared" si="18"/>
        <v>#N/A</v>
      </c>
      <c r="I38" s="142" t="e">
        <f t="shared" si="18"/>
        <v>#N/A</v>
      </c>
      <c r="J38" s="142" t="e">
        <f t="shared" si="18"/>
        <v>#N/A</v>
      </c>
      <c r="K38" s="142" t="e">
        <f t="shared" si="18"/>
        <v>#N/A</v>
      </c>
      <c r="L38" s="142" t="e">
        <f t="shared" si="18"/>
        <v>#N/A</v>
      </c>
      <c r="M38" s="142" t="e">
        <f t="shared" si="18"/>
        <v>#N/A</v>
      </c>
      <c r="N38" s="142" t="e">
        <f t="shared" si="18"/>
        <v>#N/A</v>
      </c>
      <c r="O38" s="142" t="e">
        <f t="shared" si="18"/>
        <v>#N/A</v>
      </c>
      <c r="P38" s="142" t="e">
        <f t="shared" si="18"/>
        <v>#N/A</v>
      </c>
      <c r="Q38" s="142" t="e">
        <f t="shared" si="18"/>
        <v>#N/A</v>
      </c>
      <c r="R38" s="142" t="e">
        <f t="shared" si="18"/>
        <v>#N/A</v>
      </c>
      <c r="S38" s="142" t="e">
        <f t="shared" si="18"/>
        <v>#N/A</v>
      </c>
      <c r="T38" s="142" t="e">
        <f t="shared" si="18"/>
        <v>#N/A</v>
      </c>
      <c r="U38" s="142" t="e">
        <f t="shared" si="18"/>
        <v>#N/A</v>
      </c>
      <c r="V38" s="142" t="e">
        <f t="shared" si="18"/>
        <v>#N/A</v>
      </c>
      <c r="W38" s="142" t="e">
        <f t="shared" si="18"/>
        <v>#N/A</v>
      </c>
      <c r="X38" s="142" t="e">
        <f t="shared" si="18"/>
        <v>#N/A</v>
      </c>
      <c r="Y38" s="142" t="e">
        <f t="shared" si="18"/>
        <v>#N/A</v>
      </c>
      <c r="Z38" s="142" t="e">
        <f t="shared" si="18"/>
        <v>#N/A</v>
      </c>
      <c r="AA38" s="142" t="e">
        <f t="shared" si="18"/>
        <v>#N/A</v>
      </c>
      <c r="AB38" s="142" t="e">
        <f t="shared" si="18"/>
        <v>#N/A</v>
      </c>
      <c r="AC38" s="142" t="e">
        <f t="shared" si="18"/>
        <v>#N/A</v>
      </c>
      <c r="AD38" s="142" t="e">
        <f t="shared" si="18"/>
        <v>#N/A</v>
      </c>
      <c r="AE38" s="142" t="e">
        <f t="shared" si="18"/>
        <v>#N/A</v>
      </c>
      <c r="AF38" s="142" t="e">
        <f t="shared" si="18"/>
        <v>#N/A</v>
      </c>
      <c r="AG38" s="142" t="e">
        <f t="shared" si="18"/>
        <v>#N/A</v>
      </c>
      <c r="AH38" s="142" t="e">
        <f t="shared" si="18"/>
        <v>#N/A</v>
      </c>
      <c r="AI38" s="142" t="e">
        <f t="shared" si="18"/>
        <v>#N/A</v>
      </c>
      <c r="AJ38" s="142" t="e">
        <f t="shared" si="18"/>
        <v>#N/A</v>
      </c>
      <c r="AK38" s="142" t="e">
        <f t="shared" si="18"/>
        <v>#N/A</v>
      </c>
      <c r="AL38" s="142" t="e">
        <f t="shared" si="18"/>
        <v>#N/A</v>
      </c>
      <c r="AM38" s="142" t="e">
        <f t="shared" si="18"/>
        <v>#N/A</v>
      </c>
      <c r="AN38" s="147" t="e">
        <f>SUM(AN39:AN41)</f>
        <v>#N/A</v>
      </c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</row>
    <row r="39" spans="3:54" hidden="1" outlineLevel="1">
      <c r="C39" s="130" t="s">
        <v>103</v>
      </c>
      <c r="D39" s="146" t="e">
        <f>-SUM(Kosten!$F$17:$F$22)</f>
        <v>#N/A</v>
      </c>
      <c r="E39" s="146" t="e">
        <f>-SUM(Kosten!$F$17:$F$22)</f>
        <v>#N/A</v>
      </c>
      <c r="F39" s="146" t="e">
        <f>-SUM(Kosten!$F$17:$F$22)</f>
        <v>#N/A</v>
      </c>
      <c r="G39" s="146" t="e">
        <f>-SUM(Kosten!$F$17:$F$22)</f>
        <v>#N/A</v>
      </c>
      <c r="H39" s="146" t="e">
        <f>-SUM(Kosten!$F$17:$F$22)</f>
        <v>#N/A</v>
      </c>
      <c r="I39" s="146" t="e">
        <f>-SUM(Kosten!$F$17:$F$22)</f>
        <v>#N/A</v>
      </c>
      <c r="J39" s="146" t="e">
        <f>-SUM(Kosten!$F$17:$F$22)</f>
        <v>#N/A</v>
      </c>
      <c r="K39" s="146" t="e">
        <f>-SUM(Kosten!$F$17:$F$22)</f>
        <v>#N/A</v>
      </c>
      <c r="L39" s="146" t="e">
        <f>-SUM(Kosten!$F$17:$F$22)</f>
        <v>#N/A</v>
      </c>
      <c r="M39" s="146" t="e">
        <f>-SUM(Kosten!$F$17:$F$22)</f>
        <v>#N/A</v>
      </c>
      <c r="N39" s="146" t="e">
        <f>-SUM(Kosten!$F$17:$F$22)</f>
        <v>#N/A</v>
      </c>
      <c r="O39" s="146" t="e">
        <f>-SUM(Kosten!$F$17:$F$22)</f>
        <v>#N/A</v>
      </c>
      <c r="P39" s="146" t="e">
        <f>-SUM(Kosten!$F$17:$F$22)</f>
        <v>#N/A</v>
      </c>
      <c r="Q39" s="146" t="e">
        <f>-SUM(Kosten!$F$17:$F$22)</f>
        <v>#N/A</v>
      </c>
      <c r="R39" s="146" t="e">
        <f>-SUM(Kosten!$F$17:$F$22)</f>
        <v>#N/A</v>
      </c>
      <c r="S39" s="146" t="e">
        <f>-SUM(Kosten!$F$17:$F$22)</f>
        <v>#N/A</v>
      </c>
      <c r="T39" s="146" t="e">
        <f>-SUM(Kosten!$F$17:$F$22)</f>
        <v>#N/A</v>
      </c>
      <c r="U39" s="146" t="e">
        <f>-SUM(Kosten!$F$17:$F$22)</f>
        <v>#N/A</v>
      </c>
      <c r="V39" s="146" t="e">
        <f>-SUM(Kosten!$F$17:$F$22)</f>
        <v>#N/A</v>
      </c>
      <c r="W39" s="146" t="e">
        <f>-SUM(Kosten!$F$17:$F$22)</f>
        <v>#N/A</v>
      </c>
      <c r="X39" s="146" t="e">
        <f>-SUM(Kosten!$F$17:$F$22)</f>
        <v>#N/A</v>
      </c>
      <c r="Y39" s="146" t="e">
        <f>-SUM(Kosten!$F$17:$F$22)</f>
        <v>#N/A</v>
      </c>
      <c r="Z39" s="146" t="e">
        <f>-SUM(Kosten!$F$17:$F$22)</f>
        <v>#N/A</v>
      </c>
      <c r="AA39" s="146" t="e">
        <f>-SUM(Kosten!$F$17:$F$22)</f>
        <v>#N/A</v>
      </c>
      <c r="AB39" s="146" t="e">
        <f>-SUM(Kosten!$F$17:$F$22)</f>
        <v>#N/A</v>
      </c>
      <c r="AC39" s="146" t="e">
        <f>-SUM(Kosten!$F$17:$F$22)</f>
        <v>#N/A</v>
      </c>
      <c r="AD39" s="146" t="e">
        <f>-SUM(Kosten!$F$17:$F$22)</f>
        <v>#N/A</v>
      </c>
      <c r="AE39" s="146" t="e">
        <f>-SUM(Kosten!$F$17:$F$22)</f>
        <v>#N/A</v>
      </c>
      <c r="AF39" s="146" t="e">
        <f>-SUM(Kosten!$F$17:$F$22)</f>
        <v>#N/A</v>
      </c>
      <c r="AG39" s="146" t="e">
        <f>-SUM(Kosten!$F$17:$F$22)</f>
        <v>#N/A</v>
      </c>
      <c r="AH39" s="146" t="e">
        <f>-SUM(Kosten!$F$17:$F$22)</f>
        <v>#N/A</v>
      </c>
      <c r="AI39" s="146" t="e">
        <f>-SUM(Kosten!$F$17:$F$22)</f>
        <v>#N/A</v>
      </c>
      <c r="AJ39" s="146" t="e">
        <f>-SUM(Kosten!$F$17:$F$22)</f>
        <v>#N/A</v>
      </c>
      <c r="AK39" s="146" t="e">
        <f>-SUM(Kosten!$F$17:$F$22)</f>
        <v>#N/A</v>
      </c>
      <c r="AL39" s="146" t="e">
        <f>-SUM(Kosten!$F$17:$F$22)</f>
        <v>#N/A</v>
      </c>
      <c r="AM39" s="146" t="e">
        <f>-SUM(Kosten!$F$17:$F$22)</f>
        <v>#N/A</v>
      </c>
      <c r="AN39" s="143" t="e">
        <f t="shared" si="0"/>
        <v>#N/A</v>
      </c>
      <c r="AQ39" s="143" t="e">
        <f t="shared" si="1"/>
        <v>#N/A</v>
      </c>
      <c r="AR39" s="143" t="e">
        <f t="shared" si="2"/>
        <v>#N/A</v>
      </c>
      <c r="AS39" s="143" t="e">
        <f t="shared" si="3"/>
        <v>#N/A</v>
      </c>
      <c r="AT39" s="143" t="e">
        <f t="shared" si="4"/>
        <v>#N/A</v>
      </c>
      <c r="AU39" s="143" t="e">
        <f t="shared" si="5"/>
        <v>#N/A</v>
      </c>
      <c r="AV39" s="143" t="e">
        <f t="shared" si="6"/>
        <v>#N/A</v>
      </c>
      <c r="AW39" s="143" t="e">
        <f t="shared" si="7"/>
        <v>#N/A</v>
      </c>
      <c r="AX39" s="143" t="e">
        <f t="shared" si="8"/>
        <v>#N/A</v>
      </c>
      <c r="AY39" s="143" t="e">
        <f t="shared" si="9"/>
        <v>#N/A</v>
      </c>
      <c r="AZ39" s="143" t="e">
        <f t="shared" si="10"/>
        <v>#N/A</v>
      </c>
      <c r="BA39" s="143" t="e">
        <f t="shared" si="11"/>
        <v>#N/A</v>
      </c>
      <c r="BB39" s="143" t="e">
        <f t="shared" si="12"/>
        <v>#N/A</v>
      </c>
    </row>
    <row r="40" spans="3:54" hidden="1" outlineLevel="1">
      <c r="C40" s="130" t="s">
        <v>65</v>
      </c>
      <c r="D40" s="146" t="e">
        <f>-SUM(Kosten!$G$17:$G$22)</f>
        <v>#N/A</v>
      </c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 t="e">
        <f t="shared" si="0"/>
        <v>#N/A</v>
      </c>
      <c r="AQ40" s="143" t="e">
        <f t="shared" si="1"/>
        <v>#N/A</v>
      </c>
      <c r="AR40" s="143">
        <f t="shared" si="2"/>
        <v>0</v>
      </c>
      <c r="AS40" s="143">
        <f t="shared" si="3"/>
        <v>0</v>
      </c>
      <c r="AT40" s="143">
        <f t="shared" si="4"/>
        <v>0</v>
      </c>
      <c r="AU40" s="143">
        <f t="shared" si="5"/>
        <v>0</v>
      </c>
      <c r="AV40" s="143">
        <f t="shared" si="6"/>
        <v>0</v>
      </c>
      <c r="AW40" s="143">
        <f t="shared" si="7"/>
        <v>0</v>
      </c>
      <c r="AX40" s="143">
        <f t="shared" si="8"/>
        <v>0</v>
      </c>
      <c r="AY40" s="143">
        <f t="shared" si="9"/>
        <v>0</v>
      </c>
      <c r="AZ40" s="143">
        <f t="shared" si="10"/>
        <v>0</v>
      </c>
      <c r="BA40" s="143">
        <f t="shared" si="11"/>
        <v>0</v>
      </c>
      <c r="BB40" s="143">
        <f t="shared" si="12"/>
        <v>0</v>
      </c>
    </row>
    <row r="41" spans="3:54" hidden="1" outlineLevel="1">
      <c r="C41" s="130" t="s">
        <v>81</v>
      </c>
      <c r="D41" s="146" t="e">
        <f>-SUM(Kosten!$H$17:$H$22)</f>
        <v>#N/A</v>
      </c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 t="e">
        <f t="shared" si="0"/>
        <v>#N/A</v>
      </c>
      <c r="AQ41" s="143" t="e">
        <f t="shared" si="1"/>
        <v>#N/A</v>
      </c>
      <c r="AR41" s="143">
        <f t="shared" si="2"/>
        <v>0</v>
      </c>
      <c r="AS41" s="143">
        <f t="shared" si="3"/>
        <v>0</v>
      </c>
      <c r="AT41" s="143">
        <f t="shared" si="4"/>
        <v>0</v>
      </c>
      <c r="AU41" s="143">
        <f t="shared" si="5"/>
        <v>0</v>
      </c>
      <c r="AV41" s="143">
        <f t="shared" si="6"/>
        <v>0</v>
      </c>
      <c r="AW41" s="143">
        <f t="shared" si="7"/>
        <v>0</v>
      </c>
      <c r="AX41" s="143">
        <f t="shared" si="8"/>
        <v>0</v>
      </c>
      <c r="AY41" s="143">
        <f t="shared" si="9"/>
        <v>0</v>
      </c>
      <c r="AZ41" s="143">
        <f t="shared" si="10"/>
        <v>0</v>
      </c>
      <c r="BA41" s="143">
        <f t="shared" si="11"/>
        <v>0</v>
      </c>
      <c r="BB41" s="143">
        <f t="shared" si="12"/>
        <v>0</v>
      </c>
    </row>
    <row r="42" spans="3:54" s="129" customFormat="1" collapsed="1">
      <c r="C42" s="129" t="s">
        <v>46</v>
      </c>
      <c r="D42" s="142">
        <f>-'Preise Output'!$G$29</f>
        <v>0</v>
      </c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>
        <f t="shared" si="0"/>
        <v>0</v>
      </c>
      <c r="AQ42" s="147">
        <f t="shared" si="1"/>
        <v>0</v>
      </c>
      <c r="AR42" s="147">
        <f t="shared" si="2"/>
        <v>0</v>
      </c>
      <c r="AS42" s="147">
        <f t="shared" si="3"/>
        <v>0</v>
      </c>
      <c r="AT42" s="147">
        <f t="shared" si="4"/>
        <v>0</v>
      </c>
      <c r="AU42" s="147">
        <f t="shared" si="5"/>
        <v>0</v>
      </c>
      <c r="AV42" s="147">
        <f t="shared" si="6"/>
        <v>0</v>
      </c>
      <c r="AW42" s="147">
        <f t="shared" si="7"/>
        <v>0</v>
      </c>
      <c r="AX42" s="147">
        <f t="shared" si="8"/>
        <v>0</v>
      </c>
      <c r="AY42" s="147">
        <f t="shared" si="9"/>
        <v>0</v>
      </c>
      <c r="AZ42" s="147">
        <f t="shared" si="10"/>
        <v>0</v>
      </c>
      <c r="BA42" s="147">
        <f t="shared" si="11"/>
        <v>0</v>
      </c>
      <c r="BB42" s="147">
        <f t="shared" si="12"/>
        <v>0</v>
      </c>
    </row>
    <row r="43" spans="3:54" s="129" customFormat="1">
      <c r="C43" s="129" t="s">
        <v>20</v>
      </c>
      <c r="D43" s="142">
        <f>IFERROR(-'Preise Output'!$L$29/12/'Preise Output'!$F$29-('Preise Output'!$L$41-'Preise Output'!$L$29)/12/3,0)</f>
        <v>-225.52521008403357</v>
      </c>
      <c r="E43" s="142">
        <f>IFERROR(-'Preise Output'!$L$29/12/'Preise Output'!$F$29-('Preise Output'!$L$41-'Preise Output'!$L$29)/12/3,0)</f>
        <v>-225.52521008403357</v>
      </c>
      <c r="F43" s="142">
        <f>IFERROR(-'Preise Output'!$L$29/12/'Preise Output'!$F$29-('Preise Output'!$L$41-'Preise Output'!$L$29)/12/3,0)</f>
        <v>-225.52521008403357</v>
      </c>
      <c r="G43" s="142">
        <f>IFERROR(-'Preise Output'!$L$29/12/'Preise Output'!$F$29-('Preise Output'!$L$41-'Preise Output'!$L$29)/12/3,0)</f>
        <v>-225.52521008403357</v>
      </c>
      <c r="H43" s="142">
        <f>IFERROR(-'Preise Output'!$L$29/12/'Preise Output'!$F$29-('Preise Output'!$L$41-'Preise Output'!$L$29)/12/3,0)</f>
        <v>-225.52521008403357</v>
      </c>
      <c r="I43" s="142">
        <f>IFERROR(-'Preise Output'!$L$29/12/'Preise Output'!$F$29-('Preise Output'!$L$41-'Preise Output'!$L$29)/12/3,0)</f>
        <v>-225.52521008403357</v>
      </c>
      <c r="J43" s="142">
        <f>IFERROR(-'Preise Output'!$L$29/12/'Preise Output'!$F$29-('Preise Output'!$L$41-'Preise Output'!$L$29)/12/3,0)</f>
        <v>-225.52521008403357</v>
      </c>
      <c r="K43" s="142">
        <f>IFERROR(-'Preise Output'!$L$29/12/'Preise Output'!$F$29-('Preise Output'!$L$41-'Preise Output'!$L$29)/12/3,0)</f>
        <v>-225.52521008403357</v>
      </c>
      <c r="L43" s="142">
        <f>IFERROR(-'Preise Output'!$L$29/12/'Preise Output'!$F$29-('Preise Output'!$L$41-'Preise Output'!$L$29)/12/3,0)</f>
        <v>-225.52521008403357</v>
      </c>
      <c r="M43" s="142">
        <f>IFERROR(-'Preise Output'!$L$29/12/'Preise Output'!$F$29-('Preise Output'!$L$41-'Preise Output'!$L$29)/12/3,0)</f>
        <v>-225.52521008403357</v>
      </c>
      <c r="N43" s="142">
        <f>IFERROR(-'Preise Output'!$L$29/12/'Preise Output'!$F$29-('Preise Output'!$L$41-'Preise Output'!$L$29)/12/3,0)</f>
        <v>-225.52521008403357</v>
      </c>
      <c r="O43" s="142">
        <f>IFERROR(-'Preise Output'!$L$29/12/'Preise Output'!$F$29-('Preise Output'!$L$41-'Preise Output'!$L$29)/12/3,0)</f>
        <v>-225.52521008403357</v>
      </c>
      <c r="P43" s="142">
        <f>IFERROR(IF('Preise Output'!$F$29=1,-('Preise Output'!$L$41-'Preise Output'!$L$29)/12/3,-'Preise Output'!$L$29/12/'Preise Output'!$F$29-('Preise Output'!$L$41-'Preise Output'!$L$29)/12/3),0)</f>
        <v>-225.52521008403357</v>
      </c>
      <c r="Q43" s="142">
        <f>IFERROR(IF('Preise Output'!$F$29=1,-('Preise Output'!$L$41-'Preise Output'!$L$29)/12/3,-'Preise Output'!$L$29/12/'Preise Output'!$F$29-('Preise Output'!$L$41-'Preise Output'!$L$29)/12/3),0)</f>
        <v>-225.52521008403357</v>
      </c>
      <c r="R43" s="142">
        <f>IFERROR(IF('Preise Output'!$F$29=1,-('Preise Output'!$L$41-'Preise Output'!$L$29)/12/3,-'Preise Output'!$L$29/12/'Preise Output'!$F$29-('Preise Output'!$L$41-'Preise Output'!$L$29)/12/3),0)</f>
        <v>-225.52521008403357</v>
      </c>
      <c r="S43" s="142">
        <f>IFERROR(IF('Preise Output'!$F$29=1,-('Preise Output'!$L$41-'Preise Output'!$L$29)/12/3,-'Preise Output'!$L$29/12/'Preise Output'!$F$29-('Preise Output'!$L$41-'Preise Output'!$L$29)/12/3),0)</f>
        <v>-225.52521008403357</v>
      </c>
      <c r="T43" s="142">
        <f>IFERROR(IF('Preise Output'!$F$29=1,-('Preise Output'!$L$41-'Preise Output'!$L$29)/12/3,-'Preise Output'!$L$29/12/'Preise Output'!$F$29-('Preise Output'!$L$41-'Preise Output'!$L$29)/12/3),0)</f>
        <v>-225.52521008403357</v>
      </c>
      <c r="U43" s="142">
        <f>IFERROR(IF('Preise Output'!$F$29=1,-('Preise Output'!$L$41-'Preise Output'!$L$29)/12/3,-'Preise Output'!$L$29/12/'Preise Output'!$F$29-('Preise Output'!$L$41-'Preise Output'!$L$29)/12/3),0)</f>
        <v>-225.52521008403357</v>
      </c>
      <c r="V43" s="142">
        <f>IFERROR(IF('Preise Output'!$F$29=1,-('Preise Output'!$L$41-'Preise Output'!$L$29)/12/3,-'Preise Output'!$L$29/12/'Preise Output'!$F$29-('Preise Output'!$L$41-'Preise Output'!$L$29)/12/3),0)</f>
        <v>-225.52521008403357</v>
      </c>
      <c r="W43" s="142">
        <f>IFERROR(IF('Preise Output'!$F$29=1,-('Preise Output'!$L$41-'Preise Output'!$L$29)/12/3,-'Preise Output'!$L$29/12/'Preise Output'!$F$29-('Preise Output'!$L$41-'Preise Output'!$L$29)/12/3),0)</f>
        <v>-225.52521008403357</v>
      </c>
      <c r="X43" s="142">
        <f>IFERROR(IF('Preise Output'!$F$29=1,-('Preise Output'!$L$41-'Preise Output'!$L$29)/12/3,-'Preise Output'!$L$29/12/'Preise Output'!$F$29-('Preise Output'!$L$41-'Preise Output'!$L$29)/12/3),0)</f>
        <v>-225.52521008403357</v>
      </c>
      <c r="Y43" s="142">
        <f>IFERROR(IF('Preise Output'!$F$29=1,-('Preise Output'!$L$41-'Preise Output'!$L$29)/12/3,-'Preise Output'!$L$29/12/'Preise Output'!$F$29-('Preise Output'!$L$41-'Preise Output'!$L$29)/12/3),0)</f>
        <v>-225.52521008403357</v>
      </c>
      <c r="Z43" s="142">
        <f>IFERROR(IF('Preise Output'!$F$29=1,-('Preise Output'!$L$41-'Preise Output'!$L$29)/12/3,-'Preise Output'!$L$29/12/'Preise Output'!$F$29-('Preise Output'!$L$41-'Preise Output'!$L$29)/12/3),0)</f>
        <v>-225.52521008403357</v>
      </c>
      <c r="AA43" s="142">
        <f>IFERROR(IF('Preise Output'!$F$29=1,-('Preise Output'!$L$41-'Preise Output'!$L$29)/12/3,-'Preise Output'!$L$29/12/'Preise Output'!$F$29-('Preise Output'!$L$41-'Preise Output'!$L$29)/12/3),0)</f>
        <v>-225.52521008403357</v>
      </c>
      <c r="AB43" s="142">
        <f>IFERROR(IF('Preise Output'!$F$29=1,-('Preise Output'!$L$41-'Preise Output'!$L$29)/12/3,-'Preise Output'!$L$29/12/'Preise Output'!$F$29-('Preise Output'!$L$41-'Preise Output'!$L$29)/12/3),0)</f>
        <v>-225.52521008403357</v>
      </c>
      <c r="AC43" s="142">
        <f>IFERROR(IF('Preise Output'!$F$29=1,-('Preise Output'!$L$41-'Preise Output'!$L$29)/12/3,-'Preise Output'!$L$29/12/'Preise Output'!$F$29-('Preise Output'!$L$41-'Preise Output'!$L$29)/12/3),0)</f>
        <v>-225.52521008403357</v>
      </c>
      <c r="AD43" s="142">
        <f>IFERROR(IF('Preise Output'!$F$29=1,-('Preise Output'!$L$41-'Preise Output'!$L$29)/12/3,-'Preise Output'!$L$29/12/'Preise Output'!$F$29-('Preise Output'!$L$41-'Preise Output'!$L$29)/12/3),0)</f>
        <v>-225.52521008403357</v>
      </c>
      <c r="AE43" s="142">
        <f>IFERROR(IF('Preise Output'!$F$29=1,-('Preise Output'!$L$41-'Preise Output'!$L$29)/12/3,-'Preise Output'!$L$29/12/'Preise Output'!$F$29-('Preise Output'!$L$41-'Preise Output'!$L$29)/12/3),0)</f>
        <v>-225.52521008403357</v>
      </c>
      <c r="AF43" s="142">
        <f>IFERROR(IF('Preise Output'!$F$29=1,-('Preise Output'!$L$41-'Preise Output'!$L$29)/12/3,-'Preise Output'!$L$29/12/'Preise Output'!$F$29-('Preise Output'!$L$41-'Preise Output'!$L$29)/12/3),0)</f>
        <v>-225.52521008403357</v>
      </c>
      <c r="AG43" s="142">
        <f>IFERROR(IF('Preise Output'!$F$29=1,-('Preise Output'!$L$41-'Preise Output'!$L$29)/12/3,-'Preise Output'!$L$29/12/'Preise Output'!$F$29-('Preise Output'!$L$41-'Preise Output'!$L$29)/12/3),0)</f>
        <v>-225.52521008403357</v>
      </c>
      <c r="AH43" s="142">
        <f>IFERROR(IF('Preise Output'!$F$29=1,-('Preise Output'!$L$41-'Preise Output'!$L$29)/12/3,-'Preise Output'!$L$29/12/'Preise Output'!$F$29-('Preise Output'!$L$41-'Preise Output'!$L$29)/12/3),0)</f>
        <v>-225.52521008403357</v>
      </c>
      <c r="AI43" s="142">
        <f>IFERROR(IF('Preise Output'!$F$29=1,-('Preise Output'!$L$41-'Preise Output'!$L$29)/12/3,-'Preise Output'!$L$29/12/'Preise Output'!$F$29-('Preise Output'!$L$41-'Preise Output'!$L$29)/12/3),0)</f>
        <v>-225.52521008403357</v>
      </c>
      <c r="AJ43" s="142">
        <f>IFERROR(IF('Preise Output'!$F$29=1,-('Preise Output'!$L$41-'Preise Output'!$L$29)/12/3,-'Preise Output'!$L$29/12/'Preise Output'!$F$29-('Preise Output'!$L$41-'Preise Output'!$L$29)/12/3),0)</f>
        <v>-225.52521008403357</v>
      </c>
      <c r="AK43" s="142">
        <f>IFERROR(IF('Preise Output'!$F$29=1,-('Preise Output'!$L$41-'Preise Output'!$L$29)/12/3,-'Preise Output'!$L$29/12/'Preise Output'!$F$29-('Preise Output'!$L$41-'Preise Output'!$L$29)/12/3),0)</f>
        <v>-225.52521008403357</v>
      </c>
      <c r="AL43" s="142">
        <f>IFERROR(IF('Preise Output'!$F$29=1,-('Preise Output'!$L$41-'Preise Output'!$L$29)/12/3,-'Preise Output'!$L$29/12/'Preise Output'!$F$29-('Preise Output'!$L$41-'Preise Output'!$L$29)/12/3),0)</f>
        <v>-225.52521008403357</v>
      </c>
      <c r="AM43" s="142">
        <f>IFERROR(IF('Preise Output'!$F$29=1,-('Preise Output'!$L$41-'Preise Output'!$L$29)/12/3,-'Preise Output'!$L$29/12/'Preise Output'!$F$29-('Preise Output'!$L$41-'Preise Output'!$L$29)/12/3),0)</f>
        <v>-225.52521008403357</v>
      </c>
      <c r="AN43" s="147">
        <f t="shared" si="0"/>
        <v>-8118.9075630252055</v>
      </c>
      <c r="AQ43" s="147">
        <f t="shared" si="1"/>
        <v>-676.57563025210072</v>
      </c>
      <c r="AR43" s="147">
        <f t="shared" si="2"/>
        <v>-676.57563025210072</v>
      </c>
      <c r="AS43" s="147">
        <f t="shared" si="3"/>
        <v>-676.57563025210072</v>
      </c>
      <c r="AT43" s="147">
        <f t="shared" si="4"/>
        <v>-676.57563025210072</v>
      </c>
      <c r="AU43" s="147">
        <f t="shared" si="5"/>
        <v>-676.57563025210072</v>
      </c>
      <c r="AV43" s="147">
        <f t="shared" si="6"/>
        <v>-676.57563025210072</v>
      </c>
      <c r="AW43" s="147">
        <f t="shared" si="7"/>
        <v>-676.57563025210072</v>
      </c>
      <c r="AX43" s="147">
        <f t="shared" si="8"/>
        <v>-676.57563025210072</v>
      </c>
      <c r="AY43" s="147">
        <f t="shared" si="9"/>
        <v>-676.57563025210072</v>
      </c>
      <c r="AZ43" s="147">
        <f t="shared" si="10"/>
        <v>-676.57563025210072</v>
      </c>
      <c r="BA43" s="147">
        <f t="shared" si="11"/>
        <v>-676.57563025210072</v>
      </c>
      <c r="BB43" s="147">
        <f t="shared" si="12"/>
        <v>-676.57563025210072</v>
      </c>
    </row>
    <row r="44" spans="3:54">
      <c r="C44" s="129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Q44" s="143">
        <f t="shared" si="1"/>
        <v>0</v>
      </c>
      <c r="AR44" s="143">
        <f t="shared" si="2"/>
        <v>0</v>
      </c>
      <c r="AS44" s="143">
        <f t="shared" si="3"/>
        <v>0</v>
      </c>
      <c r="AT44" s="143">
        <f t="shared" si="4"/>
        <v>0</v>
      </c>
      <c r="AU44" s="143">
        <f t="shared" si="5"/>
        <v>0</v>
      </c>
      <c r="AV44" s="143">
        <f t="shared" si="6"/>
        <v>0</v>
      </c>
      <c r="AW44" s="143">
        <f t="shared" si="7"/>
        <v>0</v>
      </c>
      <c r="AX44" s="143">
        <f t="shared" si="8"/>
        <v>0</v>
      </c>
      <c r="AY44" s="143">
        <f t="shared" si="9"/>
        <v>0</v>
      </c>
      <c r="AZ44" s="143">
        <f t="shared" si="10"/>
        <v>0</v>
      </c>
      <c r="BA44" s="143">
        <f t="shared" si="11"/>
        <v>0</v>
      </c>
      <c r="BB44" s="143">
        <f t="shared" si="12"/>
        <v>0</v>
      </c>
    </row>
    <row r="45" spans="3:54" s="129" customFormat="1">
      <c r="C45" s="129" t="s">
        <v>161</v>
      </c>
      <c r="D45" s="142" t="e">
        <f t="shared" ref="D45:AM45" si="19">SUM(D6:D7)+D9+D18+D25+D33+D38+D42+D43</f>
        <v>#N/A</v>
      </c>
      <c r="E45" s="142" t="e">
        <f t="shared" si="19"/>
        <v>#N/A</v>
      </c>
      <c r="F45" s="142" t="e">
        <f t="shared" si="19"/>
        <v>#N/A</v>
      </c>
      <c r="G45" s="142" t="e">
        <f t="shared" si="19"/>
        <v>#N/A</v>
      </c>
      <c r="H45" s="142" t="e">
        <f t="shared" si="19"/>
        <v>#N/A</v>
      </c>
      <c r="I45" s="142" t="e">
        <f t="shared" si="19"/>
        <v>#N/A</v>
      </c>
      <c r="J45" s="142" t="e">
        <f t="shared" si="19"/>
        <v>#N/A</v>
      </c>
      <c r="K45" s="142" t="e">
        <f t="shared" si="19"/>
        <v>#N/A</v>
      </c>
      <c r="L45" s="142" t="e">
        <f t="shared" si="19"/>
        <v>#N/A</v>
      </c>
      <c r="M45" s="142" t="e">
        <f t="shared" si="19"/>
        <v>#N/A</v>
      </c>
      <c r="N45" s="142" t="e">
        <f t="shared" si="19"/>
        <v>#N/A</v>
      </c>
      <c r="O45" s="142" t="e">
        <f t="shared" si="19"/>
        <v>#N/A</v>
      </c>
      <c r="P45" s="142" t="e">
        <f t="shared" si="19"/>
        <v>#N/A</v>
      </c>
      <c r="Q45" s="142" t="e">
        <f t="shared" si="19"/>
        <v>#N/A</v>
      </c>
      <c r="R45" s="142" t="e">
        <f t="shared" si="19"/>
        <v>#N/A</v>
      </c>
      <c r="S45" s="142" t="e">
        <f t="shared" si="19"/>
        <v>#N/A</v>
      </c>
      <c r="T45" s="142" t="e">
        <f t="shared" si="19"/>
        <v>#N/A</v>
      </c>
      <c r="U45" s="142" t="e">
        <f t="shared" si="19"/>
        <v>#N/A</v>
      </c>
      <c r="V45" s="142" t="e">
        <f t="shared" si="19"/>
        <v>#N/A</v>
      </c>
      <c r="W45" s="142" t="e">
        <f t="shared" si="19"/>
        <v>#N/A</v>
      </c>
      <c r="X45" s="142" t="e">
        <f t="shared" si="19"/>
        <v>#N/A</v>
      </c>
      <c r="Y45" s="142" t="e">
        <f t="shared" si="19"/>
        <v>#N/A</v>
      </c>
      <c r="Z45" s="142" t="e">
        <f t="shared" si="19"/>
        <v>#N/A</v>
      </c>
      <c r="AA45" s="142" t="e">
        <f t="shared" si="19"/>
        <v>#N/A</v>
      </c>
      <c r="AB45" s="142" t="e">
        <f t="shared" si="19"/>
        <v>#N/A</v>
      </c>
      <c r="AC45" s="142" t="e">
        <f t="shared" si="19"/>
        <v>#N/A</v>
      </c>
      <c r="AD45" s="142" t="e">
        <f t="shared" si="19"/>
        <v>#N/A</v>
      </c>
      <c r="AE45" s="142" t="e">
        <f t="shared" si="19"/>
        <v>#N/A</v>
      </c>
      <c r="AF45" s="142" t="e">
        <f t="shared" si="19"/>
        <v>#N/A</v>
      </c>
      <c r="AG45" s="142" t="e">
        <f t="shared" si="19"/>
        <v>#N/A</v>
      </c>
      <c r="AH45" s="142" t="e">
        <f t="shared" si="19"/>
        <v>#N/A</v>
      </c>
      <c r="AI45" s="142" t="e">
        <f t="shared" si="19"/>
        <v>#N/A</v>
      </c>
      <c r="AJ45" s="142" t="e">
        <f t="shared" si="19"/>
        <v>#N/A</v>
      </c>
      <c r="AK45" s="142" t="e">
        <f t="shared" si="19"/>
        <v>#N/A</v>
      </c>
      <c r="AL45" s="142" t="e">
        <f t="shared" si="19"/>
        <v>#N/A</v>
      </c>
      <c r="AM45" s="142" t="e">
        <f t="shared" si="19"/>
        <v>#N/A</v>
      </c>
      <c r="AN45" s="143" t="e">
        <f>SUM(D45:AM45)</f>
        <v>#N/A</v>
      </c>
      <c r="AO45" s="147"/>
      <c r="AQ45" s="143" t="e">
        <f t="shared" si="1"/>
        <v>#N/A</v>
      </c>
      <c r="AR45" s="143" t="e">
        <f t="shared" si="2"/>
        <v>#N/A</v>
      </c>
      <c r="AS45" s="143" t="e">
        <f t="shared" si="3"/>
        <v>#N/A</v>
      </c>
      <c r="AT45" s="143" t="e">
        <f t="shared" si="4"/>
        <v>#N/A</v>
      </c>
      <c r="AU45" s="143" t="e">
        <f t="shared" si="5"/>
        <v>#N/A</v>
      </c>
      <c r="AV45" s="143" t="e">
        <f t="shared" si="6"/>
        <v>#N/A</v>
      </c>
      <c r="AW45" s="143" t="e">
        <f t="shared" si="7"/>
        <v>#N/A</v>
      </c>
      <c r="AX45" s="143" t="e">
        <f t="shared" si="8"/>
        <v>#N/A</v>
      </c>
      <c r="AY45" s="143" t="e">
        <f t="shared" si="9"/>
        <v>#N/A</v>
      </c>
      <c r="AZ45" s="143" t="e">
        <f t="shared" si="10"/>
        <v>#N/A</v>
      </c>
      <c r="BA45" s="143" t="e">
        <f t="shared" si="11"/>
        <v>#N/A</v>
      </c>
      <c r="BB45" s="143" t="e">
        <f t="shared" si="12"/>
        <v>#N/A</v>
      </c>
    </row>
    <row r="46" spans="3:54">
      <c r="C46" s="129" t="s">
        <v>162</v>
      </c>
      <c r="D46" s="145" t="e">
        <f>D45</f>
        <v>#N/A</v>
      </c>
      <c r="E46" s="145" t="e">
        <f>D46+E45</f>
        <v>#N/A</v>
      </c>
      <c r="F46" s="145" t="e">
        <f t="shared" ref="F46:G46" si="20">E46+F45</f>
        <v>#N/A</v>
      </c>
      <c r="G46" s="145" t="e">
        <f t="shared" si="20"/>
        <v>#N/A</v>
      </c>
      <c r="H46" s="145" t="e">
        <f t="shared" ref="H46" si="21">G46+H45</f>
        <v>#N/A</v>
      </c>
      <c r="I46" s="145" t="e">
        <f t="shared" ref="I46" si="22">H46+I45</f>
        <v>#N/A</v>
      </c>
      <c r="J46" s="145" t="e">
        <f t="shared" ref="J46" si="23">I46+J45</f>
        <v>#N/A</v>
      </c>
      <c r="K46" s="145" t="e">
        <f t="shared" ref="K46" si="24">J46+K45</f>
        <v>#N/A</v>
      </c>
      <c r="L46" s="145" t="e">
        <f t="shared" ref="L46" si="25">K46+L45</f>
        <v>#N/A</v>
      </c>
      <c r="M46" s="145" t="e">
        <f t="shared" ref="M46" si="26">L46+M45</f>
        <v>#N/A</v>
      </c>
      <c r="N46" s="145" t="e">
        <f t="shared" ref="N46" si="27">M46+N45</f>
        <v>#N/A</v>
      </c>
      <c r="O46" s="145" t="e">
        <f t="shared" ref="O46" si="28">N46+O45</f>
        <v>#N/A</v>
      </c>
      <c r="P46" s="145" t="e">
        <f t="shared" ref="P46" si="29">O46+P45</f>
        <v>#N/A</v>
      </c>
      <c r="Q46" s="145" t="e">
        <f t="shared" ref="Q46" si="30">P46+Q45</f>
        <v>#N/A</v>
      </c>
      <c r="R46" s="145" t="e">
        <f t="shared" ref="R46" si="31">Q46+R45</f>
        <v>#N/A</v>
      </c>
      <c r="S46" s="145" t="e">
        <f t="shared" ref="S46" si="32">R46+S45</f>
        <v>#N/A</v>
      </c>
      <c r="T46" s="145" t="e">
        <f t="shared" ref="T46" si="33">S46+T45</f>
        <v>#N/A</v>
      </c>
      <c r="U46" s="145" t="e">
        <f t="shared" ref="U46" si="34">T46+U45</f>
        <v>#N/A</v>
      </c>
      <c r="V46" s="145" t="e">
        <f t="shared" ref="V46" si="35">U46+V45</f>
        <v>#N/A</v>
      </c>
      <c r="W46" s="145" t="e">
        <f t="shared" ref="W46" si="36">V46+W45</f>
        <v>#N/A</v>
      </c>
      <c r="X46" s="145" t="e">
        <f t="shared" ref="X46" si="37">W46+X45</f>
        <v>#N/A</v>
      </c>
      <c r="Y46" s="145" t="e">
        <f t="shared" ref="Y46" si="38">X46+Y45</f>
        <v>#N/A</v>
      </c>
      <c r="Z46" s="145" t="e">
        <f t="shared" ref="Z46" si="39">Y46+Z45</f>
        <v>#N/A</v>
      </c>
      <c r="AA46" s="145" t="e">
        <f t="shared" ref="AA46" si="40">Z46+AA45</f>
        <v>#N/A</v>
      </c>
      <c r="AB46" s="145" t="e">
        <f t="shared" ref="AB46" si="41">AA46+AB45</f>
        <v>#N/A</v>
      </c>
      <c r="AC46" s="145" t="e">
        <f t="shared" ref="AC46" si="42">AB46+AC45</f>
        <v>#N/A</v>
      </c>
      <c r="AD46" s="145" t="e">
        <f t="shared" ref="AD46" si="43">AC46+AD45</f>
        <v>#N/A</v>
      </c>
      <c r="AE46" s="145" t="e">
        <f t="shared" ref="AE46" si="44">AD46+AE45</f>
        <v>#N/A</v>
      </c>
      <c r="AF46" s="145" t="e">
        <f t="shared" ref="AF46" si="45">AE46+AF45</f>
        <v>#N/A</v>
      </c>
      <c r="AG46" s="145" t="e">
        <f t="shared" ref="AG46" si="46">AF46+AG45</f>
        <v>#N/A</v>
      </c>
      <c r="AH46" s="145" t="e">
        <f t="shared" ref="AH46" si="47">AG46+AH45</f>
        <v>#N/A</v>
      </c>
      <c r="AI46" s="145" t="e">
        <f t="shared" ref="AI46" si="48">AH46+AI45</f>
        <v>#N/A</v>
      </c>
      <c r="AJ46" s="145" t="e">
        <f t="shared" ref="AJ46" si="49">AI46+AJ45</f>
        <v>#N/A</v>
      </c>
      <c r="AK46" s="145" t="e">
        <f t="shared" ref="AK46" si="50">AJ46+AK45</f>
        <v>#N/A</v>
      </c>
      <c r="AL46" s="145" t="e">
        <f t="shared" ref="AL46" si="51">AK46+AL45</f>
        <v>#N/A</v>
      </c>
      <c r="AM46" s="145" t="e">
        <f t="shared" ref="AM46" si="52">AL46+AM45</f>
        <v>#N/A</v>
      </c>
      <c r="AN46" s="143"/>
      <c r="AQ46" s="143" t="e">
        <f>AQ45</f>
        <v>#N/A</v>
      </c>
      <c r="AR46" s="143" t="e">
        <f>AQ46+AR45</f>
        <v>#N/A</v>
      </c>
      <c r="AS46" s="143" t="e">
        <f t="shared" ref="AS46:BB46" si="53">AR46+AS45</f>
        <v>#N/A</v>
      </c>
      <c r="AT46" s="143" t="e">
        <f t="shared" si="53"/>
        <v>#N/A</v>
      </c>
      <c r="AU46" s="143" t="e">
        <f t="shared" si="53"/>
        <v>#N/A</v>
      </c>
      <c r="AV46" s="143" t="e">
        <f t="shared" si="53"/>
        <v>#N/A</v>
      </c>
      <c r="AW46" s="143" t="e">
        <f t="shared" si="53"/>
        <v>#N/A</v>
      </c>
      <c r="AX46" s="143" t="e">
        <f t="shared" si="53"/>
        <v>#N/A</v>
      </c>
      <c r="AY46" s="143" t="e">
        <f t="shared" si="53"/>
        <v>#N/A</v>
      </c>
      <c r="AZ46" s="143" t="e">
        <f t="shared" si="53"/>
        <v>#N/A</v>
      </c>
      <c r="BA46" s="143" t="e">
        <f t="shared" si="53"/>
        <v>#N/A</v>
      </c>
      <c r="BB46" s="143" t="e">
        <f t="shared" si="53"/>
        <v>#N/A</v>
      </c>
    </row>
    <row r="48" spans="3:54">
      <c r="AP48">
        <v>-5000</v>
      </c>
      <c r="AQ48" s="143" t="e">
        <f>AQ45+5000</f>
        <v>#N/A</v>
      </c>
      <c r="AR48" s="143" t="e">
        <f>AR45</f>
        <v>#N/A</v>
      </c>
      <c r="AS48" s="143" t="e">
        <f>AS45</f>
        <v>#N/A</v>
      </c>
      <c r="AT48" s="143" t="e">
        <f>AT45</f>
        <v>#N/A</v>
      </c>
    </row>
    <row r="49" spans="43:46">
      <c r="AQ49" s="143" t="e">
        <f>AP48+AQ48</f>
        <v>#N/A</v>
      </c>
      <c r="AR49" s="143" t="e">
        <f>AQ49+AR48</f>
        <v>#N/A</v>
      </c>
      <c r="AS49" s="143" t="e">
        <f>AR49+AS48</f>
        <v>#N/A</v>
      </c>
      <c r="AT49" s="143" t="e">
        <f>AS49+AT48</f>
        <v>#N/A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50" customWidth="1"/>
    <col min="17" max="17" width="15.453125" style="150" customWidth="1"/>
    <col min="18" max="18" width="12.26953125" style="150" bestFit="1" customWidth="1"/>
    <col min="19" max="19" width="12.7265625" style="150" bestFit="1" customWidth="1"/>
    <col min="20" max="20" width="12.7265625" style="150" customWidth="1"/>
    <col min="21" max="21" width="13.26953125" style="150" bestFit="1" customWidth="1"/>
  </cols>
  <sheetData>
    <row r="2" spans="2:21" s="96" customFormat="1" ht="24" customHeight="1">
      <c r="B2" s="96" t="s">
        <v>163</v>
      </c>
      <c r="P2" s="149"/>
      <c r="Q2" s="149"/>
      <c r="R2" s="149"/>
      <c r="S2" s="149"/>
      <c r="T2" s="149"/>
      <c r="U2" s="149"/>
    </row>
    <row r="3" spans="2:21">
      <c r="F3" t="s">
        <v>63</v>
      </c>
      <c r="G3" t="s">
        <v>65</v>
      </c>
      <c r="H3" t="s">
        <v>81</v>
      </c>
      <c r="I3" t="s">
        <v>82</v>
      </c>
      <c r="J3" t="s">
        <v>83</v>
      </c>
      <c r="K3" t="s">
        <v>164</v>
      </c>
      <c r="L3" t="s">
        <v>164</v>
      </c>
      <c r="M3" t="s">
        <v>68</v>
      </c>
    </row>
    <row r="4" spans="2:21" s="1" customFormat="1" ht="43.5">
      <c r="B4" s="124" t="s">
        <v>7</v>
      </c>
      <c r="C4" s="124" t="s">
        <v>60</v>
      </c>
      <c r="D4" s="124" t="s">
        <v>23</v>
      </c>
      <c r="E4" s="124" t="s">
        <v>86</v>
      </c>
      <c r="F4" s="124" t="s">
        <v>87</v>
      </c>
      <c r="G4" s="124" t="s">
        <v>91</v>
      </c>
      <c r="H4" s="124" t="s">
        <v>88</v>
      </c>
      <c r="I4" s="124" t="s">
        <v>89</v>
      </c>
      <c r="J4" s="124" t="s">
        <v>90</v>
      </c>
      <c r="K4" s="124" t="s">
        <v>92</v>
      </c>
      <c r="L4" s="124" t="s">
        <v>93</v>
      </c>
      <c r="M4" s="124" t="s">
        <v>94</v>
      </c>
      <c r="N4" s="124" t="s">
        <v>67</v>
      </c>
      <c r="P4" s="151" t="s">
        <v>165</v>
      </c>
      <c r="Q4" s="151" t="s">
        <v>166</v>
      </c>
      <c r="R4" s="151" t="s">
        <v>158</v>
      </c>
      <c r="S4" s="151" t="s">
        <v>101</v>
      </c>
      <c r="T4" s="151" t="s">
        <v>167</v>
      </c>
      <c r="U4" s="151" t="s">
        <v>27</v>
      </c>
    </row>
    <row r="5" spans="2:21" s="1" customFormat="1">
      <c r="B5" s="9" t="s">
        <v>97</v>
      </c>
      <c r="C5" s="10" t="s">
        <v>189</v>
      </c>
      <c r="D5" s="10">
        <f>'Preise Output'!D18</f>
        <v>3</v>
      </c>
      <c r="E5" s="11">
        <v>0</v>
      </c>
      <c r="F5" s="36" t="e">
        <f>$D5*INDEX(Produktpreise!$B$4:$S$26,MATCH(Kosten!$C5,Produktpreise!$C$4:$C$26,0),MATCH(Kosten!F$4,Produktpreise!$B$4:$S$4,0))</f>
        <v>#N/A</v>
      </c>
      <c r="G5" s="11">
        <f>$D5*INDEX(Produktpreise!$B$4:$S$26,MATCH(Kosten!$C5,Produktpreise!$C$4:$C$26,0),MATCH(Kosten!G$4,Produktpreise!$B$4:$S$4,0))</f>
        <v>177</v>
      </c>
      <c r="H5" s="11" t="e">
        <f>$D5*INDEX(Produktpreise!$B$4:$S$26,MATCH(Kosten!$C5,Produktpreise!$C$4:$C$26,0),MATCH(Kosten!H$4,Produktpreise!$B$4:$S$4,0))</f>
        <v>#N/A</v>
      </c>
      <c r="I5" s="11">
        <f>$D5*INDEX(Produktpreise!$B$4:$S$26,MATCH(Kosten!$C5,Produktpreise!$C$4:$C$26,0),MATCH(Kosten!I$4,Produktpreise!$B$4:$S$4,0))</f>
        <v>597</v>
      </c>
      <c r="J5" s="11">
        <f>$D5*INDEX(Produktpreise!$B$4:$S$26,MATCH(Kosten!$C5,Produktpreise!$C$4:$C$26,0),MATCH(Kosten!J$4,Produktpreise!$B$4:$S$4,0))</f>
        <v>711</v>
      </c>
      <c r="K5" s="11"/>
      <c r="L5" s="11">
        <f>$D5*INDEX(Produktpreise!$B$4:$S$26,MATCH(Kosten!$C5,Produktpreise!$C$4:$C$26,0),MATCH(Kosten!L$4,Produktpreise!$B$4:$S$4,0))</f>
        <v>0</v>
      </c>
      <c r="M5" s="11" t="e">
        <f>$D5*INDEX(Produktpreise!$B$4:$S$26,MATCH(Kosten!$C5,Produktpreise!$C$4:$C$26,0),MATCH(Kosten!M$4,Produktpreise!$B$4:$S$4,0))</f>
        <v>#N/A</v>
      </c>
      <c r="N5" s="11" t="e">
        <f>$D5*INDEX(Produktpreise!$B$4:$S$26,MATCH(Kosten!$C5,Produktpreise!$C$4:$C$26,0),MATCH(Kosten!N$4,Produktpreise!$B$4:$S$4,0))</f>
        <v>#N/A</v>
      </c>
      <c r="P5" s="151">
        <f>'Preise Output'!I18</f>
        <v>20790</v>
      </c>
      <c r="Q5" s="151" t="e">
        <f>SUM(F5:G5)</f>
        <v>#N/A</v>
      </c>
      <c r="R5" s="151" t="e">
        <f>H5+I5*2+J5*3+M5*3+N5</f>
        <v>#N/A</v>
      </c>
      <c r="S5" s="151">
        <f>'Preise Output'!L18</f>
        <v>3951.6806722689071</v>
      </c>
      <c r="T5" s="151" t="e">
        <f>SUM(Q5:S5)</f>
        <v>#N/A</v>
      </c>
      <c r="U5" s="151" t="e">
        <f>P5-T5</f>
        <v>#N/A</v>
      </c>
    </row>
    <row r="6" spans="2:21" s="1" customFormat="1">
      <c r="B6" s="9" t="s">
        <v>97</v>
      </c>
      <c r="C6" s="10" t="s">
        <v>190</v>
      </c>
      <c r="D6" s="10">
        <f>'Preise Output'!D19</f>
        <v>3</v>
      </c>
      <c r="E6" s="11">
        <v>0</v>
      </c>
      <c r="F6" s="36" t="e">
        <f>$D6*INDEX(Produktpreise!$B$4:$S$26,MATCH(Kosten!$C6,Produktpreise!$C$4:$C$26,0),MATCH(Kosten!F$4,Produktpreise!$B$4:$S$4,0))</f>
        <v>#N/A</v>
      </c>
      <c r="G6" s="11">
        <f>$D6*INDEX(Produktpreise!$B$4:$S$26,MATCH(Kosten!$C6,Produktpreise!$C$4:$C$26,0),MATCH(Kosten!G$4,Produktpreise!$B$4:$S$4,0))</f>
        <v>177</v>
      </c>
      <c r="H6" s="11" t="e">
        <f>$D6*INDEX(Produktpreise!$B$4:$S$26,MATCH(Kosten!$C6,Produktpreise!$C$4:$C$26,0),MATCH(Kosten!H$4,Produktpreise!$B$4:$S$4,0))</f>
        <v>#N/A</v>
      </c>
      <c r="I6" s="11">
        <f>$D6*INDEX(Produktpreise!$B$4:$S$26,MATCH(Kosten!$C6,Produktpreise!$C$4:$C$26,0),MATCH(Kosten!I$4,Produktpreise!$B$4:$S$4,0))</f>
        <v>597</v>
      </c>
      <c r="J6" s="11">
        <f>$D6*INDEX(Produktpreise!$B$4:$S$26,MATCH(Kosten!$C6,Produktpreise!$C$4:$C$26,0),MATCH(Kosten!J$4,Produktpreise!$B$4:$S$4,0))</f>
        <v>711</v>
      </c>
      <c r="K6" s="11"/>
      <c r="L6" s="11">
        <f>$D6*INDEX(Produktpreise!$B$4:$S$26,MATCH(Kosten!$C6,Produktpreise!$C$4:$C$26,0),MATCH(Kosten!L$4,Produktpreise!$B$4:$S$4,0))</f>
        <v>0</v>
      </c>
      <c r="M6" s="11" t="e">
        <f>$D6*INDEX(Produktpreise!$B$4:$S$26,MATCH(Kosten!$C6,Produktpreise!$C$4:$C$26,0),MATCH(Kosten!M$4,Produktpreise!$B$4:$S$4,0))</f>
        <v>#N/A</v>
      </c>
      <c r="N6" s="11" t="e">
        <f>$D6*INDEX(Produktpreise!$B$4:$S$26,MATCH(Kosten!$C6,Produktpreise!$C$4:$C$26,0),MATCH(Kosten!N$4,Produktpreise!$B$4:$S$4,0))</f>
        <v>#N/A</v>
      </c>
      <c r="P6" s="151">
        <f>'Preise Output'!I19</f>
        <v>21924</v>
      </c>
      <c r="Q6" s="151" t="e">
        <f>SUM(F6:G6)</f>
        <v>#N/A</v>
      </c>
      <c r="R6" s="151" t="e">
        <f>H6+I6*2+J6*3+M6*3+N6</f>
        <v>#N/A</v>
      </c>
      <c r="S6" s="151">
        <f>'Preise Output'!L19</f>
        <v>4167.2268907563011</v>
      </c>
      <c r="T6" s="151" t="e">
        <f t="shared" ref="T6:T27" si="0">SUM(Q6:S6)</f>
        <v>#N/A</v>
      </c>
      <c r="U6" s="151" t="e">
        <f t="shared" ref="U6:U27" si="1">P6-T6</f>
        <v>#N/A</v>
      </c>
    </row>
    <row r="7" spans="2:21" s="1" customFormat="1">
      <c r="B7" s="9" t="s">
        <v>97</v>
      </c>
      <c r="C7" s="10" t="s">
        <v>202</v>
      </c>
      <c r="D7" s="10">
        <f>'Preise Output'!D20</f>
        <v>0</v>
      </c>
      <c r="E7" s="11">
        <v>0</v>
      </c>
      <c r="F7" s="36" t="e">
        <f>$D7*INDEX(Produktpreise!$B$4:$S$26,MATCH(Kosten!$C7,Produktpreise!$C$4:$C$26,0),MATCH(Kosten!F$4,Produktpreise!$B$4:$S$4,0))</f>
        <v>#N/A</v>
      </c>
      <c r="G7" s="11">
        <f>$D7*INDEX(Produktpreise!$B$4:$S$26,MATCH(Kosten!$C7,Produktpreise!$C$4:$C$26,0),MATCH(Kosten!G$4,Produktpreise!$B$4:$S$4,0))</f>
        <v>0</v>
      </c>
      <c r="H7" s="11" t="e">
        <f>$D7*INDEX(Produktpreise!$B$4:$S$26,MATCH(Kosten!$C7,Produktpreise!$C$4:$C$26,0),MATCH(Kosten!H$4,Produktpreise!$B$4:$S$4,0))</f>
        <v>#N/A</v>
      </c>
      <c r="I7" s="11">
        <f>$D7*INDEX(Produktpreise!$B$4:$S$26,MATCH(Kosten!$C7,Produktpreise!$C$4:$C$26,0),MATCH(Kosten!I$4,Produktpreise!$B$4:$S$4,0))</f>
        <v>0</v>
      </c>
      <c r="J7" s="11">
        <f>$D7*INDEX(Produktpreise!$B$4:$S$26,MATCH(Kosten!$C7,Produktpreise!$C$4:$C$26,0),MATCH(Kosten!J$4,Produktpreise!$B$4:$S$4,0))</f>
        <v>0</v>
      </c>
      <c r="K7" s="11"/>
      <c r="L7" s="11">
        <f>$D7*INDEX(Produktpreise!$B$4:$S$26,MATCH(Kosten!$C7,Produktpreise!$C$4:$C$26,0),MATCH(Kosten!L$4,Produktpreise!$B$4:$S$4,0))</f>
        <v>0</v>
      </c>
      <c r="M7" s="11" t="e">
        <f>$D7*INDEX(Produktpreise!$B$4:$S$26,MATCH(Kosten!$C7,Produktpreise!$C$4:$C$26,0),MATCH(Kosten!M$4,Produktpreise!$B$4:$S$4,0))</f>
        <v>#N/A</v>
      </c>
      <c r="N7" s="11" t="e">
        <f>$D7*INDEX(Produktpreise!$B$4:$S$26,MATCH(Kosten!$C7,Produktpreise!$C$4:$C$26,0),MATCH(Kosten!N$4,Produktpreise!$B$4:$S$4,0))</f>
        <v>#N/A</v>
      </c>
      <c r="P7" s="151">
        <f>'Preise Output'!I20</f>
        <v>0</v>
      </c>
      <c r="Q7" s="151" t="e">
        <f>SUM(F7:G7)</f>
        <v>#N/A</v>
      </c>
      <c r="R7" s="151" t="e">
        <f>H7+I7*2+J7*3+M7*3+N7</f>
        <v>#N/A</v>
      </c>
      <c r="S7" s="151">
        <f>'Preise Output'!L20</f>
        <v>0</v>
      </c>
      <c r="T7" s="151" t="e">
        <f t="shared" si="0"/>
        <v>#N/A</v>
      </c>
      <c r="U7" s="151" t="e">
        <f t="shared" si="1"/>
        <v>#N/A</v>
      </c>
    </row>
    <row r="8" spans="2:21" s="1" customFormat="1">
      <c r="B8" s="9" t="s">
        <v>97</v>
      </c>
      <c r="C8" s="10" t="s">
        <v>193</v>
      </c>
      <c r="D8" s="10">
        <f>'Preise Output'!D21</f>
        <v>0</v>
      </c>
      <c r="E8" s="11">
        <v>0</v>
      </c>
      <c r="F8" s="36" t="e">
        <f>$D8*INDEX(Produktpreise!$B$4:$S$26,MATCH(Kosten!$C8,Produktpreise!$C$4:$C$26,0),MATCH(Kosten!F$4,Produktpreise!$B$4:$S$4,0))</f>
        <v>#N/A</v>
      </c>
      <c r="G8" s="36">
        <f>$D8*INDEX(Produktpreise!$B$4:$S$26,MATCH(Kosten!$C8,Produktpreise!$C$4:$C$26,0),MATCH(Kosten!G$4,Produktpreise!$B$4:$S$4,0))</f>
        <v>0</v>
      </c>
      <c r="H8" s="36" t="e">
        <f>$D8*INDEX(Produktpreise!$B$4:$S$26,MATCH(Kosten!$C8,Produktpreise!$C$4:$C$26,0),MATCH(Kosten!H$4,Produktpreise!$B$4:$S$4,0))</f>
        <v>#N/A</v>
      </c>
      <c r="I8" s="36">
        <f>$D8*INDEX(Produktpreise!$B$4:$S$26,MATCH(Kosten!$C8,Produktpreise!$C$4:$C$26,0),MATCH(Kosten!I$4,Produktpreise!$B$4:$S$4,0))</f>
        <v>0</v>
      </c>
      <c r="J8" s="36">
        <f>$D8*INDEX(Produktpreise!$B$4:$S$26,MATCH(Kosten!$C8,Produktpreise!$C$4:$C$26,0),MATCH(Kosten!J$4,Produktpreise!$B$4:$S$4,0))</f>
        <v>0</v>
      </c>
      <c r="K8" s="36"/>
      <c r="L8" s="36">
        <f>$D8*INDEX(Produktpreise!$B$4:$S$26,MATCH(Kosten!$C8,Produktpreise!$C$4:$C$26,0),MATCH(Kosten!L$4,Produktpreise!$B$4:$S$4,0))</f>
        <v>0</v>
      </c>
      <c r="M8" s="36" t="e">
        <f>$D8*INDEX(Produktpreise!$B$4:$S$26,MATCH(Kosten!$C8,Produktpreise!$C$4:$C$26,0),MATCH(Kosten!M$4,Produktpreise!$B$4:$S$4,0))</f>
        <v>#N/A</v>
      </c>
      <c r="N8" s="36" t="e">
        <f>$D8*INDEX(Produktpreise!$B$4:$S$26,MATCH(Kosten!$C8,Produktpreise!$C$4:$C$26,0),MATCH(Kosten!N$4,Produktpreise!$B$4:$S$4,0))</f>
        <v>#N/A</v>
      </c>
      <c r="P8" s="151"/>
      <c r="Q8" s="151"/>
      <c r="R8" s="151"/>
      <c r="S8" s="151"/>
      <c r="T8" s="151"/>
      <c r="U8" s="151"/>
    </row>
    <row r="9" spans="2:21" s="1" customFormat="1">
      <c r="B9" s="9" t="s">
        <v>97</v>
      </c>
      <c r="C9" s="10" t="s">
        <v>39</v>
      </c>
      <c r="D9" s="10">
        <f>'Preise Output'!D22</f>
        <v>0</v>
      </c>
      <c r="E9" s="11">
        <v>0</v>
      </c>
      <c r="F9" s="36" t="e">
        <f>$D9*INDEX(Produktpreise!$B$4:$S$26,MATCH(Kosten!$C9,Produktpreise!$C$4:$C$26,0),MATCH(Kosten!F$4,Produktpreise!$B$4:$S$4,0))</f>
        <v>#N/A</v>
      </c>
      <c r="G9" s="11">
        <f>$D9*INDEX(Produktpreise!$B$4:$S$26,MATCH(Kosten!$C9,Produktpreise!$C$4:$C$26,0),MATCH(Kosten!G$4,Produktpreise!$B$4:$S$4,0))</f>
        <v>0</v>
      </c>
      <c r="H9" s="11" t="e">
        <f>$D9*INDEX(Produktpreise!$B$4:$S$26,MATCH(Kosten!$C9,Produktpreise!$C$4:$C$26,0),MATCH(Kosten!H$4,Produktpreise!$B$4:$S$4,0))</f>
        <v>#N/A</v>
      </c>
      <c r="I9" s="11">
        <f>$D9*INDEX(Produktpreise!$B$4:$S$26,MATCH(Kosten!$C9,Produktpreise!$C$4:$C$26,0),MATCH(Kosten!I$4,Produktpreise!$B$4:$S$4,0))</f>
        <v>0</v>
      </c>
      <c r="J9" s="11">
        <f>$D9*INDEX(Produktpreise!$B$4:$S$26,MATCH(Kosten!$C9,Produktpreise!$C$4:$C$26,0),MATCH(Kosten!J$4,Produktpreise!$B$4:$S$4,0))</f>
        <v>0</v>
      </c>
      <c r="K9" s="11"/>
      <c r="L9" s="11">
        <f>$D9*INDEX(Produktpreise!$B$4:$S$26,MATCH(Kosten!$C9,Produktpreise!$C$4:$C$26,0),MATCH(Kosten!L$4,Produktpreise!$B$4:$S$4,0))</f>
        <v>0</v>
      </c>
      <c r="M9" s="11" t="e">
        <f>$D9*INDEX(Produktpreise!$B$4:$S$26,MATCH(Kosten!$C9,Produktpreise!$C$4:$C$26,0),MATCH(Kosten!M$4,Produktpreise!$B$4:$S$4,0))</f>
        <v>#N/A</v>
      </c>
      <c r="N9" s="11" t="e">
        <f>$D9*INDEX(Produktpreise!$B$4:$S$26,MATCH(Kosten!$C9,Produktpreise!$C$4:$C$26,0),MATCH(Kosten!N$4,Produktpreise!$B$4:$S$4,0))</f>
        <v>#N/A</v>
      </c>
      <c r="P9" s="151">
        <f>'Preise Output'!I22</f>
        <v>0</v>
      </c>
      <c r="Q9" s="151" t="e">
        <f>SUM(F9:G9)</f>
        <v>#N/A</v>
      </c>
      <c r="R9" s="151" t="e">
        <f>H9+I9*2+J9*3+M9*3+N9</f>
        <v>#N/A</v>
      </c>
      <c r="S9" s="151">
        <f>'Preise Output'!L22</f>
        <v>0</v>
      </c>
      <c r="T9" s="151" t="e">
        <f t="shared" ref="T9" si="2">SUM(Q9:S9)</f>
        <v>#N/A</v>
      </c>
      <c r="U9" s="151" t="e">
        <f t="shared" ref="U9" si="3">P9-T9</f>
        <v>#N/A</v>
      </c>
    </row>
    <row r="10" spans="2:21" s="1" customFormat="1">
      <c r="B10" s="14" t="s">
        <v>99</v>
      </c>
      <c r="C10" s="15" t="s">
        <v>185</v>
      </c>
      <c r="D10" s="15">
        <f>'Preise Output'!D23</f>
        <v>0</v>
      </c>
      <c r="E10" s="16">
        <v>0</v>
      </c>
      <c r="F10" s="16" t="e">
        <f>$D10*INDEX(Produktpreise!$B$4:$S$26,MATCH(Kosten!$C10,Produktpreise!$C$4:$C$26,0),MATCH(Kosten!F$4,Produktpreise!$B$4:$S$4,0))</f>
        <v>#N/A</v>
      </c>
      <c r="G10" s="11">
        <f>$D10*INDEX(Produktpreise!$B$4:$S$26,MATCH(Kosten!$C10,Produktpreise!$C$4:$C$26,0),MATCH(Kosten!G$4,Produktpreise!$B$4:$S$4,0))</f>
        <v>0</v>
      </c>
      <c r="H10" s="16" t="e">
        <f>$D10*INDEX(Produktpreise!$B$4:$S$26,MATCH(Kosten!$C10,Produktpreise!$C$4:$C$26,0),MATCH(Kosten!H$4,Produktpreise!$B$4:$S$4,0))</f>
        <v>#N/A</v>
      </c>
      <c r="I10" s="16">
        <f>$D10*INDEX(Produktpreise!$B$4:$S$26,MATCH(Kosten!$C10,Produktpreise!$C$4:$C$26,0),MATCH(Kosten!I$4,Produktpreise!$B$4:$S$4,0))</f>
        <v>0</v>
      </c>
      <c r="J10" s="16">
        <f>$D10*INDEX(Produktpreise!$B$4:$S$26,MATCH(Kosten!$C10,Produktpreise!$C$4:$C$26,0),MATCH(Kosten!J$4,Produktpreise!$B$4:$S$4,0))</f>
        <v>0</v>
      </c>
      <c r="K10" s="16"/>
      <c r="L10" s="16">
        <f>$D10*INDEX(Produktpreise!$B$4:$S$26,MATCH(Kosten!$C10,Produktpreise!$C$4:$C$26,0),MATCH(Kosten!L$4,Produktpreise!$B$4:$S$4,0))</f>
        <v>0</v>
      </c>
      <c r="M10" s="16" t="e">
        <f>$D10*INDEX(Produktpreise!$B$4:$S$26,MATCH(Kosten!$C10,Produktpreise!$C$4:$C$26,0),MATCH(Kosten!M$4,Produktpreise!$B$4:$S$4,0))</f>
        <v>#N/A</v>
      </c>
      <c r="N10" s="16" t="e">
        <f>$D10*INDEX(Produktpreise!$B$4:$S$26,MATCH(Kosten!$C10,Produktpreise!$C$4:$C$26,0),MATCH(Kosten!N$4,Produktpreise!$B$4:$S$4,0))</f>
        <v>#N/A</v>
      </c>
      <c r="P10" s="151">
        <f>'Preise Output'!I23</f>
        <v>0</v>
      </c>
      <c r="Q10" s="151" t="e">
        <f t="shared" ref="Q10:Q13" si="4">SUM(F10:G10)</f>
        <v>#N/A</v>
      </c>
      <c r="R10" s="151" t="e">
        <f>H10+I10*2+J10*3+M10*3+N10</f>
        <v>#N/A</v>
      </c>
      <c r="S10" s="151">
        <f>'Preise Output'!L23</f>
        <v>0</v>
      </c>
      <c r="T10" s="151" t="e">
        <f t="shared" si="0"/>
        <v>#N/A</v>
      </c>
      <c r="U10" s="151" t="e">
        <f t="shared" si="1"/>
        <v>#N/A</v>
      </c>
    </row>
    <row r="11" spans="2:21" s="1" customFormat="1" ht="29">
      <c r="B11" s="14" t="s">
        <v>99</v>
      </c>
      <c r="C11" s="15" t="s">
        <v>40</v>
      </c>
      <c r="D11" s="15">
        <f>'Preise Output'!D24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>
        <f>$D11*INDEX(Produktpreise!$B$4:$S$26,MATCH(Kosten!$C11,Produktpreise!$C$4:$C$26,0),MATCH(Kosten!G$4,Produktpreise!$B$4:$S$4,0))</f>
        <v>0</v>
      </c>
      <c r="H11" s="16" t="e">
        <f>$D11*INDEX(Produktpreise!$B$4:$S$26,MATCH(Kosten!$C11,Produktpreise!$C$4:$C$26,0),MATCH(Kosten!H$4,Produktpreise!$B$4:$S$4,0))</f>
        <v>#N/A</v>
      </c>
      <c r="I11" s="16">
        <f>$D11*INDEX(Produktpreise!$B$4:$S$26,MATCH(Kosten!$C11,Produktpreise!$C$4:$C$26,0),MATCH(Kosten!I$4,Produktpreise!$B$4:$S$4,0))</f>
        <v>0</v>
      </c>
      <c r="J11" s="16">
        <f>$D11*INDEX(Produktpreise!$B$4:$S$26,MATCH(Kosten!$C11,Produktpreise!$C$4:$C$26,0),MATCH(Kosten!J$4,Produktpreise!$B$4:$S$4,0))</f>
        <v>0</v>
      </c>
      <c r="K11" s="16"/>
      <c r="L11" s="16">
        <f>$D11*INDEX(Produktpreise!$B$4:$S$26,MATCH(Kosten!$C11,Produktpreise!$C$4:$C$26,0),MATCH(Kosten!L$4,Produktpreise!$B$4:$S$4,0))</f>
        <v>0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51">
        <f>'Preise Output'!I24</f>
        <v>0</v>
      </c>
      <c r="Q11" s="151" t="e">
        <f t="shared" si="4"/>
        <v>#N/A</v>
      </c>
      <c r="R11" s="151" t="e">
        <f>H11+I11*2+J11*3+M11*3+N11</f>
        <v>#N/A</v>
      </c>
      <c r="S11" s="151">
        <f>'Preise Output'!L24</f>
        <v>0</v>
      </c>
      <c r="T11" s="151" t="e">
        <f t="shared" si="0"/>
        <v>#N/A</v>
      </c>
      <c r="U11" s="151" t="e">
        <f t="shared" si="1"/>
        <v>#N/A</v>
      </c>
    </row>
    <row r="12" spans="2:21" s="5" customFormat="1" ht="29">
      <c r="B12" s="19" t="s">
        <v>100</v>
      </c>
      <c r="C12" s="19" t="s">
        <v>41</v>
      </c>
      <c r="D12" s="19">
        <f>'Preise Output'!D25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>
        <f>$D12*INDEX(Produktpreise!$B$4:$S$26,MATCH(Kosten!$C12,Produktpreise!$C$4:$C$26,0),MATCH(Kosten!G$4,Produktpreise!$B$4:$S$4,0))</f>
        <v>0</v>
      </c>
      <c r="H12" s="22" t="e">
        <f>$D12*INDEX(Produktpreise!$B$4:$S$26,MATCH(Kosten!$C12,Produktpreise!$C$4:$C$26,0),MATCH(Kosten!H$4,Produktpreise!$B$4:$S$4,0))</f>
        <v>#N/A</v>
      </c>
      <c r="I12" s="22">
        <f>$D12*INDEX(Produktpreise!$B$4:$S$26,MATCH(Kosten!$C12,Produktpreise!$C$4:$C$26,0),MATCH(Kosten!I$4,Produktpreise!$B$4:$S$4,0))</f>
        <v>0</v>
      </c>
      <c r="J12" s="22">
        <f>$D12*INDEX(Produktpreise!$B$4:$S$26,MATCH(Kosten!$C12,Produktpreise!$C$4:$C$26,0),MATCH(Kosten!J$4,Produktpreise!$B$4:$S$4,0))</f>
        <v>0</v>
      </c>
      <c r="K12" s="22">
        <f>$D12*INDEX(Produktpreise!$B$4:$S$26,MATCH(Kosten!$C12,Produktpreise!$C$4:$C$26,0),MATCH(Kosten!K$4,Produktpreise!$B$4:$S$4,0))</f>
        <v>0</v>
      </c>
      <c r="L12" s="22">
        <f>$D12*INDEX(Produktpreise!$B$4:$S$26,MATCH(Kosten!$C12,Produktpreise!$C$4:$C$26,0),MATCH(Kosten!L$4,Produktpreise!$B$4:$S$4,0))</f>
        <v>0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51">
        <f>'Preise Output'!I25</f>
        <v>0</v>
      </c>
      <c r="Q12" s="151" t="e">
        <f t="shared" si="4"/>
        <v>#N/A</v>
      </c>
      <c r="R12" s="151" t="e">
        <f>H12+I12*2+J12*3+M12*3+N12+L12*3+K12*3</f>
        <v>#N/A</v>
      </c>
      <c r="S12" s="151">
        <f>'Preise Output'!L25</f>
        <v>0</v>
      </c>
      <c r="T12" s="151" t="e">
        <f t="shared" ref="T12:T13" si="5">SUM(Q12:S12)</f>
        <v>#N/A</v>
      </c>
      <c r="U12" s="151" t="e">
        <f t="shared" ref="U12:U13" si="6">P12-T12</f>
        <v>#N/A</v>
      </c>
    </row>
    <row r="13" spans="2:21" s="5" customFormat="1" ht="29">
      <c r="B13" s="19" t="s">
        <v>100</v>
      </c>
      <c r="C13" s="19" t="s">
        <v>43</v>
      </c>
      <c r="D13" s="19">
        <f>'Preise Output'!D26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>
        <f>$D13*INDEX(Produktpreise!$B$4:$S$26,MATCH(Kosten!$C13,Produktpreise!$C$4:$C$26,0),MATCH(Kosten!G$4,Produktpreise!$B$4:$S$4,0))</f>
        <v>0</v>
      </c>
      <c r="H13" s="22" t="e">
        <f>$D13*INDEX(Produktpreise!$B$4:$S$26,MATCH(Kosten!$C13,Produktpreise!$C$4:$C$26,0),MATCH(Kosten!H$4,Produktpreise!$B$4:$S$4,0))</f>
        <v>#N/A</v>
      </c>
      <c r="I13" s="22">
        <f>$D13*INDEX(Produktpreise!$B$4:$S$26,MATCH(Kosten!$C13,Produktpreise!$C$4:$C$26,0),MATCH(Kosten!I$4,Produktpreise!$B$4:$S$4,0))</f>
        <v>0</v>
      </c>
      <c r="J13" s="22">
        <f>$D13*INDEX(Produktpreise!$B$4:$S$26,MATCH(Kosten!$C13,Produktpreise!$C$4:$C$26,0),MATCH(Kosten!J$4,Produktpreise!$B$4:$S$4,0))</f>
        <v>0</v>
      </c>
      <c r="K13" s="22">
        <f>$D13*INDEX(Produktpreise!$B$4:$S$26,MATCH(Kosten!$C13,Produktpreise!$C$4:$C$26,0),MATCH(Kosten!K$4,Produktpreise!$B$4:$S$4,0))</f>
        <v>0</v>
      </c>
      <c r="L13" s="22">
        <f>$D13*INDEX(Produktpreise!$B$4:$S$26,MATCH(Kosten!$C13,Produktpreise!$C$4:$C$26,0),MATCH(Kosten!L$4,Produktpreise!$B$4:$S$4,0))</f>
        <v>0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51">
        <f>'Preise Output'!I26</f>
        <v>0</v>
      </c>
      <c r="Q13" s="151" t="e">
        <f t="shared" si="4"/>
        <v>#N/A</v>
      </c>
      <c r="R13" s="151" t="e">
        <f>H13+I13*2+J13*3+M13*3+N13+L13*3+K13*3</f>
        <v>#N/A</v>
      </c>
      <c r="S13" s="151">
        <f>'Preise Output'!L26</f>
        <v>0</v>
      </c>
      <c r="T13" s="151" t="e">
        <f t="shared" si="5"/>
        <v>#N/A</v>
      </c>
      <c r="U13" s="151" t="e">
        <f t="shared" si="6"/>
        <v>#N/A</v>
      </c>
    </row>
    <row r="14" spans="2:21" s="5" customFormat="1">
      <c r="B14" s="19" t="s">
        <v>100</v>
      </c>
      <c r="C14" s="19" t="s">
        <v>44</v>
      </c>
      <c r="D14" s="19">
        <f>'Preise Output'!D27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>
        <f>$D14*INDEX(Produktpreise!$B$4:$S$26,MATCH(Kosten!$C14,Produktpreise!$C$4:$C$26,0),MATCH(Kosten!G$4,Produktpreise!$B$4:$S$4,0))</f>
        <v>0</v>
      </c>
      <c r="H14" s="22" t="e">
        <f>$D14*INDEX(Produktpreise!$B$4:$S$26,MATCH(Kosten!$C14,Produktpreise!$C$4:$C$26,0),MATCH(Kosten!H$4,Produktpreise!$B$4:$S$4,0))</f>
        <v>#N/A</v>
      </c>
      <c r="I14" s="22">
        <f>$D14*INDEX(Produktpreise!$B$4:$S$26,MATCH(Kosten!$C14,Produktpreise!$C$4:$C$26,0),MATCH(Kosten!I$4,Produktpreise!$B$4:$S$4,0))</f>
        <v>0</v>
      </c>
      <c r="J14" s="22">
        <f>$D14*INDEX(Produktpreise!$B$4:$S$26,MATCH(Kosten!$C14,Produktpreise!$C$4:$C$26,0),MATCH(Kosten!J$4,Produktpreise!$B$4:$S$4,0))</f>
        <v>0</v>
      </c>
      <c r="K14" s="22">
        <f>$D14*INDEX(Produktpreise!$B$4:$S$26,MATCH(Kosten!$C14,Produktpreise!$C$4:$C$26,0),MATCH(Kosten!K$4,Produktpreise!$B$4:$S$4,0))</f>
        <v>0</v>
      </c>
      <c r="L14" s="22">
        <f>$D14*INDEX(Produktpreise!$B$4:$S$26,MATCH(Kosten!$C14,Produktpreise!$C$4:$C$26,0),MATCH(Kosten!L$4,Produktpreise!$B$4:$S$4,0))</f>
        <v>0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51">
        <f>'Preise Output'!I27</f>
        <v>0</v>
      </c>
      <c r="Q14" s="151" t="e">
        <f t="shared" ref="Q14" si="7">SUM(F14:G14)</f>
        <v>#N/A</v>
      </c>
      <c r="R14" s="151" t="e">
        <f>H14+I14*2+J14*3+M14*3+N14+L14*3+K14*3</f>
        <v>#N/A</v>
      </c>
      <c r="S14" s="151">
        <f>'Preise Output'!L27</f>
        <v>0</v>
      </c>
      <c r="T14" s="151" t="e">
        <f t="shared" ref="T14" si="8">SUM(Q14:S14)</f>
        <v>#N/A</v>
      </c>
      <c r="U14" s="151" t="e">
        <f t="shared" ref="U14" si="9">P14-T14</f>
        <v>#N/A</v>
      </c>
    </row>
    <row r="15" spans="2:21" s="1" customFormat="1">
      <c r="B15" s="31" t="s">
        <v>101</v>
      </c>
      <c r="C15" s="32" t="s">
        <v>45</v>
      </c>
      <c r="D15" s="32">
        <f>'Preise Output'!D28</f>
        <v>0</v>
      </c>
      <c r="E15" s="33">
        <f>$D15*INDEX(Produktpreise!$B$4:$S$26,MATCH(Kosten!$C15,Produktpreise!$C$4:$C$26,0),MATCH(Kosten!E$4,Produktpreise!$B$4:$S$4,0))</f>
        <v>0</v>
      </c>
      <c r="F15" s="33" t="e">
        <f>$D15*INDEX(Produktpreise!$B$4:$S$26,MATCH(Kosten!$C15,Produktpreise!$C$4:$C$26,0),MATCH(Kosten!F$4,Produktpreise!$B$4:$S$4,0))</f>
        <v>#N/A</v>
      </c>
      <c r="G15" s="33">
        <f>$D15*INDEX(Produktpreise!$B$4:$S$26,MATCH(Kosten!$C15,Produktpreise!$C$4:$C$26,0),MATCH(Kosten!G$4,Produktpreise!$B$4:$S$4,0))</f>
        <v>0</v>
      </c>
      <c r="H15" s="33" t="e">
        <f>$D15*INDEX(Produktpreise!$B$4:$S$26,MATCH(Kosten!$C15,Produktpreise!$C$4:$C$26,0),MATCH(Kosten!H$4,Produktpreise!$B$4:$S$4,0))</f>
        <v>#N/A</v>
      </c>
      <c r="I15" s="33">
        <f>$D15*INDEX(Produktpreise!$B$4:$S$26,MATCH(Kosten!$C15,Produktpreise!$C$4:$C$26,0),MATCH(Kosten!I$4,Produktpreise!$B$4:$S$4,0))</f>
        <v>0</v>
      </c>
      <c r="J15" s="33">
        <f>$D15*INDEX(Produktpreise!$B$4:$S$26,MATCH(Kosten!$C15,Produktpreise!$C$4:$C$26,0),MATCH(Kosten!J$4,Produktpreise!$B$4:$S$4,0))</f>
        <v>0</v>
      </c>
      <c r="K15" s="33"/>
      <c r="L15" s="33">
        <f>$D15*INDEX(Produktpreise!$B$4:$S$26,MATCH(Kosten!$C15,Produktpreise!$C$4:$C$26,0),MATCH(Kosten!L$4,Produktpreise!$B$4:$S$4,0))</f>
        <v>0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51">
        <f>'Preise Output'!I28</f>
        <v>0</v>
      </c>
      <c r="Q15" s="151" t="e">
        <f>F15*36+G15+E15</f>
        <v>#N/A</v>
      </c>
      <c r="R15" s="151" t="e">
        <f>H15+I15*2+J15*3+M15*3+N15</f>
        <v>#N/A</v>
      </c>
      <c r="S15" s="151">
        <f>'Preise Output'!L28</f>
        <v>0</v>
      </c>
      <c r="T15" s="151" t="e">
        <f t="shared" si="0"/>
        <v>#N/A</v>
      </c>
      <c r="U15" s="151" t="e">
        <f t="shared" si="1"/>
        <v>#N/A</v>
      </c>
    </row>
    <row r="16" spans="2:21" s="1" customFormat="1">
      <c r="B16" s="31" t="s">
        <v>101</v>
      </c>
      <c r="C16" s="32" t="s">
        <v>46</v>
      </c>
      <c r="D16" s="32">
        <f>'Preise Output'!D29</f>
        <v>0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51">
        <f>'Preise Output'!I29</f>
        <v>0</v>
      </c>
      <c r="Q16" s="151" t="e">
        <f>SUM(F16:G16)</f>
        <v>#N/A</v>
      </c>
      <c r="R16" s="151" t="e">
        <f t="shared" ref="R16:R26" si="10">H16+I16*2+J16*3+M16*3+N16</f>
        <v>#N/A</v>
      </c>
      <c r="S16" s="151">
        <f>'Preise Output'!L29</f>
        <v>0</v>
      </c>
      <c r="T16" s="151" t="e">
        <f t="shared" si="0"/>
        <v>#N/A</v>
      </c>
      <c r="U16" s="151" t="e">
        <f t="shared" si="1"/>
        <v>#N/A</v>
      </c>
    </row>
    <row r="17" spans="2:22" s="5" customFormat="1">
      <c r="B17" s="25" t="s">
        <v>102</v>
      </c>
      <c r="C17" s="25" t="s">
        <v>47</v>
      </c>
      <c r="D17" s="25">
        <f>'Preise Output'!D30</f>
        <v>0</v>
      </c>
      <c r="E17" s="26">
        <v>0</v>
      </c>
      <c r="F17" s="27" t="e">
        <f>$D17*INDEX(Produktpreise!$B$4:$S$26,MATCH(Kosten!$C17,Produktpreise!$C$4:$C$26,0),MATCH(Kosten!F$4,Produktpreise!$B$4:$S$4,0))</f>
        <v>#N/A</v>
      </c>
      <c r="G17" s="27" t="e">
        <f>$D17*INDEX(Produktpreise!$B$4:$S$26,MATCH(Kosten!$C17,Produktpreise!$C$4:$C$26,0),MATCH(Kosten!G$4,Produktpreise!$B$4:$S$4,0))</f>
        <v>#N/A</v>
      </c>
      <c r="H17" s="27" t="e">
        <f>$D17*INDEX(Produktpreise!$B$4:$S$26,MATCH(Kosten!$C17,Produktpreise!$C$4:$C$26,0),MATCH(Kosten!H$4,Produktpreise!$B$4:$S$4,0))</f>
        <v>#N/A</v>
      </c>
      <c r="I17" s="27" t="e">
        <f>$D17*INDEX(Produktpreise!$B$4:$S$26,MATCH(Kosten!$C17,Produktpreise!$C$4:$C$26,0),MATCH(Kosten!I$4,Produktpreise!$B$4:$S$4,0))</f>
        <v>#N/A</v>
      </c>
      <c r="J17" s="27" t="e">
        <f>$D17*INDEX(Produktpreise!$B$4:$S$26,MATCH(Kosten!$C17,Produktpreise!$C$4:$C$26,0),MATCH(Kosten!J$4,Produktpreise!$B$4:$S$4,0))</f>
        <v>#N/A</v>
      </c>
      <c r="K17" s="27"/>
      <c r="L17" s="27" t="e">
        <f>$D17*INDEX(Produktpreise!$B$4:$S$26,MATCH(Kosten!$C17,Produktpreise!$C$4:$C$26,0),MATCH(Kosten!L$4,Produktpreise!$B$4:$S$4,0))</f>
        <v>#N/A</v>
      </c>
      <c r="M17" s="27" t="e">
        <f>$D17*INDEX(Produktpreise!$B$4:$S$26,MATCH(Kosten!$C17,Produktpreise!$C$4:$C$26,0),MATCH(Kosten!M$4,Produktpreise!$B$4:$S$4,0))</f>
        <v>#N/A</v>
      </c>
      <c r="N17" s="27" t="e">
        <f>$D17*INDEX(Produktpreise!$B$4:$S$26,MATCH(Kosten!$C17,Produktpreise!$C$4:$C$26,0),MATCH(Kosten!N$4,Produktpreise!$B$4:$S$4,0))</f>
        <v>#N/A</v>
      </c>
      <c r="P17" s="151">
        <f>'Preise Output'!I30</f>
        <v>0</v>
      </c>
      <c r="Q17" s="151" t="e">
        <f t="shared" ref="Q17:Q26" si="11">F17*36+G17</f>
        <v>#N/A</v>
      </c>
      <c r="R17" s="151" t="e">
        <f t="shared" si="10"/>
        <v>#N/A</v>
      </c>
      <c r="S17" s="151">
        <f>'Preise Output'!L30</f>
        <v>0</v>
      </c>
      <c r="T17" s="151" t="e">
        <f t="shared" si="0"/>
        <v>#N/A</v>
      </c>
      <c r="U17" s="151" t="e">
        <f t="shared" si="1"/>
        <v>#N/A</v>
      </c>
    </row>
    <row r="18" spans="2:22" s="5" customFormat="1">
      <c r="B18" s="25" t="s">
        <v>102</v>
      </c>
      <c r="C18" s="25" t="s">
        <v>48</v>
      </c>
      <c r="D18" s="25">
        <f>'Preise Output'!D31</f>
        <v>0</v>
      </c>
      <c r="E18" s="26">
        <v>0</v>
      </c>
      <c r="F18" s="27" t="e">
        <f>$D18*INDEX(Produktpreise!$B$4:$S$26,MATCH(Kosten!$C18,Produktpreise!$C$4:$C$26,0),MATCH(Kosten!F$4,Produktpreise!$B$4:$S$4,0))</f>
        <v>#N/A</v>
      </c>
      <c r="G18" s="27" t="e">
        <f>$D18*INDEX(Produktpreise!$B$4:$S$26,MATCH(Kosten!$C18,Produktpreise!$C$4:$C$26,0),MATCH(Kosten!G$4,Produktpreise!$B$4:$S$4,0))</f>
        <v>#N/A</v>
      </c>
      <c r="H18" s="27" t="e">
        <f>$D18*INDEX(Produktpreise!$B$4:$S$26,MATCH(Kosten!$C18,Produktpreise!$C$4:$C$26,0),MATCH(Kosten!H$4,Produktpreise!$B$4:$S$4,0))</f>
        <v>#N/A</v>
      </c>
      <c r="I18" s="27" t="e">
        <f>$D18*INDEX(Produktpreise!$B$4:$S$26,MATCH(Kosten!$C18,Produktpreise!$C$4:$C$26,0),MATCH(Kosten!I$4,Produktpreise!$B$4:$S$4,0))</f>
        <v>#N/A</v>
      </c>
      <c r="J18" s="27" t="e">
        <f>$D18*INDEX(Produktpreise!$B$4:$S$26,MATCH(Kosten!$C18,Produktpreise!$C$4:$C$26,0),MATCH(Kosten!J$4,Produktpreise!$B$4:$S$4,0))</f>
        <v>#N/A</v>
      </c>
      <c r="K18" s="27"/>
      <c r="L18" s="27" t="e">
        <f>$D18*INDEX(Produktpreise!$B$4:$S$26,MATCH(Kosten!$C18,Produktpreise!$C$4:$C$26,0),MATCH(Kosten!L$4,Produktpreise!$B$4:$S$4,0))</f>
        <v>#N/A</v>
      </c>
      <c r="M18" s="27" t="e">
        <f>$D18*INDEX(Produktpreise!$B$4:$S$26,MATCH(Kosten!$C18,Produktpreise!$C$4:$C$26,0),MATCH(Kosten!M$4,Produktpreise!$B$4:$S$4,0))</f>
        <v>#N/A</v>
      </c>
      <c r="N18" s="27" t="e">
        <f>$D18*INDEX(Produktpreise!$B$4:$S$26,MATCH(Kosten!$C18,Produktpreise!$C$4:$C$26,0),MATCH(Kosten!N$4,Produktpreise!$B$4:$S$4,0))</f>
        <v>#N/A</v>
      </c>
      <c r="P18" s="151">
        <f>'Preise Output'!I31</f>
        <v>0</v>
      </c>
      <c r="Q18" s="151" t="e">
        <f t="shared" si="11"/>
        <v>#N/A</v>
      </c>
      <c r="R18" s="151" t="e">
        <f t="shared" si="10"/>
        <v>#N/A</v>
      </c>
      <c r="S18" s="151">
        <f>'Preise Output'!L31</f>
        <v>0</v>
      </c>
      <c r="T18" s="151" t="e">
        <f t="shared" si="0"/>
        <v>#N/A</v>
      </c>
      <c r="U18" s="151" t="e">
        <f t="shared" si="1"/>
        <v>#N/A</v>
      </c>
    </row>
    <row r="19" spans="2:22" s="5" customFormat="1">
      <c r="B19" s="25" t="s">
        <v>102</v>
      </c>
      <c r="C19" s="25" t="s">
        <v>49</v>
      </c>
      <c r="D19" s="25">
        <f>'Preise Output'!D32</f>
        <v>0</v>
      </c>
      <c r="E19" s="26">
        <v>0</v>
      </c>
      <c r="F19" s="27" t="e">
        <f>$D19*INDEX(Produktpreise!$B$4:$S$26,MATCH(Kosten!$C19,Produktpreise!$C$4:$C$26,0),MATCH(Kosten!F$4,Produktpreise!$B$4:$S$4,0))</f>
        <v>#N/A</v>
      </c>
      <c r="G19" s="27" t="e">
        <f>$D19*INDEX(Produktpreise!$B$4:$S$26,MATCH(Kosten!$C19,Produktpreise!$C$4:$C$26,0),MATCH(Kosten!G$4,Produktpreise!$B$4:$S$4,0))</f>
        <v>#N/A</v>
      </c>
      <c r="H19" s="27" t="e">
        <f>$D19*INDEX(Produktpreise!$B$4:$S$26,MATCH(Kosten!$C19,Produktpreise!$C$4:$C$26,0),MATCH(Kosten!H$4,Produktpreise!$B$4:$S$4,0))</f>
        <v>#N/A</v>
      </c>
      <c r="I19" s="27" t="e">
        <f>$D19*INDEX(Produktpreise!$B$4:$S$26,MATCH(Kosten!$C19,Produktpreise!$C$4:$C$26,0),MATCH(Kosten!I$4,Produktpreise!$B$4:$S$4,0))</f>
        <v>#N/A</v>
      </c>
      <c r="J19" s="27" t="e">
        <f>$D19*INDEX(Produktpreise!$B$4:$S$26,MATCH(Kosten!$C19,Produktpreise!$C$4:$C$26,0),MATCH(Kosten!J$4,Produktpreise!$B$4:$S$4,0))</f>
        <v>#N/A</v>
      </c>
      <c r="K19" s="27"/>
      <c r="L19" s="27" t="e">
        <f>$D19*INDEX(Produktpreise!$B$4:$S$26,MATCH(Kosten!$C19,Produktpreise!$C$4:$C$26,0),MATCH(Kosten!L$4,Produktpreise!$B$4:$S$4,0))</f>
        <v>#N/A</v>
      </c>
      <c r="M19" s="27" t="e">
        <f>$D19*INDEX(Produktpreise!$B$4:$S$26,MATCH(Kosten!$C19,Produktpreise!$C$4:$C$26,0),MATCH(Kosten!M$4,Produktpreise!$B$4:$S$4,0))</f>
        <v>#N/A</v>
      </c>
      <c r="N19" s="27" t="e">
        <f>$D19*INDEX(Produktpreise!$B$4:$S$26,MATCH(Kosten!$C19,Produktpreise!$C$4:$C$26,0),MATCH(Kosten!N$4,Produktpreise!$B$4:$S$4,0))</f>
        <v>#N/A</v>
      </c>
      <c r="P19" s="151">
        <f>'Preise Output'!I32</f>
        <v>0</v>
      </c>
      <c r="Q19" s="151" t="e">
        <f t="shared" si="11"/>
        <v>#N/A</v>
      </c>
      <c r="R19" s="151" t="e">
        <f t="shared" si="10"/>
        <v>#N/A</v>
      </c>
      <c r="S19" s="151">
        <f>'Preise Output'!L32</f>
        <v>0</v>
      </c>
      <c r="T19" s="151" t="e">
        <f t="shared" si="0"/>
        <v>#N/A</v>
      </c>
      <c r="U19" s="151" t="e">
        <f t="shared" si="1"/>
        <v>#N/A</v>
      </c>
    </row>
    <row r="20" spans="2:22" s="5" customFormat="1">
      <c r="B20" s="25" t="s">
        <v>102</v>
      </c>
      <c r="C20" s="25" t="s">
        <v>50</v>
      </c>
      <c r="D20" s="25">
        <f>'Preise Output'!D33</f>
        <v>0</v>
      </c>
      <c r="E20" s="26">
        <v>0</v>
      </c>
      <c r="F20" s="27" t="e">
        <f>$D20*INDEX(Produktpreise!$B$4:$S$26,MATCH(Kosten!$C20,Produktpreise!$C$4:$C$26,0),MATCH(Kosten!F$4,Produktpreise!$B$4:$S$4,0))</f>
        <v>#N/A</v>
      </c>
      <c r="G20" s="27" t="e">
        <f>$D20*INDEX(Produktpreise!$B$4:$S$26,MATCH(Kosten!$C20,Produktpreise!$C$4:$C$26,0),MATCH(Kosten!G$4,Produktpreise!$B$4:$S$4,0))</f>
        <v>#N/A</v>
      </c>
      <c r="H20" s="27" t="e">
        <f>$D20*INDEX(Produktpreise!$B$4:$S$26,MATCH(Kosten!$C20,Produktpreise!$C$4:$C$26,0),MATCH(Kosten!H$4,Produktpreise!$B$4:$S$4,0))</f>
        <v>#N/A</v>
      </c>
      <c r="I20" s="27" t="e">
        <f>$D20*INDEX(Produktpreise!$B$4:$S$26,MATCH(Kosten!$C20,Produktpreise!$C$4:$C$26,0),MATCH(Kosten!I$4,Produktpreise!$B$4:$S$4,0))</f>
        <v>#N/A</v>
      </c>
      <c r="J20" s="27" t="e">
        <f>$D20*INDEX(Produktpreise!$B$4:$S$26,MATCH(Kosten!$C20,Produktpreise!$C$4:$C$26,0),MATCH(Kosten!J$4,Produktpreise!$B$4:$S$4,0))</f>
        <v>#N/A</v>
      </c>
      <c r="K20" s="27"/>
      <c r="L20" s="27" t="e">
        <f>$D20*INDEX(Produktpreise!$B$4:$S$26,MATCH(Kosten!$C20,Produktpreise!$C$4:$C$26,0),MATCH(Kosten!L$4,Produktpreise!$B$4:$S$4,0))</f>
        <v>#N/A</v>
      </c>
      <c r="M20" s="27" t="e">
        <f>$D20*INDEX(Produktpreise!$B$4:$S$26,MATCH(Kosten!$C20,Produktpreise!$C$4:$C$26,0),MATCH(Kosten!M$4,Produktpreise!$B$4:$S$4,0))</f>
        <v>#N/A</v>
      </c>
      <c r="N20" s="27" t="e">
        <f>$D20*INDEX(Produktpreise!$B$4:$S$26,MATCH(Kosten!$C20,Produktpreise!$C$4:$C$26,0),MATCH(Kosten!N$4,Produktpreise!$B$4:$S$4,0))</f>
        <v>#N/A</v>
      </c>
      <c r="P20" s="151">
        <f>'Preise Output'!I33</f>
        <v>0</v>
      </c>
      <c r="Q20" s="151" t="e">
        <f t="shared" si="11"/>
        <v>#N/A</v>
      </c>
      <c r="R20" s="151" t="e">
        <f t="shared" si="10"/>
        <v>#N/A</v>
      </c>
      <c r="S20" s="151">
        <f>'Preise Output'!L33</f>
        <v>0</v>
      </c>
      <c r="T20" s="151" t="e">
        <f t="shared" si="0"/>
        <v>#N/A</v>
      </c>
      <c r="U20" s="151" t="e">
        <f t="shared" si="1"/>
        <v>#N/A</v>
      </c>
    </row>
    <row r="21" spans="2:22" s="5" customFormat="1">
      <c r="B21" s="25" t="s">
        <v>102</v>
      </c>
      <c r="C21" s="25" t="s">
        <v>51</v>
      </c>
      <c r="D21" s="25">
        <f>'Preise Output'!D34</f>
        <v>0</v>
      </c>
      <c r="E21" s="26">
        <v>0</v>
      </c>
      <c r="F21" s="27" t="e">
        <f>$D21*INDEX(Produktpreise!$B$4:$S$26,MATCH(Kosten!$C21,Produktpreise!$C$4:$C$26,0),MATCH(Kosten!F$4,Produktpreise!$B$4:$S$4,0))</f>
        <v>#N/A</v>
      </c>
      <c r="G21" s="27" t="e">
        <f>$D21*INDEX(Produktpreise!$B$4:$S$26,MATCH(Kosten!$C21,Produktpreise!$C$4:$C$26,0),MATCH(Kosten!G$4,Produktpreise!$B$4:$S$4,0))</f>
        <v>#N/A</v>
      </c>
      <c r="H21" s="27" t="e">
        <f>$D21*INDEX(Produktpreise!$B$4:$S$26,MATCH(Kosten!$C21,Produktpreise!$C$4:$C$26,0),MATCH(Kosten!H$4,Produktpreise!$B$4:$S$4,0))</f>
        <v>#N/A</v>
      </c>
      <c r="I21" s="27" t="e">
        <f>$D21*INDEX(Produktpreise!$B$4:$S$26,MATCH(Kosten!$C21,Produktpreise!$C$4:$C$26,0),MATCH(Kosten!I$4,Produktpreise!$B$4:$S$4,0))</f>
        <v>#N/A</v>
      </c>
      <c r="J21" s="27" t="e">
        <f>$D21*INDEX(Produktpreise!$B$4:$S$26,MATCH(Kosten!$C21,Produktpreise!$C$4:$C$26,0),MATCH(Kosten!J$4,Produktpreise!$B$4:$S$4,0))</f>
        <v>#N/A</v>
      </c>
      <c r="K21" s="27"/>
      <c r="L21" s="27" t="e">
        <f>$D21*INDEX(Produktpreise!$B$4:$S$26,MATCH(Kosten!$C21,Produktpreise!$C$4:$C$26,0),MATCH(Kosten!L$4,Produktpreise!$B$4:$S$4,0))</f>
        <v>#N/A</v>
      </c>
      <c r="M21" s="27" t="e">
        <f>$D21*INDEX(Produktpreise!$B$4:$S$26,MATCH(Kosten!$C21,Produktpreise!$C$4:$C$26,0),MATCH(Kosten!M$4,Produktpreise!$B$4:$S$4,0))</f>
        <v>#N/A</v>
      </c>
      <c r="N21" s="27" t="e">
        <f>$D21*INDEX(Produktpreise!$B$4:$S$26,MATCH(Kosten!$C21,Produktpreise!$C$4:$C$26,0),MATCH(Kosten!N$4,Produktpreise!$B$4:$S$4,0))</f>
        <v>#N/A</v>
      </c>
      <c r="P21" s="151">
        <f>'Preise Output'!I34</f>
        <v>0</v>
      </c>
      <c r="Q21" s="151" t="e">
        <f t="shared" si="11"/>
        <v>#N/A</v>
      </c>
      <c r="R21" s="151" t="e">
        <f t="shared" si="10"/>
        <v>#N/A</v>
      </c>
      <c r="S21" s="151">
        <f>'Preise Output'!L34</f>
        <v>0</v>
      </c>
      <c r="T21" s="151" t="e">
        <f t="shared" si="0"/>
        <v>#N/A</v>
      </c>
      <c r="U21" s="151" t="e">
        <f t="shared" si="1"/>
        <v>#N/A</v>
      </c>
    </row>
    <row r="22" spans="2:22" s="5" customFormat="1">
      <c r="B22" s="25" t="s">
        <v>102</v>
      </c>
      <c r="C22" s="25" t="s">
        <v>52</v>
      </c>
      <c r="D22" s="25">
        <f>'Preise Output'!D35</f>
        <v>0</v>
      </c>
      <c r="E22" s="26"/>
      <c r="F22" s="27" t="e">
        <f>$D22*INDEX(Produktpreise!$B$4:$S$26,MATCH(Kosten!$C22,Produktpreise!$C$4:$C$26,0),MATCH(Kosten!F$4,Produktpreise!$B$4:$S$4,0))</f>
        <v>#N/A</v>
      </c>
      <c r="G22" s="27" t="e">
        <f>$D22*INDEX(Produktpreise!$B$4:$S$26,MATCH(Kosten!$C22,Produktpreise!$C$4:$C$26,0),MATCH(Kosten!G$4,Produktpreise!$B$4:$S$4,0))</f>
        <v>#N/A</v>
      </c>
      <c r="H22" s="27" t="e">
        <f>$D22*INDEX(Produktpreise!$B$4:$S$26,MATCH(Kosten!$C22,Produktpreise!$C$4:$C$26,0),MATCH(Kosten!H$4,Produktpreise!$B$4:$S$4,0))</f>
        <v>#N/A</v>
      </c>
      <c r="I22" s="27" t="e">
        <f>$D22*INDEX(Produktpreise!$B$4:$S$26,MATCH(Kosten!$C22,Produktpreise!$C$4:$C$26,0),MATCH(Kosten!I$4,Produktpreise!$B$4:$S$4,0))</f>
        <v>#N/A</v>
      </c>
      <c r="J22" s="27" t="e">
        <f>$D22*INDEX(Produktpreise!$B$4:$S$26,MATCH(Kosten!$C22,Produktpreise!$C$4:$C$26,0),MATCH(Kosten!J$4,Produktpreise!$B$4:$S$4,0))</f>
        <v>#N/A</v>
      </c>
      <c r="K22" s="27"/>
      <c r="L22" s="27" t="e">
        <f>$D22*INDEX(Produktpreise!$B$4:$S$26,MATCH(Kosten!$C22,Produktpreise!$C$4:$C$26,0),MATCH(Kosten!L$4,Produktpreise!$B$4:$S$4,0))</f>
        <v>#N/A</v>
      </c>
      <c r="M22" s="27" t="e">
        <f>$D22*INDEX(Produktpreise!$B$4:$S$26,MATCH(Kosten!$C22,Produktpreise!$C$4:$C$26,0),MATCH(Kosten!M$4,Produktpreise!$B$4:$S$4,0))</f>
        <v>#N/A</v>
      </c>
      <c r="N22" s="27" t="e">
        <f>$D22*INDEX(Produktpreise!$B$4:$S$26,MATCH(Kosten!$C22,Produktpreise!$C$4:$C$26,0),MATCH(Kosten!N$4,Produktpreise!$B$4:$S$4,0))</f>
        <v>#N/A</v>
      </c>
      <c r="P22" s="151">
        <f>'Preise Output'!I35</f>
        <v>0</v>
      </c>
      <c r="Q22" s="151" t="e">
        <f t="shared" si="11"/>
        <v>#N/A</v>
      </c>
      <c r="R22" s="151" t="e">
        <f t="shared" si="10"/>
        <v>#N/A</v>
      </c>
      <c r="S22" s="151">
        <f>'Preise Output'!L35</f>
        <v>0</v>
      </c>
      <c r="T22" s="151" t="e">
        <f t="shared" si="0"/>
        <v>#N/A</v>
      </c>
      <c r="U22" s="151" t="e">
        <f t="shared" si="1"/>
        <v>#N/A</v>
      </c>
    </row>
    <row r="23" spans="2:22" s="5" customFormat="1">
      <c r="B23" s="19" t="s">
        <v>100</v>
      </c>
      <c r="C23" s="19" t="s">
        <v>53</v>
      </c>
      <c r="D23" s="19">
        <f>'Preise Output'!D36</f>
        <v>0</v>
      </c>
      <c r="E23" s="21"/>
      <c r="F23" s="22" t="e">
        <f>$D23*INDEX(Produktpreise!$B$4:$S$26,MATCH(Kosten!$C23,Produktpreise!$C$4:$C$26,0),MATCH(Kosten!F$4,Produktpreise!$B$4:$S$4,0))</f>
        <v>#N/A</v>
      </c>
      <c r="G23" s="22" t="e">
        <f>$D23*INDEX(Produktpreise!$B$4:$S$26,MATCH(Kosten!$C23,Produktpreise!$C$4:$C$26,0),MATCH(Kosten!G$4,Produktpreise!$B$4:$S$4,0))</f>
        <v>#N/A</v>
      </c>
      <c r="H23" s="22" t="e">
        <f>$D23*INDEX(Produktpreise!$B$4:$S$26,MATCH(Kosten!$C23,Produktpreise!$C$4:$C$26,0),MATCH(Kosten!H$4,Produktpreise!$B$4:$S$4,0))</f>
        <v>#N/A</v>
      </c>
      <c r="I23" s="22" t="e">
        <f>$D23*INDEX(Produktpreise!$B$4:$S$26,MATCH(Kosten!$C23,Produktpreise!$C$4:$C$26,0),MATCH(Kosten!I$4,Produktpreise!$B$4:$S$4,0))</f>
        <v>#N/A</v>
      </c>
      <c r="J23" s="22" t="e">
        <f>$D23*INDEX(Produktpreise!$B$4:$S$26,MATCH(Kosten!$C23,Produktpreise!$C$4:$C$26,0),MATCH(Kosten!J$4,Produktpreise!$B$4:$S$4,0))</f>
        <v>#N/A</v>
      </c>
      <c r="K23" s="22" t="e">
        <f>$D23*INDEX(Produktpreise!$B$4:$S$26,MATCH(Kosten!$C23,Produktpreise!$C$4:$C$26,0),MATCH(Kosten!K$4,Produktpreise!$B$4:$S$4,0))</f>
        <v>#N/A</v>
      </c>
      <c r="L23" s="22" t="e">
        <f>$D23*INDEX(Produktpreise!$B$4:$S$26,MATCH(Kosten!$C23,Produktpreise!$C$4:$C$26,0),MATCH(Kosten!L$4,Produktpreise!$B$4:$S$4,0))</f>
        <v>#N/A</v>
      </c>
      <c r="M23" s="22" t="e">
        <f>$D23*INDEX(Produktpreise!$B$4:$S$26,MATCH(Kosten!$C23,Produktpreise!$C$4:$C$26,0),MATCH(Kosten!M$4,Produktpreise!$B$4:$S$4,0))</f>
        <v>#N/A</v>
      </c>
      <c r="N23" s="22" t="e">
        <f>$D23*INDEX(Produktpreise!$B$4:$S$26,MATCH(Kosten!$C23,Produktpreise!$C$4:$C$26,0),MATCH(Kosten!N$4,Produktpreise!$B$4:$S$4,0))</f>
        <v>#N/A</v>
      </c>
      <c r="P23" s="151">
        <f>'Preise Output'!I36</f>
        <v>0</v>
      </c>
      <c r="Q23" s="151" t="e">
        <f t="shared" ref="Q23:Q24" si="12">SUM(F23:G23)</f>
        <v>#N/A</v>
      </c>
      <c r="R23" s="151" t="e">
        <f>H23+I23*2+J23*3+M23*3+N23+L23*3+K23*3</f>
        <v>#N/A</v>
      </c>
      <c r="S23" s="151">
        <f>'Preise Output'!L36</f>
        <v>0</v>
      </c>
      <c r="T23" s="151" t="e">
        <f t="shared" si="0"/>
        <v>#N/A</v>
      </c>
      <c r="U23" s="151" t="e">
        <f t="shared" si="1"/>
        <v>#N/A</v>
      </c>
    </row>
    <row r="24" spans="2:22" s="5" customFormat="1">
      <c r="B24" s="19" t="s">
        <v>100</v>
      </c>
      <c r="C24" s="19" t="s">
        <v>54</v>
      </c>
      <c r="D24" s="19">
        <f>'Preise Output'!D37</f>
        <v>0</v>
      </c>
      <c r="E24" s="21"/>
      <c r="F24" s="22" t="e">
        <f>$D24*INDEX(Produktpreise!$B$4:$S$26,MATCH(Kosten!$C24,Produktpreise!$C$4:$C$26,0),MATCH(Kosten!F$4,Produktpreise!$B$4:$S$4,0))</f>
        <v>#N/A</v>
      </c>
      <c r="G24" s="22" t="e">
        <f>$D24*INDEX(Produktpreise!$B$4:$S$26,MATCH(Kosten!$C24,Produktpreise!$C$4:$C$26,0),MATCH(Kosten!G$4,Produktpreise!$B$4:$S$4,0))</f>
        <v>#N/A</v>
      </c>
      <c r="H24" s="22" t="e">
        <f>$D24*INDEX(Produktpreise!$B$4:$S$26,MATCH(Kosten!$C24,Produktpreise!$C$4:$C$26,0),MATCH(Kosten!H$4,Produktpreise!$B$4:$S$4,0))</f>
        <v>#N/A</v>
      </c>
      <c r="I24" s="22" t="e">
        <f>$D24*INDEX(Produktpreise!$B$4:$S$26,MATCH(Kosten!$C24,Produktpreise!$C$4:$C$26,0),MATCH(Kosten!I$4,Produktpreise!$B$4:$S$4,0))</f>
        <v>#N/A</v>
      </c>
      <c r="J24" s="22" t="e">
        <f>$D24*INDEX(Produktpreise!$B$4:$S$26,MATCH(Kosten!$C24,Produktpreise!$C$4:$C$26,0),MATCH(Kosten!J$4,Produktpreise!$B$4:$S$4,0))</f>
        <v>#N/A</v>
      </c>
      <c r="K24" s="22" t="e">
        <f>$D24*INDEX(Produktpreise!$B$4:$S$26,MATCH(Kosten!$C24,Produktpreise!$C$4:$C$26,0),MATCH(Kosten!K$4,Produktpreise!$B$4:$S$4,0))</f>
        <v>#N/A</v>
      </c>
      <c r="L24" s="22" t="e">
        <f>$D24*INDEX(Produktpreise!$B$4:$S$26,MATCH(Kosten!$C24,Produktpreise!$C$4:$C$26,0),MATCH(Kosten!L$4,Produktpreise!$B$4:$S$4,0))</f>
        <v>#N/A</v>
      </c>
      <c r="M24" s="22" t="e">
        <f>$D24*INDEX(Produktpreise!$B$4:$S$26,MATCH(Kosten!$C24,Produktpreise!$C$4:$C$26,0),MATCH(Kosten!M$4,Produktpreise!$B$4:$S$4,0))</f>
        <v>#N/A</v>
      </c>
      <c r="N24" s="22" t="e">
        <f>$D24*INDEX(Produktpreise!$B$4:$S$26,MATCH(Kosten!$C24,Produktpreise!$C$4:$C$26,0),MATCH(Kosten!N$4,Produktpreise!$B$4:$S$4,0))</f>
        <v>#N/A</v>
      </c>
      <c r="P24" s="151">
        <f>'Preise Output'!I37</f>
        <v>0</v>
      </c>
      <c r="Q24" s="151" t="e">
        <f t="shared" si="12"/>
        <v>#N/A</v>
      </c>
      <c r="R24" s="151" t="e">
        <f>H24+I24*2+J24*3+M24*3+N24+L24*3+K24*3</f>
        <v>#N/A</v>
      </c>
      <c r="S24" s="151">
        <f>'Preise Output'!L37</f>
        <v>0</v>
      </c>
      <c r="T24" s="151" t="e">
        <f t="shared" si="0"/>
        <v>#N/A</v>
      </c>
      <c r="U24" s="151" t="e">
        <f t="shared" si="1"/>
        <v>#N/A</v>
      </c>
    </row>
    <row r="25" spans="2:22" s="5" customFormat="1">
      <c r="B25" s="25" t="s">
        <v>102</v>
      </c>
      <c r="C25" s="25" t="s">
        <v>55</v>
      </c>
      <c r="D25" s="25">
        <f>'Preise Output'!D38</f>
        <v>0</v>
      </c>
      <c r="E25" s="26"/>
      <c r="F25" s="27" t="e">
        <f>$D25*INDEX(Produktpreise!$B$4:$S$26,MATCH(Kosten!$C25,Produktpreise!$C$4:$C$26,0),MATCH(Kosten!F$4,Produktpreise!$B$4:$S$4,0))</f>
        <v>#N/A</v>
      </c>
      <c r="G25" s="27" t="e">
        <f>$D25*INDEX(Produktpreise!$B$4:$S$26,MATCH(Kosten!$C25,Produktpreise!$C$4:$C$26,0),MATCH(Kosten!G$4,Produktpreise!$B$4:$S$4,0))</f>
        <v>#N/A</v>
      </c>
      <c r="H25" s="27" t="e">
        <f>$D25*INDEX(Produktpreise!$B$4:$S$26,MATCH(Kosten!$C25,Produktpreise!$C$4:$C$26,0),MATCH(Kosten!H$4,Produktpreise!$B$4:$S$4,0))</f>
        <v>#N/A</v>
      </c>
      <c r="I25" s="27" t="e">
        <f>$D25*INDEX(Produktpreise!$B$4:$S$26,MATCH(Kosten!$C25,Produktpreise!$C$4:$C$26,0),MATCH(Kosten!I$4,Produktpreise!$B$4:$S$4,0))</f>
        <v>#N/A</v>
      </c>
      <c r="J25" s="27" t="e">
        <f>$D25*INDEX(Produktpreise!$B$4:$S$26,MATCH(Kosten!$C25,Produktpreise!$C$4:$C$26,0),MATCH(Kosten!J$4,Produktpreise!$B$4:$S$4,0))</f>
        <v>#N/A</v>
      </c>
      <c r="K25" s="27"/>
      <c r="L25" s="27" t="e">
        <f>$D25*INDEX(Produktpreise!$B$4:$S$26,MATCH(Kosten!$C25,Produktpreise!$C$4:$C$26,0),MATCH(Kosten!L$4,Produktpreise!$B$4:$S$4,0))</f>
        <v>#N/A</v>
      </c>
      <c r="M25" s="27" t="e">
        <f>$D25*INDEX(Produktpreise!$B$4:$S$26,MATCH(Kosten!$C25,Produktpreise!$C$4:$C$26,0),MATCH(Kosten!M$4,Produktpreise!$B$4:$S$4,0))</f>
        <v>#N/A</v>
      </c>
      <c r="N25" s="27" t="e">
        <f>$D25*INDEX(Produktpreise!$B$4:$S$26,MATCH(Kosten!$C25,Produktpreise!$C$4:$C$26,0),MATCH(Kosten!N$4,Produktpreise!$B$4:$S$4,0))</f>
        <v>#N/A</v>
      </c>
      <c r="P25" s="151">
        <f>'Preise Output'!I38</f>
        <v>0</v>
      </c>
      <c r="Q25" s="151" t="e">
        <f t="shared" si="11"/>
        <v>#N/A</v>
      </c>
      <c r="R25" s="151" t="e">
        <f t="shared" si="10"/>
        <v>#N/A</v>
      </c>
      <c r="S25" s="151">
        <f>'Preise Output'!L38</f>
        <v>0</v>
      </c>
      <c r="T25" s="151" t="e">
        <f t="shared" si="0"/>
        <v>#N/A</v>
      </c>
      <c r="U25" s="151" t="e">
        <f t="shared" si="1"/>
        <v>#N/A</v>
      </c>
    </row>
    <row r="26" spans="2:22" s="5" customFormat="1">
      <c r="B26" s="25" t="s">
        <v>102</v>
      </c>
      <c r="C26" s="25" t="s">
        <v>55</v>
      </c>
      <c r="D26" s="25">
        <f>'Preise Output'!D39</f>
        <v>0</v>
      </c>
      <c r="E26" s="26"/>
      <c r="F26" s="27" t="e">
        <f>$D26*INDEX(Produktpreise!$B$4:$S$26,MATCH(Kosten!$C26,Produktpreise!$C$4:$C$26,0),MATCH(Kosten!F$4,Produktpreise!$B$4:$S$4,0))</f>
        <v>#N/A</v>
      </c>
      <c r="G26" s="27" t="e">
        <f>$D26*INDEX(Produktpreise!$B$4:$S$26,MATCH(Kosten!$C26,Produktpreise!$C$4:$C$26,0),MATCH(Kosten!G$4,Produktpreise!$B$4:$S$4,0))</f>
        <v>#N/A</v>
      </c>
      <c r="H26" s="27" t="e">
        <f>$D26*INDEX(Produktpreise!$B$4:$S$26,MATCH(Kosten!$C26,Produktpreise!$C$4:$C$26,0),MATCH(Kosten!H$4,Produktpreise!$B$4:$S$4,0))</f>
        <v>#N/A</v>
      </c>
      <c r="I26" s="27" t="e">
        <f>$D26*INDEX(Produktpreise!$B$4:$S$26,MATCH(Kosten!$C26,Produktpreise!$C$4:$C$26,0),MATCH(Kosten!I$4,Produktpreise!$B$4:$S$4,0))</f>
        <v>#N/A</v>
      </c>
      <c r="J26" s="27" t="e">
        <f>$D26*INDEX(Produktpreise!$B$4:$S$26,MATCH(Kosten!$C26,Produktpreise!$C$4:$C$26,0),MATCH(Kosten!J$4,Produktpreise!$B$4:$S$4,0))</f>
        <v>#N/A</v>
      </c>
      <c r="K26" s="27"/>
      <c r="L26" s="27" t="e">
        <f>$D26*INDEX(Produktpreise!$B$4:$S$26,MATCH(Kosten!$C26,Produktpreise!$C$4:$C$26,0),MATCH(Kosten!L$4,Produktpreise!$B$4:$S$4,0))</f>
        <v>#N/A</v>
      </c>
      <c r="M26" s="27" t="e">
        <f>$D26*INDEX(Produktpreise!$B$4:$S$26,MATCH(Kosten!$C26,Produktpreise!$C$4:$C$26,0),MATCH(Kosten!M$4,Produktpreise!$B$4:$S$4,0))</f>
        <v>#N/A</v>
      </c>
      <c r="N26" s="27" t="e">
        <f>$D26*INDEX(Produktpreise!$B$4:$S$26,MATCH(Kosten!$C26,Produktpreise!$C$4:$C$26,0),MATCH(Kosten!N$4,Produktpreise!$B$4:$S$4,0))</f>
        <v>#N/A</v>
      </c>
      <c r="P26" s="151">
        <f>'Preise Output'!I39</f>
        <v>0</v>
      </c>
      <c r="Q26" s="151" t="e">
        <f t="shared" si="11"/>
        <v>#N/A</v>
      </c>
      <c r="R26" s="151" t="e">
        <f t="shared" si="10"/>
        <v>#N/A</v>
      </c>
      <c r="S26" s="151">
        <f>'Preise Output'!L39</f>
        <v>0</v>
      </c>
      <c r="T26" s="151" t="e">
        <f t="shared" si="0"/>
        <v>#N/A</v>
      </c>
      <c r="U26" s="151" t="e">
        <f t="shared" si="1"/>
        <v>#N/A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52">
        <f>SUM(P5:P26)</f>
        <v>42714</v>
      </c>
      <c r="Q27" s="152" t="e">
        <f>SUM(Q5:Q26)</f>
        <v>#N/A</v>
      </c>
      <c r="R27" s="152" t="e">
        <f>SUM(R5:R26)</f>
        <v>#N/A</v>
      </c>
      <c r="S27" s="152">
        <f>SUM(S5:S26)</f>
        <v>8118.9075630252082</v>
      </c>
      <c r="T27" s="153" t="e">
        <f t="shared" si="0"/>
        <v>#N/A</v>
      </c>
      <c r="U27" s="153" t="e">
        <f t="shared" si="1"/>
        <v>#N/A</v>
      </c>
      <c r="V27" s="155" t="e">
        <f>U27/P27</f>
        <v>#N/A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54">
        <f t="shared" ref="P28:U28" si="13">ROUND(P27,-3)</f>
        <v>43000</v>
      </c>
      <c r="Q28" s="154" t="e">
        <f t="shared" si="13"/>
        <v>#N/A</v>
      </c>
      <c r="R28" s="154" t="e">
        <f t="shared" si="13"/>
        <v>#N/A</v>
      </c>
      <c r="S28" s="154">
        <f t="shared" si="13"/>
        <v>8000</v>
      </c>
      <c r="T28" s="154" t="e">
        <f t="shared" si="13"/>
        <v>#N/A</v>
      </c>
      <c r="U28" s="154" t="e">
        <f t="shared" si="13"/>
        <v>#N/A</v>
      </c>
      <c r="V28" s="154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K23"/>
  <sheetViews>
    <sheetView showGridLines="0" topLeftCell="A10" workbookViewId="0">
      <selection activeCell="D47" sqref="D47"/>
    </sheetView>
  </sheetViews>
  <sheetFormatPr baseColWidth="10" defaultColWidth="10.7265625" defaultRowHeight="14.5"/>
  <cols>
    <col min="1" max="1" width="6.26953125" customWidth="1"/>
    <col min="2" max="2" width="23.7265625" bestFit="1" customWidth="1"/>
    <col min="3" max="3" width="18.453125" customWidth="1"/>
    <col min="4" max="4" width="17.453125" customWidth="1"/>
    <col min="6" max="6" width="26.7265625" customWidth="1"/>
    <col min="7" max="7" width="12.7265625" customWidth="1"/>
    <col min="8" max="8" width="11.54296875" bestFit="1" customWidth="1"/>
    <col min="9" max="9" width="23.7265625" bestFit="1" customWidth="1"/>
    <col min="10" max="10" width="11.54296875" bestFit="1" customWidth="1"/>
    <col min="11" max="11" width="12.54296875" bestFit="1" customWidth="1"/>
    <col min="13" max="13" width="28.7265625" customWidth="1"/>
    <col min="14" max="14" width="12" bestFit="1" customWidth="1"/>
  </cols>
  <sheetData>
    <row r="4" spans="2:3">
      <c r="B4" s="8" t="s">
        <v>168</v>
      </c>
      <c r="C4" s="8" t="s">
        <v>169</v>
      </c>
    </row>
    <row r="5" spans="2:3">
      <c r="B5" s="3" t="s">
        <v>170</v>
      </c>
      <c r="C5" s="4">
        <v>0</v>
      </c>
    </row>
    <row r="6" spans="2:3">
      <c r="B6" s="3" t="s">
        <v>171</v>
      </c>
      <c r="C6" s="4">
        <v>0</v>
      </c>
    </row>
    <row r="7" spans="2:3">
      <c r="B7" s="3" t="s">
        <v>172</v>
      </c>
      <c r="C7" s="4">
        <v>0</v>
      </c>
    </row>
    <row r="8" spans="2:3">
      <c r="B8" s="3" t="s">
        <v>173</v>
      </c>
      <c r="C8" s="4">
        <v>0</v>
      </c>
    </row>
    <row r="9" spans="2:3">
      <c r="B9" s="3" t="s">
        <v>174</v>
      </c>
      <c r="C9" s="4">
        <v>0</v>
      </c>
    </row>
    <row r="11" spans="2:3">
      <c r="B11" s="8" t="s">
        <v>175</v>
      </c>
      <c r="C11" s="8" t="s">
        <v>169</v>
      </c>
    </row>
    <row r="12" spans="2:3">
      <c r="B12" s="3" t="s">
        <v>176</v>
      </c>
      <c r="C12" s="4">
        <v>0</v>
      </c>
    </row>
    <row r="13" spans="2:3">
      <c r="B13" s="3" t="s">
        <v>177</v>
      </c>
      <c r="C13" s="4">
        <v>0</v>
      </c>
    </row>
    <row r="14" spans="2:3">
      <c r="B14" s="3" t="s">
        <v>178</v>
      </c>
      <c r="C14" s="4">
        <v>0.05</v>
      </c>
    </row>
    <row r="15" spans="2:3">
      <c r="B15" s="3" t="s">
        <v>179</v>
      </c>
      <c r="C15" s="4">
        <v>0.15</v>
      </c>
    </row>
    <row r="17" spans="2:11">
      <c r="B17" s="8" t="s">
        <v>180</v>
      </c>
      <c r="C17" s="8"/>
      <c r="D17" s="8" t="s">
        <v>204</v>
      </c>
      <c r="E17" s="140" t="s">
        <v>205</v>
      </c>
    </row>
    <row r="18" spans="2:11">
      <c r="B18" s="3" t="s">
        <v>181</v>
      </c>
      <c r="C18" s="133">
        <v>15</v>
      </c>
      <c r="D18" s="133">
        <v>16.5</v>
      </c>
      <c r="E18" s="133">
        <v>15</v>
      </c>
      <c r="G18" s="193"/>
    </row>
    <row r="19" spans="2:11">
      <c r="B19" s="3" t="s">
        <v>182</v>
      </c>
      <c r="C19" s="134">
        <v>20</v>
      </c>
      <c r="D19" s="134">
        <v>22</v>
      </c>
      <c r="E19" s="134">
        <v>20</v>
      </c>
      <c r="G19" s="193"/>
      <c r="H19" s="30"/>
      <c r="I19" s="30"/>
      <c r="J19" s="30"/>
      <c r="K19" s="30"/>
    </row>
    <row r="20" spans="2:11">
      <c r="B20" s="3" t="s">
        <v>183</v>
      </c>
      <c r="C20" s="134">
        <v>30</v>
      </c>
      <c r="D20" s="134">
        <v>44</v>
      </c>
      <c r="E20" s="134">
        <v>40</v>
      </c>
      <c r="G20" s="193"/>
      <c r="H20" s="30"/>
      <c r="I20" s="30"/>
      <c r="J20" s="30"/>
      <c r="K20" s="30"/>
    </row>
    <row r="21" spans="2:11">
      <c r="B21" s="3" t="s">
        <v>8</v>
      </c>
      <c r="C21" s="134">
        <v>35</v>
      </c>
      <c r="D21" s="134">
        <v>52.5</v>
      </c>
      <c r="E21" s="134">
        <v>47.5</v>
      </c>
      <c r="G21" s="193"/>
    </row>
    <row r="22" spans="2:11">
      <c r="B22" s="3" t="s">
        <v>184</v>
      </c>
      <c r="C22" s="134">
        <v>50</v>
      </c>
      <c r="D22" s="134">
        <v>70</v>
      </c>
      <c r="E22" s="134">
        <v>65</v>
      </c>
      <c r="G22" s="193"/>
    </row>
    <row r="23" spans="2:11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5B28EC-B368-4A7C-813B-1A33F570189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Preise Output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Yannick Rutsch</cp:lastModifiedBy>
  <cp:revision/>
  <dcterms:created xsi:type="dcterms:W3CDTF">2019-06-03T13:08:51Z</dcterms:created>
  <dcterms:modified xsi:type="dcterms:W3CDTF">2023-03-09T12:32:00Z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