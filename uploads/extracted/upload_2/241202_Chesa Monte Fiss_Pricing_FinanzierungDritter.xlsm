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Chesa Monte Fiss/"/>
    </mc:Choice>
  </mc:AlternateContent>
  <xr:revisionPtr revIDLastSave="44" documentId="8_{207F9823-9F7A-439A-86BD-E629EE244269}" xr6:coauthVersionLast="47" xr6:coauthVersionMax="47" xr10:uidLastSave="{78468520-148B-4CF7-B42D-CD57E9C580F8}"/>
  <bookViews>
    <workbookView xWindow="-108" yWindow="-108" windowWidth="23256" windowHeight="1245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F7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<sst xmlns="http://schemas.openxmlformats.org/spreadsheetml/2006/main" count="510" uniqueCount="297">
  <si>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</si>
  <si>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</si>
  <si>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</si>
  <si>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</si>
  <si>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</si>
  <si>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</si>
  <si>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</si>
  <si>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</si>
  <si>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</si>
  <si>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</si>
  <si>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</si>
  <si>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</si>
  <si>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</si>
  <si>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</si>
  <si>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</si>
  <si>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</si>
  <si>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</si>
  <si>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</si>
  <si>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</si>
  <si>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</si>
  <si>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</si>
  <si>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</si>
  <si>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</si>
  <si>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</si>
  <si>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</si>
  <si>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</si>
  <si>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</si>
  <si>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</si>
  <si>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</si>
  <si>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</si>
  <si>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</si>
  <si>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</si>
  <si>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</si>
  <si>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</si>
  <si>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</si>
  <si>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</si>
  <si>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</si>
  <si>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</si>
  <si>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</si>
  <si>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</si>
  <si>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</si>
  <si>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</si>
  <si>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</si>
  <si>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</si>
  <si>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</si>
  <si>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</si>
  <si>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</si>
  <si>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</si>
  <si>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</si>
  <si>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</si>
  <si>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</si>
  <si>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</si>
  <si>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</si>
  <si>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</si>
  <si>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</si>
  <si>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</si>
  <si>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</si>
  <si>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</si>
  <si>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</si>
  <si>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</si>
  <si>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</si>
  <si>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</si>
  <si>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</si>
  <si>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</si>
  <si>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</si>
  <si>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</si>
  <si>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</si>
  <si>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</si>
  <si>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</si>
  <si>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</si>
  <si>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</si>
  <si>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</si>
  <si>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</si>
  <si>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</si>
  <si>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</si>
  <si>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</si>
  <si>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</si>
  <si>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</si>
  <si>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</si>
  <si>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</si>
  <si>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</si>
  <si>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</si>
  <si>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</si>
  <si>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</si>
  <si>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</si>
  <si>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</si>
  <si>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</si>
  <si>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</si>
  <si>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</si>
  <si>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</si>
  <si>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</si>
  <si>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</si>
  <si>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</si>
  <si>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</si>
  <si>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</si>
  <si>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</si>
  <si>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</si>
  <si>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</si>
  <si>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</si>
  <si>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</si>
  <si>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</si>
  <si>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</si>
  <si>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</si>
  <si>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</si>
  <si>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</si>
  <si>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</si>
  <si>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</si>
  <si>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</si>
  <si>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</si>
  <si>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</si>
  <si>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</si>
  <si>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</si>
  <si>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</si>
  <si>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</si>
  <si>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</si>
  <si>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</si>
  <si>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</si>
  <si>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</si>
  <si>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</si>
  <si>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</si>
  <si>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</si>
  <si>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</si>
  <si>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</si>
  <si>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</si>
  <si>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</si>
  <si>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</si>
  <si>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</si>
  <si>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</si>
  <si>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</si>
  <si>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</si>
  <si>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</si>
  <si>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</si>
  <si>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</si>
  <si>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</si>
  <si>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</si>
  <si>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</si>
  <si>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</si>
  <si>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</si>
  <si>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</si>
  <si>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</si>
  <si>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</si>
  <si>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</si>
  <si>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</si>
  <si>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</si>
  <si>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</si>
  <si>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</si>
  <si>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</si>
  <si>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</si>
  <si>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</si>
  <si>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</si>
  <si>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</si>
  <si>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</si>
  <si>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</si>
  <si>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</si>
  <si>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</si>
  <si>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</si>
  <si>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</si>
  <si>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</si>
  <si>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</si>
  <si>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</si>
  <si>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</si>
  <si>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</si>
  <si>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</si>
  <si>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</si>
  <si>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</si>
  <si>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</si>
  <si>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</si>
  <si>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</si>
  <si>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</si>
  <si>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</si>
  <si>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</si>
  <si>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</si>
  <si>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</si>
  <si>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</si>
  <si>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</si>
  <si>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</si>
  <si>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</si>
  <si>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</si>
  <si>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</si>
  <si>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</si>
  <si>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</si>
  <si>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</si>
  <si>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</si>
  <si>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</si>
  <si>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</si>
  <si>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</si>
  <si>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</si>
  <si>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</si>
  <si>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</si>
  <si>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</si>
  <si>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</si>
  <si>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</si>
  <si>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</si>
  <si>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</si>
  <si>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</si>
  <si>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</si>
  <si>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</si>
  <si>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</si>
  <si>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</si>
  <si>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</si>
  <si>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</si>
  <si>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</si>
  <si>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</si>
  <si>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</si>
  <si>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</si>
  <si>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</si>
  <si>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</si>
  <si>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</si>
  <si>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</si>
  <si>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</si>
  <si>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</si>
  <si>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</si>
  <si>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</si>
  <si>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</si>
  <si>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</si>
  <si>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</si>
  <si>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</si>
  <si>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</si>
  <si>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</si>
  <si>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</si>
  <si>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</si>
  <si>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</si>
  <si>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</si>
  <si>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</si>
  <si>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</si>
  <si>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</si>
  <si>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</si>
  <si>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</si>
  <si>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</si>
  <si>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</si>
  <si>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</si>
  <si>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</si>
  <si>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</si>
  <si>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</si>
  <si>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</si>
  <si>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</si>
  <si>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</si>
  <si>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</si>
  <si>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</si>
  <si>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</si>
  <si>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</si>
  <si>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</si>
  <si>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</si>
  <si>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</si>
  <si>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</si>
  <si>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</si>
  <si>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</si>
  <si>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</si>
  <si>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</si>
  <si>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</si>
  <si>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</si>
  <si>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</si>
  <si>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</si>
  <si>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</si>
  <si>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</si>
  <si>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</si>
  <si>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</si>
  <si>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</si>
  <si>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</si>
  <si>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</si>
  <si>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</si>
  <si>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</si>
  <si>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</si>
  <si>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</si>
  <si>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</si>
  <si>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</si>
  <si>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</si>
  <si>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</si>
  <si>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</si>
  <si>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</si>
  <si>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</si>
  <si>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</si>
  <si>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</si>
  <si>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</si>
  <si>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</si>
  <si>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</si>
  <si>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</si>
  <si>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</si>
  <si>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</si>
  <si>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</si>
  <si>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</si>
  <si>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</si>
  <si>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</si>
  <si>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</si>
  <si>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</si>
  <si>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</si>
  <si>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</si>
  <si>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</si>
  <si>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</si>
  <si>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</si>
  <si>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</si>
  <si>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</si>
  <si>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</si>
  <si>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</si>
  <si>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</si>
  <si>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</si>
  <si>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Chesa Monte Fiss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</si>
</sst>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2" applyNumberFormat="0" applyAlignment="0" applyProtection="0"/>
    <xf numFmtId="164" fontId="1" fillId="0" borderId="0" applyFont="0" applyFill="0" applyBorder="0" applyAlignment="0" applyProtection="0"/>
    <xf numFmtId="0" fontId="4" fillId="0" borderId="0"/>
    <xf numFmtId="44" fontId="1" fillId="0" borderId="0" applyFon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0" fontId="10" fillId="11" borderId="1" xfId="0" applyFont="1" applyFill="1" applyBorder="1" applyAlignment="1">
      <alignment vertical="center" wrapText="1"/>
    </xf>
    <xf numFmtId="0" fontId="10" fillId="11" borderId="1" xfId="0" applyFont="1" applyFill="1" applyBorder="1" applyAlignment="1">
      <alignment vertical="top" wrapText="1"/>
    </xf>
    <xf numFmtId="44" fontId="10" fillId="11" borderId="1" xfId="1" applyFont="1" applyFill="1" applyBorder="1" applyAlignment="1">
      <alignment vertical="top" wrapText="1"/>
    </xf>
    <xf numFmtId="1" fontId="10" fillId="11" borderId="1" xfId="0" applyNumberFormat="1" applyFont="1" applyFill="1" applyBorder="1" applyAlignment="1">
      <alignment vertical="top" wrapText="1"/>
    </xf>
    <xf numFmtId="44" fontId="10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1" fillId="0" borderId="0" xfId="0" applyFont="1"/>
    <xf numFmtId="0" fontId="11" fillId="0" borderId="0" xfId="0" applyFont="1" applyAlignment="1">
      <alignment horizontal="center"/>
    </xf>
    <xf numFmtId="38" fontId="11" fillId="0" borderId="0" xfId="4" applyNumberFormat="1" applyFont="1" applyAlignment="1">
      <alignment horizontal="center"/>
    </xf>
    <xf numFmtId="166" fontId="11" fillId="0" borderId="0" xfId="4" applyNumberFormat="1" applyFont="1" applyAlignment="1">
      <alignment horizontal="left"/>
    </xf>
    <xf numFmtId="0" fontId="12" fillId="0" borderId="0" xfId="5" applyFont="1"/>
    <xf numFmtId="166" fontId="12" fillId="0" borderId="0" xfId="4" applyNumberFormat="1" applyFont="1" applyAlignment="1">
      <alignment horizontal="left"/>
    </xf>
    <xf numFmtId="0" fontId="13" fillId="0" borderId="0" xfId="5" applyFont="1" applyAlignment="1">
      <alignment horizontal="left"/>
    </xf>
    <xf numFmtId="0" fontId="14" fillId="0" borderId="0" xfId="5" applyFont="1"/>
    <xf numFmtId="0" fontId="14" fillId="0" borderId="0" xfId="5" applyFont="1" applyAlignment="1">
      <alignment horizontal="center"/>
    </xf>
    <xf numFmtId="166" fontId="14" fillId="0" borderId="0" xfId="4" applyNumberFormat="1" applyFont="1" applyAlignment="1">
      <alignment horizontal="left"/>
    </xf>
    <xf numFmtId="0" fontId="15" fillId="0" borderId="0" xfId="5" applyFont="1"/>
    <xf numFmtId="0" fontId="11" fillId="0" borderId="1" xfId="0" applyFont="1" applyBorder="1" applyAlignment="1">
      <alignment vertical="top" wrapText="1"/>
    </xf>
    <xf numFmtId="0" fontId="11" fillId="3" borderId="1" xfId="0" applyFont="1" applyFill="1" applyBorder="1" applyAlignment="1" applyProtection="1">
      <alignment vertical="top" wrapText="1"/>
      <protection locked="0"/>
    </xf>
    <xf numFmtId="166" fontId="11" fillId="0" borderId="0" xfId="4" applyNumberFormat="1" applyFont="1" applyBorder="1" applyAlignment="1">
      <alignment horizontal="left" vertical="top" wrapText="1"/>
    </xf>
    <xf numFmtId="166" fontId="11" fillId="0" borderId="0" xfId="4" applyNumberFormat="1" applyFont="1" applyAlignment="1">
      <alignment horizontal="left" vertical="top" wrapText="1"/>
    </xf>
    <xf numFmtId="0" fontId="11" fillId="0" borderId="0" xfId="0" applyFont="1" applyAlignment="1">
      <alignment vertical="center"/>
    </xf>
    <xf numFmtId="165" fontId="16" fillId="4" borderId="0" xfId="1" applyNumberFormat="1" applyFont="1" applyFill="1" applyBorder="1"/>
    <xf numFmtId="9" fontId="11" fillId="3" borderId="1" xfId="0" applyNumberFormat="1" applyFont="1" applyFill="1" applyBorder="1" applyAlignment="1" applyProtection="1">
      <alignment vertical="top" wrapText="1"/>
      <protection locked="0"/>
    </xf>
    <xf numFmtId="9" fontId="11" fillId="0" borderId="0" xfId="0" applyNumberFormat="1" applyFont="1" applyAlignment="1">
      <alignment vertical="top" wrapText="1"/>
    </xf>
    <xf numFmtId="44" fontId="11" fillId="4" borderId="0" xfId="1" applyFont="1" applyFill="1" applyBorder="1"/>
    <xf numFmtId="165" fontId="11" fillId="4" borderId="0" xfId="1" applyNumberFormat="1" applyFont="1" applyFill="1" applyBorder="1"/>
    <xf numFmtId="166" fontId="11" fillId="0" borderId="1" xfId="4" applyNumberFormat="1" applyFont="1" applyBorder="1" applyAlignment="1" applyProtection="1">
      <alignment vertical="top" wrapText="1"/>
      <protection locked="0"/>
    </xf>
    <xf numFmtId="166" fontId="11" fillId="0" borderId="1" xfId="4" applyNumberFormat="1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 wrapText="1"/>
    </xf>
    <xf numFmtId="0" fontId="17" fillId="9" borderId="5" xfId="0" applyFont="1" applyFill="1" applyBorder="1" applyAlignment="1">
      <alignment horizontal="centerContinuous" vertical="top"/>
    </xf>
    <xf numFmtId="0" fontId="11" fillId="9" borderId="5" xfId="0" applyFont="1" applyFill="1" applyBorder="1" applyAlignment="1">
      <alignment horizontal="centerContinuous" vertical="top" wrapText="1"/>
    </xf>
    <xf numFmtId="9" fontId="11" fillId="9" borderId="5" xfId="0" applyNumberFormat="1" applyFont="1" applyFill="1" applyBorder="1" applyAlignment="1">
      <alignment horizontal="centerContinuous" vertical="top" wrapText="1"/>
    </xf>
    <xf numFmtId="166" fontId="11" fillId="9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top" wrapText="1"/>
    </xf>
    <xf numFmtId="166" fontId="18" fillId="10" borderId="5" xfId="4" applyNumberFormat="1" applyFont="1" applyFill="1" applyBorder="1" applyAlignment="1">
      <alignment horizontal="centerContinuous" vertical="center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0" fontId="19" fillId="4" borderId="0" xfId="0" applyFont="1" applyFill="1" applyAlignment="1">
      <alignment horizontal="center"/>
    </xf>
    <xf numFmtId="0" fontId="19" fillId="4" borderId="0" xfId="0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166" fontId="20" fillId="4" borderId="7" xfId="4" applyNumberFormat="1" applyFont="1" applyFill="1" applyBorder="1" applyAlignment="1">
      <alignment horizontal="center" vertical="center" wrapText="1"/>
    </xf>
    <xf numFmtId="166" fontId="20" fillId="4" borderId="0" xfId="4" applyNumberFormat="1" applyFont="1" applyFill="1" applyBorder="1" applyAlignment="1">
      <alignment horizontal="center" vertical="center" wrapText="1"/>
    </xf>
    <xf numFmtId="0" fontId="11" fillId="0" borderId="6" xfId="0" applyFont="1" applyBorder="1" applyAlignment="1">
      <alignment vertical="top" wrapText="1"/>
    </xf>
    <xf numFmtId="0" fontId="11" fillId="0" borderId="6" xfId="0" applyFont="1" applyBorder="1" applyAlignment="1">
      <alignment vertical="center"/>
    </xf>
    <xf numFmtId="166" fontId="11" fillId="0" borderId="6" xfId="4" applyNumberFormat="1" applyFont="1" applyBorder="1" applyAlignment="1">
      <alignment horizontal="left" vertical="top" wrapText="1"/>
    </xf>
    <xf numFmtId="9" fontId="11" fillId="0" borderId="6" xfId="2" applyFont="1" applyBorder="1" applyAlignment="1">
      <alignment vertical="top" wrapText="1"/>
    </xf>
    <xf numFmtId="166" fontId="11" fillId="0" borderId="6" xfId="4" applyNumberFormat="1" applyFont="1" applyBorder="1" applyAlignment="1">
      <alignment vertical="top" wrapText="1"/>
    </xf>
    <xf numFmtId="167" fontId="11" fillId="0" borderId="6" xfId="4" applyNumberFormat="1" applyFont="1" applyBorder="1" applyAlignment="1">
      <alignment vertical="top" wrapText="1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vertical="top" wrapText="1"/>
    </xf>
    <xf numFmtId="166" fontId="11" fillId="4" borderId="0" xfId="4" applyNumberFormat="1" applyFont="1" applyFill="1" applyAlignment="1">
      <alignment horizontal="left" vertical="top" wrapText="1"/>
    </xf>
    <xf numFmtId="9" fontId="11" fillId="4" borderId="0" xfId="2" applyFont="1" applyFill="1" applyAlignment="1">
      <alignment vertical="top" wrapText="1"/>
    </xf>
    <xf numFmtId="0" fontId="21" fillId="0" borderId="3" xfId="0" applyFont="1" applyBorder="1"/>
    <xf numFmtId="1" fontId="21" fillId="0" borderId="3" xfId="4" applyNumberFormat="1" applyFont="1" applyBorder="1" applyAlignment="1">
      <alignment horizontal="center"/>
    </xf>
    <xf numFmtId="166" fontId="21" fillId="0" borderId="3" xfId="4" applyNumberFormat="1" applyFont="1" applyBorder="1"/>
    <xf numFmtId="9" fontId="21" fillId="0" borderId="3" xfId="2" applyFont="1" applyBorder="1"/>
    <xf numFmtId="167" fontId="21" fillId="0" borderId="3" xfId="4" applyNumberFormat="1" applyFont="1" applyBorder="1"/>
    <xf numFmtId="0" fontId="21" fillId="0" borderId="0" xfId="0" applyFont="1"/>
    <xf numFmtId="0" fontId="11" fillId="0" borderId="8" xfId="0" applyFont="1" applyBorder="1" applyAlignment="1">
      <alignment vertical="top" wrapText="1"/>
    </xf>
    <xf numFmtId="0" fontId="23" fillId="12" borderId="0" xfId="0" applyFont="1" applyFill="1" applyAlignment="1">
      <alignment vertical="center"/>
    </xf>
    <xf numFmtId="1" fontId="23" fillId="12" borderId="0" xfId="0" applyNumberFormat="1" applyFont="1" applyFill="1" applyAlignment="1">
      <alignment vertical="center"/>
    </xf>
    <xf numFmtId="0" fontId="24" fillId="0" borderId="0" xfId="0" applyFont="1"/>
    <xf numFmtId="0" fontId="25" fillId="0" borderId="0" xfId="0" applyFont="1"/>
    <xf numFmtId="0" fontId="14" fillId="0" borderId="0" xfId="0" applyFont="1"/>
    <xf numFmtId="0" fontId="14" fillId="0" borderId="9" xfId="0" applyFont="1" applyBorder="1"/>
    <xf numFmtId="0" fontId="26" fillId="0" borderId="0" xfId="0" applyFont="1"/>
    <xf numFmtId="0" fontId="27" fillId="0" borderId="0" xfId="0" applyFont="1"/>
    <xf numFmtId="0" fontId="28" fillId="12" borderId="0" xfId="0" applyFont="1" applyFill="1"/>
    <xf numFmtId="0" fontId="24" fillId="0" borderId="1" xfId="0" applyFont="1" applyBorder="1"/>
    <xf numFmtId="0" fontId="25" fillId="3" borderId="1" xfId="0" applyFont="1" applyFill="1" applyBorder="1"/>
    <xf numFmtId="0" fontId="14" fillId="0" borderId="10" xfId="0" applyFont="1" applyBorder="1"/>
    <xf numFmtId="0" fontId="14" fillId="0" borderId="12" xfId="0" applyFont="1" applyBorder="1"/>
    <xf numFmtId="0" fontId="25" fillId="0" borderId="11" xfId="0" applyFont="1" applyBorder="1"/>
    <xf numFmtId="0" fontId="25" fillId="0" borderId="12" xfId="0" applyFont="1" applyBorder="1"/>
    <xf numFmtId="0" fontId="28" fillId="13" borderId="0" xfId="0" applyFont="1" applyFill="1"/>
    <xf numFmtId="0" fontId="20" fillId="13" borderId="5" xfId="0" applyFont="1" applyFill="1" applyBorder="1" applyAlignment="1">
      <alignment horizontal="center" vertical="center"/>
    </xf>
    <xf numFmtId="0" fontId="20" fillId="13" borderId="5" xfId="0" applyFont="1" applyFill="1" applyBorder="1" applyAlignment="1">
      <alignment horizontal="center" vertical="center" wrapText="1"/>
    </xf>
    <xf numFmtId="166" fontId="20" fillId="13" borderId="5" xfId="4" applyNumberFormat="1" applyFont="1" applyFill="1" applyBorder="1" applyAlignment="1">
      <alignment horizontal="center" vertical="center" wrapText="1"/>
    </xf>
    <xf numFmtId="0" fontId="3" fillId="13" borderId="4" xfId="3" applyFont="1" applyFill="1" applyBorder="1" applyAlignment="1">
      <alignment vertical="top" wrapText="1"/>
    </xf>
    <xf numFmtId="1" fontId="3" fillId="13" borderId="4" xfId="3" applyNumberFormat="1" applyFont="1" applyFill="1" applyBorder="1" applyAlignment="1">
      <alignment vertical="top" wrapText="1"/>
    </xf>
    <xf numFmtId="0" fontId="25" fillId="0" borderId="13" xfId="0" applyFont="1" applyBorder="1"/>
    <xf numFmtId="166" fontId="19" fillId="4" borderId="5" xfId="4" applyNumberFormat="1" applyFont="1" applyFill="1" applyBorder="1" applyAlignment="1">
      <alignment horizontal="centerContinuous" vertical="center" wrapText="1"/>
    </xf>
    <xf numFmtId="14" fontId="11" fillId="3" borderId="1" xfId="0" applyNumberFormat="1" applyFont="1" applyFill="1" applyBorder="1" applyAlignment="1" applyProtection="1">
      <alignment vertical="top" wrapText="1"/>
      <protection locked="0"/>
    </xf>
    <xf numFmtId="0" fontId="30" fillId="0" borderId="0" xfId="5" applyFont="1" applyAlignment="1">
      <alignment horizontal="center"/>
    </xf>
    <xf numFmtId="0" fontId="22" fillId="4" borderId="0" xfId="0" applyFont="1" applyFill="1" applyAlignment="1">
      <alignment vertical="top" wrapText="1"/>
    </xf>
    <xf numFmtId="168" fontId="22" fillId="4" borderId="0" xfId="4" applyNumberFormat="1" applyFont="1" applyFill="1" applyBorder="1" applyAlignment="1">
      <alignment horizontal="left"/>
    </xf>
    <xf numFmtId="44" fontId="10" fillId="8" borderId="1" xfId="0" applyNumberFormat="1" applyFont="1" applyFill="1" applyBorder="1" applyAlignment="1">
      <alignment vertical="top" wrapText="1"/>
    </xf>
    <xf numFmtId="1" fontId="10" fillId="8" borderId="1" xfId="0" applyNumberFormat="1" applyFont="1" applyFill="1" applyBorder="1" applyAlignment="1">
      <alignment vertical="top" wrapText="1"/>
    </xf>
    <xf numFmtId="44" fontId="10" fillId="8" borderId="1" xfId="1" applyFont="1" applyFill="1" applyBorder="1" applyAlignment="1">
      <alignment vertical="top" wrapText="1"/>
    </xf>
    <xf numFmtId="0" fontId="31" fillId="3" borderId="1" xfId="0" applyFont="1" applyFill="1" applyBorder="1" applyAlignment="1">
      <alignment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15" xfId="0" applyFont="1" applyBorder="1" applyAlignment="1">
      <alignment horizontal="left" vertical="top" wrapText="1"/>
    </xf>
    <xf numFmtId="44" fontId="11" fillId="4" borderId="16" xfId="1" applyFont="1" applyFill="1" applyBorder="1" applyProtection="1"/>
    <xf numFmtId="0" fontId="11" fillId="0" borderId="15" xfId="0" applyFont="1" applyBorder="1" applyAlignment="1">
      <alignment horizontal="left" wrapText="1"/>
    </xf>
    <xf numFmtId="0" fontId="11" fillId="0" borderId="18" xfId="0" applyFont="1" applyBorder="1" applyAlignment="1">
      <alignment horizontal="left" vertical="top" wrapText="1"/>
    </xf>
    <xf numFmtId="0" fontId="11" fillId="0" borderId="20" xfId="0" applyFont="1" applyBorder="1" applyAlignment="1">
      <alignment vertical="top" wrapText="1"/>
    </xf>
    <xf numFmtId="9" fontId="11" fillId="4" borderId="21" xfId="0" applyNumberFormat="1" applyFont="1" applyFill="1" applyBorder="1" applyAlignment="1" applyProtection="1">
      <alignment vertical="top" wrapText="1"/>
      <protection locked="0"/>
    </xf>
    <xf numFmtId="1" fontId="11" fillId="3" borderId="1" xfId="0" applyNumberFormat="1" applyFont="1" applyFill="1" applyBorder="1" applyAlignment="1" applyProtection="1">
      <alignment vertical="top" wrapText="1"/>
      <protection locked="0"/>
    </xf>
    <xf numFmtId="1" fontId="11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1" fillId="0" borderId="0" xfId="2" applyNumberFormat="1" applyFont="1"/>
    <xf numFmtId="166" fontId="25" fillId="0" borderId="0" xfId="0" applyNumberFormat="1" applyFont="1"/>
    <xf numFmtId="44" fontId="32" fillId="6" borderId="1" xfId="1" applyFont="1" applyFill="1" applyBorder="1" applyAlignment="1">
      <alignment vertical="top" wrapText="1"/>
    </xf>
    <xf numFmtId="44" fontId="32" fillId="5" borderId="1" xfId="1" applyFont="1" applyFill="1" applyBorder="1" applyAlignment="1">
      <alignment vertical="top" wrapText="1"/>
    </xf>
    <xf numFmtId="44" fontId="0" fillId="0" borderId="0" xfId="0" applyNumberFormat="1"/>
    <xf numFmtId="0" fontId="16" fillId="0" borderId="0" xfId="0" applyFont="1"/>
    <xf numFmtId="0" fontId="19" fillId="14" borderId="20" xfId="0" applyFont="1" applyFill="1" applyBorder="1" applyAlignment="1">
      <alignment vertical="top" wrapText="1"/>
    </xf>
    <xf numFmtId="44" fontId="11" fillId="0" borderId="16" xfId="1" applyFont="1" applyBorder="1" applyProtection="1"/>
    <xf numFmtId="44" fontId="32" fillId="7" borderId="1" xfId="1" applyFont="1" applyFill="1" applyBorder="1" applyAlignment="1">
      <alignment wrapText="1"/>
    </xf>
    <xf numFmtId="44" fontId="32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3" fillId="0" borderId="0" xfId="1" applyFont="1" applyAlignment="1">
      <alignment wrapText="1"/>
    </xf>
    <xf numFmtId="0" fontId="34" fillId="0" borderId="23" xfId="0" applyFont="1" applyBorder="1" applyAlignment="1">
      <alignment horizontal="left" vertical="center"/>
    </xf>
    <xf numFmtId="0" fontId="35" fillId="0" borderId="0" xfId="0" applyFont="1" applyAlignment="1">
      <alignment horizontal="center" vertical="center" wrapText="1"/>
    </xf>
    <xf numFmtId="0" fontId="35" fillId="15" borderId="0" xfId="0" applyFont="1" applyFill="1" applyAlignment="1">
      <alignment horizontal="center" vertical="center" wrapText="1"/>
    </xf>
    <xf numFmtId="0" fontId="34" fillId="0" borderId="0" xfId="0" applyFont="1"/>
    <xf numFmtId="0" fontId="34" fillId="0" borderId="22" xfId="0" applyFont="1" applyBorder="1" applyAlignment="1">
      <alignment vertical="center"/>
    </xf>
    <xf numFmtId="0" fontId="36" fillId="0" borderId="10" xfId="0" applyFont="1" applyBorder="1" applyAlignment="1">
      <alignment horizontal="center" vertical="center" wrapText="1"/>
    </xf>
    <xf numFmtId="0" fontId="37" fillId="15" borderId="10" xfId="0" applyFont="1" applyFill="1" applyBorder="1" applyAlignment="1">
      <alignment horizontal="center" vertical="center" wrapText="1"/>
    </xf>
    <xf numFmtId="0" fontId="38" fillId="15" borderId="10" xfId="0" applyFont="1" applyFill="1" applyBorder="1" applyAlignment="1">
      <alignment horizontal="center" vertical="center" wrapText="1"/>
    </xf>
    <xf numFmtId="0" fontId="34" fillId="0" borderId="23" xfId="0" applyFont="1" applyBorder="1"/>
    <xf numFmtId="0" fontId="36" fillId="0" borderId="0" xfId="0" applyFont="1" applyAlignment="1">
      <alignment horizontal="right" vertical="center" wrapText="1"/>
    </xf>
    <xf numFmtId="0" fontId="36" fillId="15" borderId="0" xfId="0" applyFont="1" applyFill="1" applyAlignment="1">
      <alignment horizontal="right" vertical="center" wrapText="1"/>
    </xf>
    <xf numFmtId="6" fontId="34" fillId="0" borderId="0" xfId="0" applyNumberFormat="1" applyFont="1" applyAlignment="1">
      <alignment wrapText="1"/>
    </xf>
    <xf numFmtId="6" fontId="34" fillId="15" borderId="0" xfId="0" applyNumberFormat="1" applyFont="1" applyFill="1" applyAlignment="1">
      <alignment wrapText="1"/>
    </xf>
    <xf numFmtId="0" fontId="34" fillId="0" borderId="0" xfId="0" applyFont="1" applyAlignment="1">
      <alignment wrapText="1"/>
    </xf>
    <xf numFmtId="0" fontId="34" fillId="15" borderId="0" xfId="0" applyFont="1" applyFill="1" applyAlignment="1">
      <alignment wrapText="1"/>
    </xf>
    <xf numFmtId="0" fontId="34" fillId="15" borderId="0" xfId="0" applyFont="1" applyFill="1"/>
    <xf numFmtId="0" fontId="36" fillId="0" borderId="0" xfId="0" applyFont="1"/>
    <xf numFmtId="8" fontId="34" fillId="0" borderId="0" xfId="0" applyNumberFormat="1" applyFont="1" applyAlignment="1">
      <alignment wrapText="1"/>
    </xf>
    <xf numFmtId="8" fontId="34" fillId="15" borderId="0" xfId="0" applyNumberFormat="1" applyFont="1" applyFill="1" applyAlignment="1">
      <alignment wrapText="1"/>
    </xf>
    <xf numFmtId="8" fontId="34" fillId="0" borderId="0" xfId="0" applyNumberFormat="1" applyFont="1"/>
    <xf numFmtId="8" fontId="34" fillId="15" borderId="0" xfId="0" applyNumberFormat="1" applyFont="1" applyFill="1"/>
    <xf numFmtId="0" fontId="39" fillId="0" borderId="23" xfId="0" applyFont="1" applyBorder="1"/>
    <xf numFmtId="8" fontId="39" fillId="0" borderId="0" xfId="0" applyNumberFormat="1" applyFont="1" applyAlignment="1">
      <alignment wrapText="1"/>
    </xf>
    <xf numFmtId="8" fontId="39" fillId="15" borderId="0" xfId="0" applyNumberFormat="1" applyFont="1" applyFill="1" applyAlignment="1">
      <alignment wrapText="1"/>
    </xf>
    <xf numFmtId="8" fontId="39" fillId="0" borderId="0" xfId="0" applyNumberFormat="1" applyFont="1"/>
    <xf numFmtId="8" fontId="39" fillId="15" borderId="0" xfId="0" applyNumberFormat="1" applyFont="1" applyFill="1"/>
    <xf numFmtId="0" fontId="34" fillId="0" borderId="24" xfId="0" applyFont="1" applyBorder="1"/>
    <xf numFmtId="8" fontId="34" fillId="0" borderId="25" xfId="0" applyNumberFormat="1" applyFont="1" applyBorder="1" applyAlignment="1">
      <alignment wrapText="1"/>
    </xf>
    <xf numFmtId="8" fontId="34" fillId="15" borderId="25" xfId="0" applyNumberFormat="1" applyFont="1" applyFill="1" applyBorder="1" applyAlignment="1">
      <alignment wrapText="1"/>
    </xf>
    <xf numFmtId="8" fontId="34" fillId="0" borderId="25" xfId="0" applyNumberFormat="1" applyFont="1" applyBorder="1"/>
    <xf numFmtId="0" fontId="35" fillId="0" borderId="23" xfId="0" applyFont="1" applyBorder="1"/>
    <xf numFmtId="8" fontId="35" fillId="0" borderId="0" xfId="0" applyNumberFormat="1" applyFont="1" applyAlignment="1">
      <alignment wrapText="1"/>
    </xf>
    <xf numFmtId="8" fontId="35" fillId="15" borderId="0" xfId="0" applyNumberFormat="1" applyFont="1" applyFill="1" applyAlignment="1">
      <alignment wrapText="1"/>
    </xf>
    <xf numFmtId="8" fontId="35" fillId="0" borderId="0" xfId="0" applyNumberFormat="1" applyFont="1"/>
    <xf numFmtId="0" fontId="40" fillId="0" borderId="23" xfId="0" applyFont="1" applyBorder="1"/>
    <xf numFmtId="9" fontId="11" fillId="0" borderId="0" xfId="2" applyFont="1" applyAlignment="1">
      <alignment horizontal="left"/>
    </xf>
    <xf numFmtId="44" fontId="11" fillId="0" borderId="0" xfId="1" applyFont="1" applyBorder="1" applyAlignment="1">
      <alignment horizontal="left" vertical="top" wrapText="1"/>
    </xf>
    <xf numFmtId="164" fontId="19" fillId="16" borderId="0" xfId="0" applyNumberFormat="1" applyFont="1" applyFill="1"/>
    <xf numFmtId="0" fontId="41" fillId="0" borderId="6" xfId="0" applyFont="1" applyBorder="1" applyAlignment="1">
      <alignment vertical="top" wrapText="1"/>
    </xf>
    <xf numFmtId="0" fontId="14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1" fillId="0" borderId="0" xfId="0" applyFont="1"/>
    <xf numFmtId="0" fontId="42" fillId="0" borderId="0" xfId="5" applyFont="1"/>
    <xf numFmtId="166" fontId="41" fillId="0" borderId="0" xfId="4" applyNumberFormat="1" applyFont="1" applyAlignment="1">
      <alignment horizontal="left"/>
    </xf>
    <xf numFmtId="44" fontId="11" fillId="0" borderId="0" xfId="0" applyNumberFormat="1" applyFont="1"/>
    <xf numFmtId="0" fontId="11" fillId="0" borderId="0" xfId="0" applyFont="1" applyAlignment="1">
      <alignment horizontal="left" vertical="top" wrapText="1"/>
    </xf>
    <xf numFmtId="9" fontId="25" fillId="3" borderId="1" xfId="2" applyFont="1" applyFill="1" applyBorder="1"/>
    <xf numFmtId="0" fontId="43" fillId="0" borderId="0" xfId="5" applyFont="1" applyAlignment="1">
      <alignment horizontal="left" vertical="center"/>
    </xf>
    <xf numFmtId="164" fontId="25" fillId="3" borderId="1" xfId="0" applyNumberFormat="1" applyFont="1" applyFill="1" applyBorder="1"/>
    <xf numFmtId="164" fontId="24" fillId="0" borderId="1" xfId="0" applyNumberFormat="1" applyFont="1" applyBorder="1"/>
    <xf numFmtId="164" fontId="25" fillId="0" borderId="0" xfId="0" applyNumberFormat="1" applyFont="1"/>
    <xf numFmtId="164" fontId="29" fillId="13" borderId="0" xfId="4" applyFont="1" applyFill="1"/>
    <xf numFmtId="164" fontId="25" fillId="0" borderId="12" xfId="4" applyFont="1" applyBorder="1"/>
    <xf numFmtId="164" fontId="25" fillId="0" borderId="27" xfId="4" applyFont="1" applyBorder="1"/>
    <xf numFmtId="164" fontId="25" fillId="0" borderId="0" xfId="4" applyFont="1" applyBorder="1"/>
    <xf numFmtId="164" fontId="14" fillId="0" borderId="9" xfId="0" applyNumberFormat="1" applyFont="1" applyBorder="1"/>
    <xf numFmtId="164" fontId="25" fillId="0" borderId="10" xfId="4" applyFont="1" applyBorder="1"/>
    <xf numFmtId="164" fontId="25" fillId="0" borderId="0" xfId="4" applyFont="1"/>
    <xf numFmtId="164" fontId="25" fillId="0" borderId="9" xfId="4" applyFont="1" applyBorder="1"/>
    <xf numFmtId="164" fontId="24" fillId="0" borderId="0" xfId="4" applyFont="1"/>
    <xf numFmtId="164" fontId="25" fillId="0" borderId="11" xfId="4" applyFont="1" applyBorder="1"/>
    <xf numFmtId="164" fontId="25" fillId="0" borderId="13" xfId="4" applyFont="1" applyBorder="1"/>
    <xf numFmtId="164" fontId="28" fillId="12" borderId="0" xfId="4" applyFont="1" applyFill="1"/>
    <xf numFmtId="164" fontId="25" fillId="0" borderId="0" xfId="2" applyNumberFormat="1" applyFont="1"/>
    <xf numFmtId="44" fontId="11" fillId="3" borderId="19" xfId="1" applyFont="1" applyFill="1" applyBorder="1" applyAlignment="1" applyProtection="1">
      <alignment horizontal="right" indent="3"/>
    </xf>
    <xf numFmtId="171" fontId="19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546875" defaultRowHeight="15" outlineLevelCol="2" x14ac:dyDescent="0.35"/>
  <cols>
    <col min="1" max="1" width="4.5546875" style="33" customWidth="1"/>
    <col min="2" max="2" width="61.5546875" style="33" bestFit="1" customWidth="1"/>
    <col min="3" max="3" width="29.5546875" style="33" bestFit="1" customWidth="1"/>
    <col min="4" max="4" width="17.44140625" style="34" customWidth="1"/>
    <col min="5" max="5" width="50.109375" style="33" bestFit="1" customWidth="1"/>
    <col min="6" max="6" width="28.5546875" style="33" bestFit="1" customWidth="1"/>
    <col min="7" max="7" width="24.44140625" style="33" customWidth="1" outlineLevel="1"/>
    <col min="8" max="8" width="24.44140625" style="36" customWidth="1" outlineLevel="1"/>
    <col min="9" max="9" width="31.44140625" style="36" customWidth="1" outlineLevel="1"/>
    <col min="10" max="12" width="24.44140625" style="36" customWidth="1" outlineLevel="1"/>
    <col min="13" max="13" width="18.44140625" style="36" customWidth="1" outlineLevel="2"/>
    <col min="14" max="14" width="18" style="36" customWidth="1" outlineLevel="2"/>
    <col min="15" max="15" width="28" style="36" customWidth="1" outlineLevel="2"/>
    <col min="16" max="16" width="28" style="36" customWidth="1" outlineLevel="1"/>
    <col min="17" max="17" width="26.44140625" style="36" customWidth="1" outlineLevel="1"/>
    <col min="18" max="18" width="25" style="36" customWidth="1" outlineLevel="1"/>
    <col min="19" max="19" width="24.44140625" style="33" customWidth="1"/>
    <col min="20" max="20" width="17.44140625" style="33" customWidth="1"/>
    <col min="21" max="21" width="10.5546875" style="33"/>
    <col min="22" max="22" width="17" style="33" customWidth="1"/>
    <col min="23" max="23" width="16.44140625" style="33" customWidth="1"/>
    <col min="24" max="24" width="19" style="33" customWidth="1"/>
    <col min="25" max="25" width="15" style="33" customWidth="1"/>
    <col min="26" max="26" width="18.44140625" style="33" customWidth="1"/>
    <col min="27" max="27" width="17.5546875" style="33" customWidth="1"/>
    <col min="28" max="29" width="15.44140625" style="33" customWidth="1"/>
    <col min="30" max="32" width="10.5546875" style="33"/>
    <col min="33" max="33" width="16.44140625" style="33" customWidth="1"/>
    <col min="34" max="16384" width="10.5546875" style="33"/>
  </cols>
  <sheetData>
    <row r="1" spans="1:32" ht="7.5" customHeight="1" x14ac:dyDescent="0.35">
      <c r="E1" s="131"/>
      <c r="F1" s="35"/>
      <c r="G1" s="35"/>
      <c r="S1" s="35"/>
      <c r="T1" s="35"/>
      <c r="U1" s="34"/>
      <c r="V1" s="34"/>
      <c r="W1" s="34"/>
      <c r="X1" s="34"/>
      <c r="Y1" s="34"/>
    </row>
    <row r="2" spans="1:32" s="37" customFormat="1" ht="22.5" customHeight="1" x14ac:dyDescent="0.8">
      <c r="B2" s="192" t="s">
        <v>0</v>
      </c>
      <c r="D2" s="114"/>
      <c r="K2" s="38"/>
      <c r="L2" s="38"/>
      <c r="M2" s="38"/>
      <c r="N2" s="38"/>
      <c r="O2" s="38"/>
      <c r="P2" s="38"/>
      <c r="Q2" s="38"/>
      <c r="R2" s="38"/>
    </row>
    <row r="3" spans="1:32" s="40" customFormat="1" ht="3.6" customHeight="1" x14ac:dyDescent="0.4">
      <c r="A3" s="39"/>
      <c r="D3" s="41"/>
      <c r="K3" s="42"/>
      <c r="L3" s="42"/>
      <c r="M3" s="42"/>
      <c r="N3" s="42"/>
      <c r="O3" s="42"/>
      <c r="P3" s="42"/>
      <c r="Q3" s="42"/>
      <c r="R3" s="42"/>
    </row>
    <row r="4" spans="1:32" s="40" customFormat="1" ht="15.6" customHeight="1" thickBot="1" x14ac:dyDescent="0.45">
      <c r="A4" s="39"/>
      <c r="B4" s="43" t="s">
        <v>1</v>
      </c>
      <c r="D4" s="41"/>
      <c r="E4" s="43" t="s">
        <v>2</v>
      </c>
      <c r="K4" s="42"/>
      <c r="L4" s="42"/>
      <c r="M4" s="42"/>
      <c r="N4" s="42"/>
      <c r="O4" s="42"/>
      <c r="P4" s="42"/>
      <c r="Q4" s="42"/>
      <c r="R4" s="42"/>
    </row>
    <row r="5" spans="1:32" x14ac:dyDescent="0.35">
      <c r="B5" s="44" t="s">
        <v>3</v>
      </c>
      <c r="C5" s="113">
        <v>45628</v>
      </c>
      <c r="E5" s="121" t="s">
        <v>5</v>
      </c>
      <c r="F5" s="123">
        <f>INDEX(Annahmen!$B$17:$D$22,MATCH('Preise Output'!$C$7,Annahmen!$B$17:$B$22,0),3)</f>
        <v>60</v>
      </c>
      <c r="G5" s="187"/>
      <c r="H5" s="187"/>
    </row>
    <row r="6" spans="1:32" x14ac:dyDescent="0.35">
      <c r="B6" s="44" t="s">
        <v>4</v>
      </c>
      <c r="C6" s="45" t="s">
        <v>296</v>
      </c>
      <c r="E6" s="122" t="s">
        <v>290</v>
      </c>
      <c r="F6" s="33">
        <f>C12*0.65</f>
        <v>227.5</v>
      </c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</row>
    <row r="7" spans="1:32" x14ac:dyDescent="0.35">
      <c r="B7" s="44" t="s">
        <v>6</v>
      </c>
      <c r="C7" s="45" t="s">
        <v>7</v>
      </c>
      <c r="E7" s="124" t="s">
        <v>8</v>
      </c>
      <c r="F7" s="180">
        <f>INDEX(Annahmen!$B$17:$E$22,MATCH('Preise Output'!$C$7,Annahmen!$B$17:$B$22,0),4)</f>
        <v>35</v>
      </c>
      <c r="K7" s="46"/>
      <c r="L7" s="46"/>
      <c r="M7" s="47"/>
      <c r="N7" s="47"/>
      <c r="O7" s="47"/>
      <c r="P7" s="47"/>
      <c r="Q7" s="47"/>
      <c r="R7" s="47"/>
      <c r="AC7" s="48"/>
      <c r="AD7" s="48"/>
      <c r="AE7" s="48"/>
      <c r="AF7" s="48"/>
    </row>
    <row r="8" spans="1:32" x14ac:dyDescent="0.35">
      <c r="B8" s="44" t="s">
        <v>9</v>
      </c>
      <c r="C8" s="128">
        <v>65</v>
      </c>
      <c r="E8" s="188"/>
      <c r="F8" s="188"/>
      <c r="G8" s="188"/>
      <c r="H8" s="188"/>
      <c r="I8" s="188"/>
      <c r="J8" s="49"/>
      <c r="K8" s="46"/>
      <c r="L8" s="46"/>
      <c r="M8" s="47"/>
      <c r="N8" s="47"/>
      <c r="O8" s="47"/>
      <c r="P8" s="47"/>
      <c r="Q8" s="47"/>
      <c r="R8" s="47"/>
      <c r="AE8" s="48"/>
      <c r="AF8" s="48"/>
    </row>
    <row r="9" spans="1:32" x14ac:dyDescent="0.35">
      <c r="B9" s="44" t="s">
        <v>10</v>
      </c>
      <c r="C9" s="50">
        <v>0.7</v>
      </c>
      <c r="E9" s="126" t="s">
        <v>246</v>
      </c>
      <c r="F9" s="127">
        <f>IFERROR(J26,"Bitte Produkt auswählen")</f>
        <v>0.29328245886239634</v>
      </c>
      <c r="G9" s="52"/>
      <c r="H9" s="52"/>
      <c r="I9" s="52"/>
      <c r="J9" s="53"/>
      <c r="K9" s="46"/>
      <c r="L9" s="46"/>
      <c r="M9" s="47"/>
      <c r="N9" s="47"/>
      <c r="O9" s="47"/>
      <c r="P9" s="47"/>
      <c r="Q9" s="47"/>
      <c r="R9" s="47"/>
      <c r="AE9" s="48"/>
      <c r="AF9" s="48"/>
    </row>
    <row r="10" spans="1:32" x14ac:dyDescent="0.35">
      <c r="B10" s="44" t="s">
        <v>11</v>
      </c>
      <c r="C10" s="54">
        <f>C8*365*(1-C9)</f>
        <v>7117.5000000000009</v>
      </c>
      <c r="E10" s="122" t="s">
        <v>13</v>
      </c>
      <c r="F10" s="138">
        <f>F5*0.75</f>
        <v>45</v>
      </c>
      <c r="G10" s="52"/>
      <c r="H10" s="52"/>
      <c r="I10" s="52"/>
      <c r="J10" s="53"/>
      <c r="K10" s="46"/>
      <c r="L10" s="46"/>
      <c r="M10" s="47"/>
      <c r="N10" s="47"/>
      <c r="O10" s="47"/>
      <c r="P10" s="47"/>
      <c r="Q10" s="47"/>
      <c r="R10" s="47"/>
      <c r="AE10" s="48"/>
      <c r="AF10" s="48"/>
    </row>
    <row r="11" spans="1:32" ht="15.6" thickBot="1" x14ac:dyDescent="0.4">
      <c r="B11" s="44" t="s">
        <v>12</v>
      </c>
      <c r="C11" s="55">
        <f>IF(C10*0.15&lt;1000,C10*0.15,1000)</f>
        <v>1000</v>
      </c>
      <c r="E11" s="137" t="s">
        <v>14</v>
      </c>
      <c r="F11" s="210">
        <f>+I26</f>
        <v>47371.500000000007</v>
      </c>
      <c r="G11" s="51"/>
      <c r="H11" s="46"/>
      <c r="I11" s="46"/>
      <c r="J11" s="46"/>
      <c r="K11" s="46"/>
      <c r="L11" s="46"/>
      <c r="M11" s="47"/>
      <c r="N11" s="47"/>
      <c r="O11" s="47"/>
      <c r="P11" s="47"/>
      <c r="Q11" s="47"/>
      <c r="R11" s="47"/>
      <c r="AE11" s="48"/>
      <c r="AF11" s="48"/>
    </row>
    <row r="12" spans="1:32" ht="15.6" thickBot="1" x14ac:dyDescent="0.4">
      <c r="B12" s="44" t="s">
        <v>281</v>
      </c>
      <c r="C12" s="128">
        <v>350</v>
      </c>
      <c r="D12" s="57"/>
      <c r="E12" s="125" t="s">
        <v>243</v>
      </c>
      <c r="F12" s="209">
        <v>33478.269999999997</v>
      </c>
      <c r="G12" s="136"/>
      <c r="H12" s="179"/>
      <c r="I12" s="46"/>
      <c r="J12" s="46"/>
      <c r="K12" s="46"/>
      <c r="L12" s="46"/>
      <c r="M12" s="47"/>
      <c r="N12" s="47"/>
      <c r="O12" s="47"/>
      <c r="P12" s="47"/>
      <c r="Q12" s="47"/>
      <c r="R12" s="47"/>
      <c r="AE12" s="48"/>
      <c r="AF12" s="48"/>
    </row>
    <row r="13" spans="1:32" x14ac:dyDescent="0.35">
      <c r="D13" s="57"/>
      <c r="E13" s="190"/>
      <c r="F13" s="190"/>
      <c r="G13" s="136"/>
      <c r="H13" s="179"/>
      <c r="I13" s="46"/>
      <c r="J13" s="46"/>
      <c r="K13" s="46"/>
      <c r="L13" s="46"/>
      <c r="M13" s="47"/>
      <c r="N13" s="47"/>
      <c r="O13" s="47"/>
      <c r="P13" s="47"/>
      <c r="Q13" s="47"/>
      <c r="R13" s="47"/>
      <c r="AE13" s="48"/>
      <c r="AF13" s="48"/>
    </row>
    <row r="14" spans="1:32" ht="15" customHeight="1" x14ac:dyDescent="0.4">
      <c r="B14" s="120" t="s">
        <v>15</v>
      </c>
      <c r="C14" s="116"/>
      <c r="D14" s="57"/>
      <c r="E14" s="57"/>
      <c r="H14" s="46"/>
      <c r="I14" s="46"/>
      <c r="J14" s="46"/>
      <c r="K14" s="46"/>
      <c r="L14" s="46"/>
      <c r="M14" s="47"/>
      <c r="N14" s="47"/>
      <c r="O14" s="47"/>
      <c r="P14" s="47"/>
      <c r="Q14" s="47"/>
      <c r="R14" s="47"/>
      <c r="AE14" s="48"/>
      <c r="AF14" s="48"/>
    </row>
    <row r="15" spans="1:32" ht="11.1" customHeight="1" x14ac:dyDescent="0.4">
      <c r="B15" s="115"/>
      <c r="C15" s="116"/>
      <c r="D15" s="57"/>
      <c r="E15" s="56"/>
      <c r="F15" s="51"/>
      <c r="G15" s="51"/>
      <c r="H15" s="46"/>
      <c r="I15" s="46"/>
      <c r="J15" s="46"/>
      <c r="K15" s="46"/>
      <c r="L15" s="46"/>
      <c r="M15" s="47"/>
      <c r="N15" s="47"/>
      <c r="O15" s="47"/>
      <c r="P15" s="47"/>
      <c r="Q15" s="47"/>
      <c r="R15" s="47"/>
      <c r="AE15" s="48"/>
      <c r="AF15" s="48"/>
    </row>
    <row r="16" spans="1:32" ht="22.2" hidden="1" x14ac:dyDescent="0.35">
      <c r="B16" s="89"/>
      <c r="C16" s="89"/>
      <c r="D16" s="58" t="s">
        <v>16</v>
      </c>
      <c r="E16" s="59"/>
      <c r="F16" s="60"/>
      <c r="G16" s="60"/>
      <c r="H16" s="61"/>
      <c r="I16" s="61"/>
      <c r="J16" s="59"/>
      <c r="K16" s="62"/>
      <c r="L16" s="63" t="s">
        <v>17</v>
      </c>
      <c r="M16" s="64"/>
      <c r="N16" s="64"/>
      <c r="O16" s="64"/>
      <c r="P16" s="64"/>
      <c r="Q16" s="64"/>
      <c r="R16" s="64"/>
      <c r="S16" s="112"/>
      <c r="AE16" s="48"/>
      <c r="AF16" s="48"/>
    </row>
    <row r="17" spans="2:32" s="65" customFormat="1" ht="30.75" customHeight="1" x14ac:dyDescent="0.35">
      <c r="B17" s="106" t="s">
        <v>18</v>
      </c>
      <c r="C17" s="106" t="s">
        <v>19</v>
      </c>
      <c r="D17" s="106" t="s">
        <v>20</v>
      </c>
      <c r="E17" s="107" t="s">
        <v>282</v>
      </c>
      <c r="F17" s="107" t="s">
        <v>21</v>
      </c>
      <c r="G17" s="108" t="s">
        <v>22</v>
      </c>
      <c r="H17" s="108" t="s">
        <v>291</v>
      </c>
      <c r="I17" s="108" t="s">
        <v>244</v>
      </c>
      <c r="J17" s="107" t="s">
        <v>245</v>
      </c>
      <c r="K17" s="108" t="s">
        <v>24</v>
      </c>
      <c r="L17" s="108" t="s">
        <v>25</v>
      </c>
      <c r="M17" s="108" t="s">
        <v>26</v>
      </c>
      <c r="N17" s="108" t="s">
        <v>27</v>
      </c>
      <c r="O17" s="108" t="s">
        <v>28</v>
      </c>
      <c r="P17" s="108" t="s">
        <v>29</v>
      </c>
      <c r="Q17" s="108" t="s">
        <v>30</v>
      </c>
      <c r="R17" s="108" t="s">
        <v>31</v>
      </c>
      <c r="S17" s="112"/>
      <c r="AE17" s="66"/>
      <c r="AF17" s="66"/>
    </row>
    <row r="18" spans="2:32" s="65" customFormat="1" ht="5.85" customHeight="1" x14ac:dyDescent="0.35">
      <c r="B18" s="67"/>
      <c r="C18" s="67"/>
      <c r="D18" s="67"/>
      <c r="E18" s="68"/>
      <c r="F18" s="68"/>
      <c r="G18" s="69"/>
      <c r="H18" s="69"/>
      <c r="I18" s="69"/>
      <c r="J18" s="68"/>
      <c r="K18" s="69"/>
      <c r="L18" s="70"/>
      <c r="M18" s="69"/>
      <c r="N18" s="69"/>
      <c r="O18" s="69"/>
      <c r="P18" s="69"/>
      <c r="Q18" s="69"/>
      <c r="R18" s="69"/>
      <c r="AE18" s="66"/>
      <c r="AF18" s="66"/>
    </row>
    <row r="19" spans="2:32" ht="16.350000000000001" hidden="1" customHeight="1" x14ac:dyDescent="0.35">
      <c r="B19" s="71" t="s">
        <v>254</v>
      </c>
      <c r="C19" s="72" t="s">
        <v>36</v>
      </c>
      <c r="D19" s="129">
        <v>0</v>
      </c>
      <c r="E19" s="72">
        <f>ROUND(G19/F$7,0)</f>
        <v>0</v>
      </c>
      <c r="F19" s="71">
        <v>1</v>
      </c>
      <c r="G19" s="73">
        <f>Sixt!P19*D19</f>
        <v>0</v>
      </c>
      <c r="H19" s="73">
        <f t="shared" ref="H19:H23" si="0">$E19*$F$10*$F19-$G19</f>
        <v>0</v>
      </c>
      <c r="I19" s="73">
        <f t="shared" ref="I19:I23" si="1">G19+H19</f>
        <v>0</v>
      </c>
      <c r="J19" s="74" t="str">
        <f>IFERROR(H19/(I19),"")</f>
        <v/>
      </c>
      <c r="K19" s="73">
        <f t="shared" ref="K19:K23" si="2">$E19*$F$7*$F19</f>
        <v>0</v>
      </c>
      <c r="L19" s="73">
        <f t="shared" ref="L19" si="3">K19-K19/1.19</f>
        <v>0</v>
      </c>
      <c r="M19" s="73">
        <f t="shared" ref="M19:M23" si="4">G19*1.19-G19</f>
        <v>0</v>
      </c>
      <c r="N19" s="73">
        <f t="shared" ref="N19:N24" si="5">(($F$10/0.8*0.2*0.19)*E19)</f>
        <v>0</v>
      </c>
      <c r="O19" s="73">
        <f t="shared" ref="O19:O23" si="6">L19-M19-N19</f>
        <v>0</v>
      </c>
      <c r="P19" s="75">
        <f t="shared" ref="P19:P23" si="7">IFERROR($H19-L19,"")</f>
        <v>0</v>
      </c>
      <c r="Q19" s="74" t="str">
        <f t="shared" ref="Q19:Q23" si="8">IFERROR(($H19-L19)/$I19,"")</f>
        <v/>
      </c>
      <c r="R19" s="76" t="str">
        <f t="shared" ref="R19:R21" si="9">IFERROR((1-Q19)*F19,"")</f>
        <v/>
      </c>
    </row>
    <row r="20" spans="2:32" ht="16.350000000000001" hidden="1" customHeight="1" x14ac:dyDescent="0.35">
      <c r="B20" s="71" t="s">
        <v>250</v>
      </c>
      <c r="C20" s="72" t="s">
        <v>36</v>
      </c>
      <c r="D20" s="129">
        <v>0</v>
      </c>
      <c r="E20" s="72">
        <f>ROUND(G20/F$7,0)</f>
        <v>0</v>
      </c>
      <c r="F20" s="71">
        <v>1</v>
      </c>
      <c r="G20" s="73">
        <f>Sixt!D19*D20</f>
        <v>0</v>
      </c>
      <c r="H20" s="73">
        <f t="shared" si="0"/>
        <v>0</v>
      </c>
      <c r="I20" s="73">
        <f t="shared" si="1"/>
        <v>0</v>
      </c>
      <c r="J20" s="74" t="str">
        <f>IFERROR(H20/(I20),"")</f>
        <v/>
      </c>
      <c r="K20" s="73">
        <f t="shared" si="2"/>
        <v>0</v>
      </c>
      <c r="L20" s="73">
        <f t="shared" ref="L20:L21" si="10">K20-K20/1.19</f>
        <v>0</v>
      </c>
      <c r="M20" s="73">
        <f t="shared" ref="M20:M21" si="11">G20*1.19-G20</f>
        <v>0</v>
      </c>
      <c r="N20" s="73">
        <f t="shared" si="5"/>
        <v>0</v>
      </c>
      <c r="O20" s="73">
        <f t="shared" ref="O20:O21" si="12">L20-M20-N20</f>
        <v>0</v>
      </c>
      <c r="P20" s="75">
        <f t="shared" ref="P20:P21" si="13">IFERROR($H20-L20,"")</f>
        <v>0</v>
      </c>
      <c r="Q20" s="74" t="str">
        <f t="shared" ref="Q20:Q21" si="14">IFERROR(($H20-L20)/$I20,"")</f>
        <v/>
      </c>
      <c r="R20" s="76" t="str">
        <f t="shared" si="9"/>
        <v/>
      </c>
    </row>
    <row r="21" spans="2:32" ht="16.350000000000001" hidden="1" customHeight="1" x14ac:dyDescent="0.35">
      <c r="B21" s="71" t="s">
        <v>251</v>
      </c>
      <c r="C21" s="72" t="s">
        <v>36</v>
      </c>
      <c r="D21" s="129">
        <v>0</v>
      </c>
      <c r="E21" s="72">
        <f t="shared" ref="E21:E23" si="15">ROUND(G21/F$7,0)</f>
        <v>0</v>
      </c>
      <c r="F21" s="71">
        <v>1</v>
      </c>
      <c r="G21" s="73">
        <f>Sixt!G19*D21</f>
        <v>0</v>
      </c>
      <c r="H21" s="73">
        <f t="shared" si="0"/>
        <v>0</v>
      </c>
      <c r="I21" s="73">
        <f t="shared" si="1"/>
        <v>0</v>
      </c>
      <c r="J21" s="74" t="str">
        <f t="shared" ref="J21:J24" si="16">IFERROR(H21/(I21),"")</f>
        <v/>
      </c>
      <c r="K21" s="73">
        <f t="shared" si="2"/>
        <v>0</v>
      </c>
      <c r="L21" s="73">
        <f t="shared" si="10"/>
        <v>0</v>
      </c>
      <c r="M21" s="73">
        <f t="shared" si="11"/>
        <v>0</v>
      </c>
      <c r="N21" s="73">
        <f t="shared" si="5"/>
        <v>0</v>
      </c>
      <c r="O21" s="73">
        <f t="shared" si="12"/>
        <v>0</v>
      </c>
      <c r="P21" s="75">
        <f t="shared" si="13"/>
        <v>0</v>
      </c>
      <c r="Q21" s="74" t="str">
        <f t="shared" si="14"/>
        <v/>
      </c>
      <c r="R21" s="76" t="str">
        <f t="shared" si="9"/>
        <v/>
      </c>
    </row>
    <row r="22" spans="2:32" ht="16.350000000000001" hidden="1" customHeight="1" x14ac:dyDescent="0.35">
      <c r="B22" s="181" t="s">
        <v>252</v>
      </c>
      <c r="C22" s="72" t="s">
        <v>36</v>
      </c>
      <c r="D22" s="129">
        <v>0</v>
      </c>
      <c r="E22" s="72">
        <f t="shared" si="15"/>
        <v>0</v>
      </c>
      <c r="F22" s="71">
        <v>1</v>
      </c>
      <c r="G22" s="73">
        <f>Sixt!J19*D22</f>
        <v>0</v>
      </c>
      <c r="H22" s="73">
        <f t="shared" si="0"/>
        <v>0</v>
      </c>
      <c r="I22" s="73">
        <f t="shared" si="1"/>
        <v>0</v>
      </c>
      <c r="J22" s="74" t="str">
        <f t="shared" si="16"/>
        <v/>
      </c>
      <c r="K22" s="73">
        <f t="shared" si="2"/>
        <v>0</v>
      </c>
      <c r="L22" s="73">
        <f t="shared" ref="L22" si="17">K22-K22/1.19</f>
        <v>0</v>
      </c>
      <c r="M22" s="73">
        <f t="shared" ref="M22" si="18">G22*1.19-G22</f>
        <v>0</v>
      </c>
      <c r="N22" s="73">
        <f t="shared" si="5"/>
        <v>0</v>
      </c>
      <c r="O22" s="73">
        <f t="shared" ref="O22" si="19">L22-M22-N22</f>
        <v>0</v>
      </c>
      <c r="P22" s="75">
        <f t="shared" ref="P22" si="20">IFERROR($H22-L22,"")</f>
        <v>0</v>
      </c>
      <c r="Q22" s="74" t="str">
        <f t="shared" ref="Q22" si="21">IFERROR(($H22-L22)/$I22,"")</f>
        <v/>
      </c>
      <c r="R22" s="76" t="str">
        <f t="shared" ref="R22" si="22">IFERROR((1-Q22)*F22,"")</f>
        <v/>
      </c>
    </row>
    <row r="23" spans="2:32" ht="15.9" hidden="1" customHeight="1" x14ac:dyDescent="0.35">
      <c r="B23" s="71" t="s">
        <v>253</v>
      </c>
      <c r="C23" s="72" t="s">
        <v>36</v>
      </c>
      <c r="D23" s="129">
        <v>0</v>
      </c>
      <c r="E23" s="72">
        <f t="shared" si="15"/>
        <v>0</v>
      </c>
      <c r="F23" s="71">
        <v>1</v>
      </c>
      <c r="G23" s="73">
        <f>Sixt!M19*D23</f>
        <v>0</v>
      </c>
      <c r="H23" s="73">
        <f t="shared" si="0"/>
        <v>0</v>
      </c>
      <c r="I23" s="73">
        <f t="shared" si="1"/>
        <v>0</v>
      </c>
      <c r="J23" s="74" t="str">
        <f t="shared" si="16"/>
        <v/>
      </c>
      <c r="K23" s="73">
        <f t="shared" si="2"/>
        <v>0</v>
      </c>
      <c r="L23" s="73">
        <f t="shared" ref="L23" si="23">K23-K23/1.19</f>
        <v>0</v>
      </c>
      <c r="M23" s="73">
        <f t="shared" si="4"/>
        <v>0</v>
      </c>
      <c r="N23" s="73">
        <f t="shared" si="5"/>
        <v>0</v>
      </c>
      <c r="O23" s="73">
        <f t="shared" si="6"/>
        <v>0</v>
      </c>
      <c r="P23" s="75">
        <f t="shared" si="7"/>
        <v>0</v>
      </c>
      <c r="Q23" s="74" t="str">
        <f t="shared" si="8"/>
        <v/>
      </c>
      <c r="R23" s="76" t="str">
        <f t="shared" ref="R23" si="24">IFERROR((1-Q23)*F23,"")</f>
        <v/>
      </c>
    </row>
    <row r="24" spans="2:32" ht="15.9" customHeight="1" x14ac:dyDescent="0.35">
      <c r="B24" s="71" t="s">
        <v>264</v>
      </c>
      <c r="C24" s="72" t="s">
        <v>32</v>
      </c>
      <c r="D24" s="129">
        <v>1</v>
      </c>
      <c r="E24" s="72">
        <f>ROUND(G24/F$7,0)</f>
        <v>957</v>
      </c>
      <c r="F24" s="72">
        <v>3</v>
      </c>
      <c r="G24" s="73">
        <f>F12*D24</f>
        <v>33478.269999999997</v>
      </c>
      <c r="H24" s="73">
        <f>$E24*$F$10*1.1-$G24</f>
        <v>13893.23000000001</v>
      </c>
      <c r="I24" s="73">
        <f>G24+H24</f>
        <v>47371.500000000007</v>
      </c>
      <c r="J24" s="74">
        <f t="shared" si="16"/>
        <v>0.29328245886239634</v>
      </c>
      <c r="K24" s="73">
        <v>0</v>
      </c>
      <c r="L24" s="73">
        <v>0</v>
      </c>
      <c r="M24" s="73">
        <f>G24*1.19-G24</f>
        <v>6360.8712999999989</v>
      </c>
      <c r="N24" s="73">
        <f t="shared" si="5"/>
        <v>2045.5875000000001</v>
      </c>
      <c r="O24" s="73">
        <f>L24-M24-N24</f>
        <v>-8406.4587999999985</v>
      </c>
      <c r="P24" s="75">
        <f>IFERROR($H24-L24,"")</f>
        <v>13893.23000000001</v>
      </c>
      <c r="Q24" s="74">
        <f>IFERROR(($H24-L24)/$I24,"")</f>
        <v>0.29328245886239634</v>
      </c>
      <c r="R24" s="76">
        <f>IFERROR((1-Q24)*F24,"")</f>
        <v>2.1201526234128112</v>
      </c>
    </row>
    <row r="25" spans="2:32" s="77" customFormat="1" x14ac:dyDescent="0.35">
      <c r="C25" s="78"/>
      <c r="D25" s="79"/>
      <c r="E25" s="78"/>
      <c r="F25" s="80"/>
      <c r="G25" s="81"/>
      <c r="H25" s="81"/>
      <c r="I25" s="81"/>
      <c r="J25" s="82"/>
      <c r="K25" s="81"/>
      <c r="L25" s="81"/>
      <c r="M25" s="81"/>
      <c r="N25" s="81"/>
      <c r="O25" s="81"/>
      <c r="P25" s="81"/>
      <c r="Q25" s="81"/>
      <c r="R25" s="81"/>
    </row>
    <row r="26" spans="2:32" s="88" customFormat="1" ht="18.600000000000001" x14ac:dyDescent="0.4">
      <c r="B26" s="83" t="s">
        <v>50</v>
      </c>
      <c r="C26" s="83"/>
      <c r="D26" s="84">
        <f>SUBTOTAL(9,D19:D24)</f>
        <v>1</v>
      </c>
      <c r="E26" s="85">
        <f>SUBTOTAL(9,E19:E24)</f>
        <v>957</v>
      </c>
      <c r="F26" s="85"/>
      <c r="G26" s="85">
        <f>SUBTOTAL(9,G19:G24)</f>
        <v>33478.269999999997</v>
      </c>
      <c r="H26" s="85">
        <f>SUBTOTAL(9,H19:H24)</f>
        <v>13893.23000000001</v>
      </c>
      <c r="I26" s="85">
        <f>SUBTOTAL(9,I19:I24)</f>
        <v>47371.500000000007</v>
      </c>
      <c r="J26" s="86">
        <f>H26/I26</f>
        <v>0.29328245886239634</v>
      </c>
      <c r="K26" s="85">
        <f t="shared" ref="K26:P26" si="25">SUBTOTAL(9,K19:K24)</f>
        <v>0</v>
      </c>
      <c r="L26" s="85">
        <f t="shared" si="25"/>
        <v>0</v>
      </c>
      <c r="M26" s="85">
        <f t="shared" si="25"/>
        <v>6360.8712999999989</v>
      </c>
      <c r="N26" s="85">
        <f t="shared" si="25"/>
        <v>2045.5875000000001</v>
      </c>
      <c r="O26" s="85">
        <f t="shared" si="25"/>
        <v>-8406.4587999999985</v>
      </c>
      <c r="P26" s="85">
        <f t="shared" si="25"/>
        <v>13893.23000000001</v>
      </c>
      <c r="Q26" s="86">
        <f>($H26-L26)/$I26</f>
        <v>0.29328245886239634</v>
      </c>
      <c r="R26" s="87">
        <f>IFERROR((1-Q26)*F26,"")</f>
        <v>0</v>
      </c>
    </row>
    <row r="27" spans="2:32" x14ac:dyDescent="0.35">
      <c r="E27" s="189" t="str">
        <f>"Das enspricht "&amp;TEXT(E26/(C10),"0,0%") &amp; " des Leerstands p.a. über 3 Jahre."</f>
        <v>Das enspricht 13,4% des Leerstands p.a. über 3 Jahre.</v>
      </c>
      <c r="H27" s="178"/>
    </row>
    <row r="28" spans="2:32" x14ac:dyDescent="0.35">
      <c r="H28" s="178"/>
      <c r="I28" s="17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43" t="s">
        <v>206</v>
      </c>
      <c r="B1" s="144" t="s">
        <v>207</v>
      </c>
      <c r="C1" s="144"/>
      <c r="D1" s="145" t="s">
        <v>207</v>
      </c>
      <c r="E1" s="144" t="s">
        <v>208</v>
      </c>
      <c r="F1" s="144"/>
      <c r="G1" s="145" t="s">
        <v>208</v>
      </c>
      <c r="H1" s="144" t="s">
        <v>209</v>
      </c>
      <c r="I1" s="144"/>
      <c r="J1" s="145" t="s">
        <v>209</v>
      </c>
      <c r="K1" s="144" t="s">
        <v>210</v>
      </c>
      <c r="L1" s="144"/>
      <c r="M1" s="145" t="s">
        <v>210</v>
      </c>
      <c r="N1" s="144" t="s">
        <v>211</v>
      </c>
      <c r="O1" s="144"/>
      <c r="P1" s="145" t="s">
        <v>278</v>
      </c>
    </row>
    <row r="2" spans="1:16" ht="15.6" x14ac:dyDescent="0.3">
      <c r="A2" s="143" t="s">
        <v>212</v>
      </c>
      <c r="B2" s="144" t="s">
        <v>213</v>
      </c>
      <c r="C2" s="144"/>
      <c r="D2" s="145" t="s">
        <v>214</v>
      </c>
      <c r="E2" s="144" t="s">
        <v>213</v>
      </c>
      <c r="F2" s="144"/>
      <c r="G2" s="145" t="s">
        <v>214</v>
      </c>
      <c r="H2" s="144"/>
      <c r="I2" s="144"/>
      <c r="J2" s="145" t="s">
        <v>214</v>
      </c>
      <c r="K2" s="144" t="s">
        <v>215</v>
      </c>
      <c r="L2" s="144"/>
      <c r="M2" s="145" t="s">
        <v>214</v>
      </c>
      <c r="N2" s="144"/>
      <c r="O2" s="144"/>
      <c r="P2" s="145" t="s">
        <v>214</v>
      </c>
    </row>
    <row r="3" spans="1:16" ht="46.8" x14ac:dyDescent="0.3">
      <c r="A3" s="147" t="s">
        <v>216</v>
      </c>
      <c r="B3" s="148" t="s">
        <v>217</v>
      </c>
      <c r="C3" s="148" t="s">
        <v>238</v>
      </c>
      <c r="D3" s="149" t="s">
        <v>218</v>
      </c>
      <c r="E3" s="148" t="s">
        <v>217</v>
      </c>
      <c r="F3" s="148"/>
      <c r="G3" s="150" t="s">
        <v>219</v>
      </c>
      <c r="H3" s="148" t="s">
        <v>220</v>
      </c>
      <c r="I3" s="148"/>
      <c r="J3" s="150" t="s">
        <v>219</v>
      </c>
      <c r="K3" s="148" t="s">
        <v>221</v>
      </c>
      <c r="L3" s="148"/>
      <c r="M3" s="149" t="s">
        <v>218</v>
      </c>
      <c r="N3" s="148" t="s">
        <v>222</v>
      </c>
      <c r="O3" s="148"/>
      <c r="P3" s="149"/>
    </row>
    <row r="4" spans="1:16" ht="15.6" x14ac:dyDescent="0.3">
      <c r="A4" s="151" t="s">
        <v>223</v>
      </c>
      <c r="B4" s="152" t="s">
        <v>224</v>
      </c>
      <c r="C4" s="152"/>
      <c r="D4" s="153" t="s">
        <v>224</v>
      </c>
      <c r="E4" s="152" t="s">
        <v>224</v>
      </c>
      <c r="F4" s="152"/>
      <c r="G4" s="153" t="s">
        <v>224</v>
      </c>
      <c r="H4" s="152" t="s">
        <v>225</v>
      </c>
      <c r="I4" s="152"/>
      <c r="J4" s="153" t="s">
        <v>225</v>
      </c>
      <c r="K4" s="152" t="s">
        <v>226</v>
      </c>
      <c r="L4" s="152"/>
      <c r="M4" s="153" t="s">
        <v>226</v>
      </c>
      <c r="N4" s="152" t="s">
        <v>227</v>
      </c>
      <c r="O4" s="152"/>
      <c r="P4" s="153"/>
    </row>
    <row r="5" spans="1:16" ht="15.6" x14ac:dyDescent="0.3">
      <c r="A5" s="151" t="s">
        <v>228</v>
      </c>
      <c r="B5" s="154">
        <v>499</v>
      </c>
      <c r="C5" s="154"/>
      <c r="D5" s="155">
        <v>399</v>
      </c>
      <c r="E5" s="154">
        <v>499</v>
      </c>
      <c r="F5" s="154"/>
      <c r="G5" s="155">
        <v>499</v>
      </c>
      <c r="H5" s="154">
        <v>649</v>
      </c>
      <c r="I5" s="154"/>
      <c r="J5" s="155">
        <v>649</v>
      </c>
      <c r="K5" s="154">
        <v>899</v>
      </c>
      <c r="L5" s="154"/>
      <c r="M5" s="155">
        <v>629</v>
      </c>
      <c r="N5" s="154">
        <v>1099</v>
      </c>
      <c r="O5" s="154"/>
      <c r="P5" s="155"/>
    </row>
    <row r="6" spans="1:16" ht="15.6" x14ac:dyDescent="0.3">
      <c r="A6" s="151"/>
      <c r="B6" s="156"/>
      <c r="C6" s="156"/>
      <c r="D6" s="157"/>
      <c r="E6" s="156"/>
      <c r="F6" s="156"/>
      <c r="G6" s="157"/>
      <c r="H6" s="146"/>
      <c r="I6" s="146"/>
      <c r="J6" s="158"/>
      <c r="K6" s="146"/>
      <c r="L6" s="146"/>
      <c r="M6" s="158"/>
      <c r="N6" s="159"/>
      <c r="O6" s="146"/>
      <c r="P6" s="158"/>
    </row>
    <row r="7" spans="1:16" ht="15.6" x14ac:dyDescent="0.3">
      <c r="A7" s="151" t="s">
        <v>229</v>
      </c>
      <c r="B7" s="160">
        <v>563.99</v>
      </c>
      <c r="C7" s="129">
        <v>1</v>
      </c>
      <c r="D7" s="161">
        <v>463.98</v>
      </c>
      <c r="E7" s="160">
        <v>563.99</v>
      </c>
      <c r="F7" s="129">
        <v>1</v>
      </c>
      <c r="G7" s="161">
        <v>533.99</v>
      </c>
      <c r="H7" s="162">
        <v>713.99</v>
      </c>
      <c r="I7" s="129">
        <v>1</v>
      </c>
      <c r="J7" s="163">
        <v>613.99</v>
      </c>
      <c r="K7" s="162">
        <v>963.98</v>
      </c>
      <c r="L7" s="129">
        <v>1</v>
      </c>
      <c r="M7" s="163">
        <v>693.98</v>
      </c>
      <c r="N7" s="162">
        <v>1188.99</v>
      </c>
      <c r="O7" s="129"/>
      <c r="P7" s="163"/>
    </row>
    <row r="8" spans="1:16" ht="15.6" x14ac:dyDescent="0.3">
      <c r="A8" s="164" t="s">
        <v>230</v>
      </c>
      <c r="B8" s="165">
        <v>499</v>
      </c>
      <c r="C8" s="129"/>
      <c r="D8" s="166">
        <v>399</v>
      </c>
      <c r="E8" s="165">
        <v>499</v>
      </c>
      <c r="F8" s="129"/>
      <c r="G8" s="166">
        <v>469</v>
      </c>
      <c r="H8" s="167">
        <v>649</v>
      </c>
      <c r="I8" s="129"/>
      <c r="J8" s="168">
        <v>549</v>
      </c>
      <c r="K8" s="167">
        <v>899</v>
      </c>
      <c r="L8" s="129"/>
      <c r="M8" s="168">
        <v>629</v>
      </c>
      <c r="N8" s="167">
        <v>1099</v>
      </c>
      <c r="O8" s="129"/>
      <c r="P8" s="168"/>
    </row>
    <row r="9" spans="1:16" ht="15.6" x14ac:dyDescent="0.3">
      <c r="A9" s="164" t="s">
        <v>231</v>
      </c>
      <c r="B9" s="165">
        <v>648.99</v>
      </c>
      <c r="C9" s="129"/>
      <c r="D9" s="166">
        <v>548.98</v>
      </c>
      <c r="E9" s="165">
        <v>648.99</v>
      </c>
      <c r="F9" s="129"/>
      <c r="G9" s="166">
        <v>618.99</v>
      </c>
      <c r="H9" s="167">
        <v>798.99</v>
      </c>
      <c r="I9" s="129"/>
      <c r="J9" s="168">
        <v>698.99</v>
      </c>
      <c r="K9" s="167">
        <v>1048.99</v>
      </c>
      <c r="L9" s="129"/>
      <c r="M9" s="168">
        <v>778.99</v>
      </c>
      <c r="N9" s="167">
        <v>1278.99</v>
      </c>
      <c r="O9" s="129"/>
      <c r="P9" s="168"/>
    </row>
    <row r="10" spans="1:16" ht="15.6" x14ac:dyDescent="0.3">
      <c r="A10" s="151" t="s">
        <v>232</v>
      </c>
      <c r="B10" s="160">
        <v>89.99</v>
      </c>
      <c r="C10" s="129">
        <v>1</v>
      </c>
      <c r="D10" s="161">
        <v>89.99</v>
      </c>
      <c r="E10" s="160">
        <v>89.99</v>
      </c>
      <c r="F10" s="129">
        <v>1</v>
      </c>
      <c r="G10" s="161">
        <v>89.99</v>
      </c>
      <c r="H10" s="162">
        <v>89.99</v>
      </c>
      <c r="I10" s="129">
        <v>1</v>
      </c>
      <c r="J10" s="163">
        <v>89.99</v>
      </c>
      <c r="K10" s="162">
        <v>109.99</v>
      </c>
      <c r="L10" s="129">
        <v>1</v>
      </c>
      <c r="M10" s="163">
        <v>109.99</v>
      </c>
      <c r="N10" s="162">
        <v>129.97999999999999</v>
      </c>
      <c r="O10" s="129"/>
      <c r="P10" s="163"/>
    </row>
    <row r="11" spans="1:16" ht="15.6" x14ac:dyDescent="0.3">
      <c r="A11" s="151" t="s">
        <v>233</v>
      </c>
      <c r="B11" s="160">
        <v>29.99</v>
      </c>
      <c r="C11" s="129">
        <v>1</v>
      </c>
      <c r="D11" s="161">
        <v>29.99</v>
      </c>
      <c r="E11" s="160">
        <v>29.99</v>
      </c>
      <c r="F11" s="129">
        <v>1</v>
      </c>
      <c r="G11" s="161">
        <v>29.99</v>
      </c>
      <c r="H11" s="162">
        <v>29.99</v>
      </c>
      <c r="I11" s="129">
        <v>1</v>
      </c>
      <c r="J11" s="163">
        <v>29.99</v>
      </c>
      <c r="K11" s="162">
        <v>29.99</v>
      </c>
      <c r="L11" s="129">
        <v>1</v>
      </c>
      <c r="M11" s="163">
        <v>29.99</v>
      </c>
      <c r="N11" s="162">
        <v>29.99</v>
      </c>
      <c r="O11" s="129"/>
      <c r="P11" s="163"/>
    </row>
    <row r="12" spans="1:16" ht="15.6" x14ac:dyDescent="0.3">
      <c r="A12" s="151" t="s">
        <v>234</v>
      </c>
      <c r="B12" s="160">
        <v>9.98</v>
      </c>
      <c r="C12" s="129">
        <v>1</v>
      </c>
      <c r="D12" s="161">
        <v>9.98</v>
      </c>
      <c r="E12" s="160">
        <v>9.98</v>
      </c>
      <c r="F12" s="129">
        <v>1</v>
      </c>
      <c r="G12" s="161">
        <v>9.98</v>
      </c>
      <c r="H12" s="162">
        <v>9.98</v>
      </c>
      <c r="I12" s="129">
        <v>1</v>
      </c>
      <c r="J12" s="163">
        <v>9.98</v>
      </c>
      <c r="K12" s="162">
        <v>9.98</v>
      </c>
      <c r="L12" s="129">
        <v>1</v>
      </c>
      <c r="M12" s="163">
        <v>9.98</v>
      </c>
      <c r="N12" s="162">
        <v>9.98</v>
      </c>
      <c r="O12" s="129"/>
      <c r="P12" s="163"/>
    </row>
    <row r="13" spans="1:16" ht="15.6" x14ac:dyDescent="0.3">
      <c r="A13" s="151" t="s">
        <v>235</v>
      </c>
      <c r="B13" s="160">
        <v>29.99</v>
      </c>
      <c r="C13" s="129"/>
      <c r="D13" s="161"/>
      <c r="E13" s="160">
        <v>29.99</v>
      </c>
      <c r="F13" s="129">
        <v>1</v>
      </c>
      <c r="G13" s="161">
        <v>29.99</v>
      </c>
      <c r="H13" s="162">
        <v>29.99</v>
      </c>
      <c r="I13" s="129">
        <v>1</v>
      </c>
      <c r="J13" s="163">
        <v>29.99</v>
      </c>
      <c r="K13" s="162">
        <v>29.99</v>
      </c>
      <c r="L13" s="129"/>
      <c r="M13" s="163"/>
      <c r="N13" s="162">
        <v>29.99</v>
      </c>
      <c r="O13" s="129"/>
      <c r="P13" s="163"/>
    </row>
    <row r="14" spans="1:16" ht="15.6" x14ac:dyDescent="0.3">
      <c r="A14" s="151" t="s">
        <v>236</v>
      </c>
      <c r="B14" s="160">
        <v>14.98</v>
      </c>
      <c r="C14" s="129">
        <v>1</v>
      </c>
      <c r="D14" s="161">
        <v>15</v>
      </c>
      <c r="E14" s="160">
        <v>14.98</v>
      </c>
      <c r="F14" s="129">
        <v>1</v>
      </c>
      <c r="G14" s="161">
        <v>15</v>
      </c>
      <c r="H14" s="162">
        <v>14.98</v>
      </c>
      <c r="I14" s="129">
        <v>1</v>
      </c>
      <c r="J14" s="163">
        <v>15</v>
      </c>
      <c r="K14" s="162">
        <v>14.98</v>
      </c>
      <c r="L14" s="129">
        <v>1</v>
      </c>
      <c r="M14" s="163">
        <v>15</v>
      </c>
      <c r="N14" s="162">
        <v>14.98</v>
      </c>
      <c r="O14" s="129"/>
      <c r="P14" s="163"/>
    </row>
    <row r="15" spans="1:16" ht="16.2" thickBot="1" x14ac:dyDescent="0.35">
      <c r="A15" s="169" t="s">
        <v>240</v>
      </c>
      <c r="B15" s="170">
        <v>59.97</v>
      </c>
      <c r="C15" s="129">
        <v>3</v>
      </c>
      <c r="D15" s="171">
        <v>19.989999999999998</v>
      </c>
      <c r="E15" s="170">
        <v>59.97</v>
      </c>
      <c r="F15" s="129">
        <v>3</v>
      </c>
      <c r="G15" s="171">
        <v>19.989999999999998</v>
      </c>
      <c r="H15" s="172">
        <v>59.97</v>
      </c>
      <c r="I15" s="129">
        <v>3</v>
      </c>
      <c r="J15" s="171">
        <v>19.989999999999998</v>
      </c>
      <c r="K15" s="172">
        <v>59.97</v>
      </c>
      <c r="L15" s="129">
        <v>3</v>
      </c>
      <c r="M15" s="171">
        <v>19.989999999999998</v>
      </c>
      <c r="N15" s="172">
        <v>59.97</v>
      </c>
      <c r="O15" s="129"/>
      <c r="P15" s="171"/>
    </row>
    <row r="16" spans="1:16" ht="16.2" thickTop="1" x14ac:dyDescent="0.3">
      <c r="A16" s="151"/>
      <c r="B16" s="156"/>
      <c r="C16" s="156"/>
      <c r="D16" s="157"/>
      <c r="E16" s="156"/>
      <c r="F16" s="156"/>
      <c r="G16" s="157"/>
      <c r="H16" s="146"/>
      <c r="I16" s="146"/>
      <c r="J16" s="158"/>
      <c r="K16" s="146"/>
      <c r="L16" s="146"/>
      <c r="M16" s="158"/>
      <c r="N16" s="146"/>
      <c r="O16" s="146"/>
      <c r="P16" s="158"/>
    </row>
    <row r="17" spans="1:16" ht="15.6" x14ac:dyDescent="0.3">
      <c r="A17" s="173" t="s">
        <v>239</v>
      </c>
      <c r="B17" s="174"/>
      <c r="C17" s="174"/>
      <c r="D17" s="175">
        <f>SUMPRODUCT(C7:C15,D7:D15)</f>
        <v>668.91000000000008</v>
      </c>
      <c r="E17" s="174"/>
      <c r="F17" s="174"/>
      <c r="G17" s="175">
        <f>SUMPRODUCT(F7:F15,G7:G15)</f>
        <v>768.91000000000008</v>
      </c>
      <c r="H17" s="176"/>
      <c r="I17" s="176"/>
      <c r="J17" s="175">
        <f>SUMPRODUCT(I7:I15,J7:J15)</f>
        <v>848.91000000000008</v>
      </c>
      <c r="K17" s="176"/>
      <c r="L17" s="176"/>
      <c r="M17" s="175">
        <f>SUMPRODUCT(L7:L15,M7:M15)</f>
        <v>918.91000000000008</v>
      </c>
      <c r="N17" s="176"/>
      <c r="O17" s="146"/>
      <c r="P17" s="175">
        <f>SUMPRODUCT(O7:O15,P7:P15)</f>
        <v>0</v>
      </c>
    </row>
    <row r="18" spans="1:16" ht="15.6" x14ac:dyDescent="0.3">
      <c r="A18" s="177" t="s">
        <v>237</v>
      </c>
      <c r="B18" s="156"/>
      <c r="C18" s="156"/>
      <c r="D18" s="160"/>
      <c r="E18" s="156"/>
      <c r="F18" s="156"/>
      <c r="G18" s="156"/>
      <c r="H18" s="146"/>
      <c r="I18" s="146"/>
      <c r="J18" s="146"/>
      <c r="K18" s="146"/>
      <c r="L18" s="146"/>
      <c r="M18" s="146"/>
      <c r="N18" s="146"/>
      <c r="O18" s="146"/>
    </row>
    <row r="19" spans="1:16" ht="15.6" x14ac:dyDescent="0.3">
      <c r="A19" s="173" t="s">
        <v>241</v>
      </c>
      <c r="B19" s="156"/>
      <c r="C19" s="156"/>
      <c r="D19" s="174">
        <f>D17*12</f>
        <v>8026.920000000001</v>
      </c>
      <c r="E19" s="156"/>
      <c r="F19" s="156"/>
      <c r="G19" s="174">
        <f>G17*12</f>
        <v>9226.9200000000019</v>
      </c>
      <c r="H19" s="146"/>
      <c r="I19" s="146"/>
      <c r="J19" s="174">
        <f>J17*12</f>
        <v>10186.920000000002</v>
      </c>
      <c r="K19" s="146"/>
      <c r="L19" s="146"/>
      <c r="M19" s="174">
        <f>M17*12</f>
        <v>11026.920000000002</v>
      </c>
      <c r="N19" s="146"/>
      <c r="O19" s="146"/>
      <c r="P19" s="174">
        <f>P17*12</f>
        <v>0</v>
      </c>
    </row>
    <row r="20" spans="1:16" ht="15.6" x14ac:dyDescent="0.3">
      <c r="A20" s="173" t="s">
        <v>242</v>
      </c>
      <c r="B20" s="174"/>
      <c r="C20" s="174">
        <f>SUM(C19:O19)</f>
        <v>38467.680000000008</v>
      </c>
      <c r="D20" s="174"/>
      <c r="E20" s="156"/>
      <c r="F20" s="156"/>
      <c r="G20" s="174"/>
      <c r="H20" s="146"/>
      <c r="I20" s="146"/>
      <c r="J20" s="174"/>
      <c r="K20" s="146"/>
      <c r="L20" s="146"/>
      <c r="M20" s="174"/>
      <c r="N20" s="146"/>
      <c r="O20" s="146"/>
    </row>
    <row r="21" spans="1:16" ht="15.6" x14ac:dyDescent="0.3">
      <c r="A21" s="146"/>
      <c r="B21" s="156"/>
      <c r="C21" s="156"/>
      <c r="D21" s="156"/>
      <c r="E21" s="156"/>
      <c r="F21" s="156"/>
      <c r="G21" s="156"/>
      <c r="H21" s="146"/>
      <c r="I21" s="146"/>
      <c r="J21" s="146"/>
      <c r="K21" s="146"/>
      <c r="L21" s="146"/>
      <c r="M21" s="146"/>
      <c r="N21" s="146"/>
      <c r="O21" s="14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7" sqref="G27"/>
    </sheetView>
  </sheetViews>
  <sheetFormatPr baseColWidth="10" defaultColWidth="8.5546875" defaultRowHeight="14.4" x14ac:dyDescent="0.35"/>
  <cols>
    <col min="1" max="1" width="3" style="93" customWidth="1"/>
    <col min="2" max="2" width="41" style="93" bestFit="1" customWidth="1"/>
    <col min="3" max="3" width="37.44140625" style="202" bestFit="1" customWidth="1"/>
    <col min="4" max="5" width="8.5546875" style="93"/>
    <col min="6" max="6" width="11.88671875" style="93" bestFit="1" customWidth="1"/>
    <col min="7" max="16384" width="8.5546875" style="93"/>
  </cols>
  <sheetData>
    <row r="2" spans="2:11" x14ac:dyDescent="0.35">
      <c r="B2" s="99" t="s">
        <v>51</v>
      </c>
      <c r="C2" s="193">
        <v>25</v>
      </c>
    </row>
    <row r="3" spans="2:11" x14ac:dyDescent="0.35">
      <c r="B3" s="99" t="s">
        <v>52</v>
      </c>
      <c r="C3" s="193">
        <v>45</v>
      </c>
    </row>
    <row r="4" spans="2:11" x14ac:dyDescent="0.35">
      <c r="B4" s="99" t="s">
        <v>53</v>
      </c>
      <c r="C4" s="194">
        <f>+C3-C2</f>
        <v>20</v>
      </c>
    </row>
    <row r="5" spans="2:11" ht="6" customHeight="1" x14ac:dyDescent="0.35">
      <c r="C5" s="195"/>
    </row>
    <row r="6" spans="2:11" x14ac:dyDescent="0.35">
      <c r="B6" s="99" t="s">
        <v>54</v>
      </c>
      <c r="C6" s="193" t="s">
        <v>264</v>
      </c>
    </row>
    <row r="7" spans="2:11" x14ac:dyDescent="0.35">
      <c r="B7" s="99" t="s">
        <v>55</v>
      </c>
      <c r="C7" s="194">
        <f>IFERROR(INDEX('Preise Output'!$B$19:$E$24,MATCH(Preisvergleich!$C$6,'Preise Output'!$B$19:$B$24,0),4)/INDEX('Preise Output'!$B$19:$E$24,MATCH(Preisvergleich!$C$6,'Preise Output'!$B$19:$B$24,0),3),"--")</f>
        <v>957</v>
      </c>
    </row>
    <row r="9" spans="2:11" x14ac:dyDescent="0.35">
      <c r="B9" s="105" t="s">
        <v>56</v>
      </c>
      <c r="C9" s="196"/>
    </row>
    <row r="11" spans="2:11" ht="15" thickBot="1" x14ac:dyDescent="0.4">
      <c r="B11" s="102" t="s">
        <v>255</v>
      </c>
      <c r="C11" s="197">
        <f>C12</f>
        <v>28133</v>
      </c>
    </row>
    <row r="12" spans="2:11" x14ac:dyDescent="0.35">
      <c r="B12" s="182" t="s">
        <v>285</v>
      </c>
      <c r="C12" s="198">
        <f>F13+F14</f>
        <v>28133</v>
      </c>
      <c r="E12" s="93" t="s">
        <v>286</v>
      </c>
      <c r="F12" s="93" t="s">
        <v>287</v>
      </c>
    </row>
    <row r="13" spans="2:11" x14ac:dyDescent="0.35">
      <c r="B13" s="94" t="str">
        <f>"Mehrwertsteuer " &amp; TEXT(E13,"0%")</f>
        <v>Mehrwertsteuer 7%</v>
      </c>
      <c r="C13" s="199">
        <f>E13*F13</f>
        <v>0</v>
      </c>
      <c r="E13" s="191">
        <v>7.0000000000000007E-2</v>
      </c>
      <c r="F13" s="100">
        <v>0</v>
      </c>
    </row>
    <row r="14" spans="2:11" ht="15" thickBot="1" x14ac:dyDescent="0.4">
      <c r="B14" s="95" t="str">
        <f>"Mehrwertsteuer " &amp; TEXT(E14,"0%")</f>
        <v>Mehrwertsteuer 19%</v>
      </c>
      <c r="C14" s="200">
        <f>F14*E14</f>
        <v>5345.27</v>
      </c>
      <c r="E14" s="191">
        <v>0.19</v>
      </c>
      <c r="F14" s="132">
        <f>(F18-F13*(1+E13))/(1+E14)</f>
        <v>28133</v>
      </c>
    </row>
    <row r="15" spans="2:11" hidden="1" x14ac:dyDescent="0.35">
      <c r="B15" s="101" t="s">
        <v>61</v>
      </c>
      <c r="C15" s="201"/>
      <c r="K15" s="132"/>
    </row>
    <row r="16" spans="2:11" hidden="1" x14ac:dyDescent="0.35">
      <c r="B16" s="94" t="s">
        <v>179</v>
      </c>
      <c r="D16" s="132"/>
    </row>
    <row r="17" spans="2:8" ht="15" hidden="1" thickBot="1" x14ac:dyDescent="0.4">
      <c r="B17" s="95" t="s">
        <v>62</v>
      </c>
      <c r="C17" s="203"/>
      <c r="D17" s="93" t="s">
        <v>184</v>
      </c>
    </row>
    <row r="18" spans="2:8" x14ac:dyDescent="0.35">
      <c r="B18" s="96" t="s">
        <v>180</v>
      </c>
      <c r="C18" s="204">
        <f>SUM(C12:C14)</f>
        <v>33478.270000000004</v>
      </c>
      <c r="F18" s="93">
        <f>'Preise Output'!G26</f>
        <v>33478.269999999997</v>
      </c>
    </row>
    <row r="21" spans="2:8" x14ac:dyDescent="0.35">
      <c r="B21" s="105" t="s">
        <v>63</v>
      </c>
      <c r="C21" s="196"/>
    </row>
    <row r="22" spans="2:8" ht="6.75" customHeight="1" x14ac:dyDescent="0.35"/>
    <row r="23" spans="2:8" x14ac:dyDescent="0.35">
      <c r="B23" s="97" t="s">
        <v>258</v>
      </c>
    </row>
    <row r="24" spans="2:8" x14ac:dyDescent="0.35">
      <c r="B24" s="103" t="str">
        <f>C7&amp;" "&amp;"Gutscheine"&amp;" "&amp;"x"&amp;" "&amp;ROUND('Preise Output'!F7,2)&amp;"€"&amp;" "&amp;"je"&amp;" "&amp;"Gutschein"</f>
        <v>957 Gutscheine x 35€ je Gutschein</v>
      </c>
      <c r="C24" s="205">
        <f>IFERROR(C7*'Preise Output'!$F$7,"--")</f>
        <v>33495</v>
      </c>
    </row>
    <row r="25" spans="2:8" x14ac:dyDescent="0.35">
      <c r="B25" s="93" t="str">
        <f>"Das enspricht "&amp;TEXT('Preise Output'!E26/('Preise Output'!C10),"0,0%") &amp; " des Leerstands p.a."</f>
        <v>Das enspricht 13,4% des Leerstands p.a.</v>
      </c>
      <c r="C25" s="199"/>
      <c r="E25" s="93" t="s">
        <v>286</v>
      </c>
      <c r="F25" s="93" t="s">
        <v>287</v>
      </c>
    </row>
    <row r="26" spans="2:8" x14ac:dyDescent="0.35">
      <c r="B26" s="94" t="str">
        <f>"Mehrwertsteuer " &amp; TEXT(E26,"0%")</f>
        <v>Mehrwertsteuer 7%</v>
      </c>
      <c r="C26" s="202">
        <f>IFERROR(F26*E26,"--")</f>
        <v>2009.7000000000003</v>
      </c>
      <c r="E26" s="191">
        <v>7.0000000000000007E-2</v>
      </c>
      <c r="F26" s="132">
        <f>C24-F27</f>
        <v>28710</v>
      </c>
    </row>
    <row r="27" spans="2:8" ht="15" thickBot="1" x14ac:dyDescent="0.4">
      <c r="B27" s="95" t="str">
        <f>"Mehrwertsteuer " &amp; TEXT(E27,"0%")</f>
        <v>Mehrwertsteuer 19%</v>
      </c>
      <c r="C27" s="202">
        <f>IFERROR(F27*E27,"--")</f>
        <v>909.15</v>
      </c>
      <c r="E27" s="191">
        <v>0.19</v>
      </c>
      <c r="F27" s="132">
        <f>G27*C7</f>
        <v>4785</v>
      </c>
      <c r="G27" s="100">
        <v>5</v>
      </c>
      <c r="H27" s="93" t="s">
        <v>292</v>
      </c>
    </row>
    <row r="30" spans="2:8" x14ac:dyDescent="0.35">
      <c r="B30" s="92" t="s">
        <v>64</v>
      </c>
    </row>
    <row r="31" spans="2:8" x14ac:dyDescent="0.35">
      <c r="B31" s="103" t="str">
        <f>C4&amp;"€"&amp;" "&amp;"je"&amp;" "&amp;"Gutschein"&amp;" "&amp;"x"&amp;" "&amp;C7&amp;" "&amp;"Roomnights"</f>
        <v>20€ je Gutschein x 957 Roomnights</v>
      </c>
      <c r="C31" s="205">
        <f>C7*C4</f>
        <v>19140</v>
      </c>
    </row>
    <row r="32" spans="2:8" x14ac:dyDescent="0.35">
      <c r="B32" s="104" t="s">
        <v>293</v>
      </c>
      <c r="C32" s="197">
        <f>C26+C27</f>
        <v>2918.8500000000004</v>
      </c>
    </row>
    <row r="33" spans="2:3" ht="15" thickBot="1" x14ac:dyDescent="0.4">
      <c r="B33" s="111" t="s">
        <v>288</v>
      </c>
      <c r="C33" s="206">
        <f>-(C13+C14)</f>
        <v>-5345.27</v>
      </c>
    </row>
    <row r="34" spans="2:3" x14ac:dyDescent="0.35">
      <c r="B34" s="92" t="s">
        <v>271</v>
      </c>
      <c r="C34" s="204">
        <f>SUM(C31:C33)</f>
        <v>16713.579999999998</v>
      </c>
    </row>
    <row r="36" spans="2:3" x14ac:dyDescent="0.35">
      <c r="B36" s="98" t="s">
        <v>65</v>
      </c>
      <c r="C36" s="207">
        <f>C12-C34</f>
        <v>11419.420000000002</v>
      </c>
    </row>
    <row r="37" spans="2:3" x14ac:dyDescent="0.35">
      <c r="B37" s="93" t="s">
        <v>289</v>
      </c>
      <c r="C37" s="208">
        <f>C36/C12</f>
        <v>0.40590836384317358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5" customWidth="1"/>
    <col min="18" max="18" width="14.44140625" customWidth="1"/>
    <col min="19" max="19" width="15.44140625" customWidth="1"/>
    <col min="20" max="20" width="12" bestFit="1" customWidth="1"/>
  </cols>
  <sheetData>
    <row r="2" spans="2:19" s="90" customFormat="1" ht="24" customHeight="1" x14ac:dyDescent="0.3">
      <c r="B2" s="90" t="s">
        <v>66</v>
      </c>
      <c r="Q2" s="91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09" t="s">
        <v>6</v>
      </c>
      <c r="C4" s="109" t="s">
        <v>54</v>
      </c>
      <c r="D4" s="109" t="s">
        <v>70</v>
      </c>
      <c r="E4" s="109" t="s">
        <v>71</v>
      </c>
      <c r="F4" s="109" t="s">
        <v>257</v>
      </c>
      <c r="G4" s="109" t="s">
        <v>255</v>
      </c>
      <c r="H4" s="109" t="s">
        <v>240</v>
      </c>
      <c r="I4" s="109" t="s">
        <v>256</v>
      </c>
      <c r="J4" s="109"/>
      <c r="K4" s="109" t="s">
        <v>236</v>
      </c>
      <c r="L4" s="109" t="s">
        <v>61</v>
      </c>
      <c r="M4" s="109" t="s">
        <v>79</v>
      </c>
      <c r="N4" s="109" t="s">
        <v>195</v>
      </c>
      <c r="O4" s="109" t="s">
        <v>176</v>
      </c>
      <c r="P4" s="109" t="s">
        <v>21</v>
      </c>
      <c r="Q4" s="110" t="s">
        <v>22</v>
      </c>
      <c r="R4" s="109" t="s">
        <v>81</v>
      </c>
      <c r="S4" s="109" t="s">
        <v>82</v>
      </c>
    </row>
    <row r="5" spans="2:19" s="1" customFormat="1" x14ac:dyDescent="0.3">
      <c r="B5" s="6" t="s">
        <v>83</v>
      </c>
      <c r="C5" s="7" t="s">
        <v>174</v>
      </c>
      <c r="D5" s="7" t="s">
        <v>84</v>
      </c>
      <c r="E5" s="7"/>
      <c r="F5" s="8">
        <v>0</v>
      </c>
      <c r="G5" s="32">
        <f>1784*1.07+50</f>
        <v>1958.88</v>
      </c>
      <c r="H5" s="8">
        <f>125</f>
        <v>125</v>
      </c>
      <c r="I5" s="8">
        <f t="shared" ref="I5:I9" si="0">99+100</f>
        <v>199</v>
      </c>
      <c r="J5" s="8">
        <f t="shared" ref="J5:J9" si="1">79*3</f>
        <v>237</v>
      </c>
      <c r="K5" s="8">
        <v>59</v>
      </c>
      <c r="L5" s="8"/>
      <c r="M5" s="8">
        <v>0</v>
      </c>
      <c r="N5" s="8">
        <v>65</v>
      </c>
      <c r="O5" s="8">
        <v>100</v>
      </c>
      <c r="P5" s="9">
        <v>3</v>
      </c>
      <c r="Q5" s="10">
        <f>G5+H5+K5+I5*(P5-1)+N5*P5+J5*P5+O5</f>
        <v>3546.88</v>
      </c>
      <c r="R5" s="10">
        <f>Q5/P5</f>
        <v>1182.2933333333333</v>
      </c>
      <c r="S5" s="7"/>
    </row>
    <row r="6" spans="2:19" s="1" customFormat="1" x14ac:dyDescent="0.3">
      <c r="B6" s="6" t="s">
        <v>83</v>
      </c>
      <c r="C6" s="7" t="s">
        <v>175</v>
      </c>
      <c r="D6" s="7" t="s">
        <v>84</v>
      </c>
      <c r="E6" s="7"/>
      <c r="F6" s="8">
        <v>0</v>
      </c>
      <c r="G6" s="32">
        <f>1916*1.07+50</f>
        <v>2100.1200000000003</v>
      </c>
      <c r="H6" s="8">
        <f>125</f>
        <v>125</v>
      </c>
      <c r="I6" s="8">
        <f t="shared" si="0"/>
        <v>199</v>
      </c>
      <c r="J6" s="8">
        <f t="shared" si="1"/>
        <v>237</v>
      </c>
      <c r="K6" s="8">
        <v>59</v>
      </c>
      <c r="L6" s="8"/>
      <c r="M6" s="8">
        <v>0</v>
      </c>
      <c r="N6" s="8">
        <v>74</v>
      </c>
      <c r="O6" s="8">
        <v>100</v>
      </c>
      <c r="P6" s="9">
        <v>3</v>
      </c>
      <c r="Q6" s="10">
        <f>G6+H6+K6+I6*(P6-1)+N6*P6+J6*P6+O6</f>
        <v>3715.1200000000003</v>
      </c>
      <c r="R6" s="10">
        <f>Q6/P6</f>
        <v>1238.3733333333334</v>
      </c>
      <c r="S6" s="7"/>
    </row>
    <row r="7" spans="2:19" s="1" customFormat="1" x14ac:dyDescent="0.3">
      <c r="B7" s="6" t="s">
        <v>83</v>
      </c>
      <c r="C7" s="7" t="s">
        <v>181</v>
      </c>
      <c r="D7" s="7" t="s">
        <v>84</v>
      </c>
      <c r="E7" s="7"/>
      <c r="F7" s="8">
        <v>0</v>
      </c>
      <c r="G7" s="32">
        <f>2280*1.07+85</f>
        <v>2524.6000000000004</v>
      </c>
      <c r="H7" s="8">
        <v>125</v>
      </c>
      <c r="I7" s="8">
        <f t="shared" si="0"/>
        <v>199</v>
      </c>
      <c r="J7" s="8">
        <f t="shared" si="1"/>
        <v>237</v>
      </c>
      <c r="K7" s="8">
        <v>59</v>
      </c>
      <c r="L7" s="8"/>
      <c r="M7" s="8">
        <v>0</v>
      </c>
      <c r="N7" s="8">
        <v>77</v>
      </c>
      <c r="O7" s="8">
        <v>100</v>
      </c>
      <c r="P7" s="9">
        <v>3</v>
      </c>
      <c r="Q7" s="10">
        <f>G7+H7+K7+I7*(P7-1)+N7*P7+J7*P7+O7</f>
        <v>4148.6000000000004</v>
      </c>
      <c r="R7" s="10">
        <f>Q7/P7</f>
        <v>1382.8666666666668</v>
      </c>
      <c r="S7" s="7"/>
    </row>
    <row r="8" spans="2:19" s="1" customFormat="1" x14ac:dyDescent="0.3">
      <c r="B8" s="6" t="s">
        <v>83</v>
      </c>
      <c r="C8" s="7" t="s">
        <v>178</v>
      </c>
      <c r="D8" s="7" t="s">
        <v>84</v>
      </c>
      <c r="E8" s="7"/>
      <c r="F8" s="8">
        <v>0</v>
      </c>
      <c r="G8" s="32">
        <f>2095*1.07</f>
        <v>2241.65</v>
      </c>
      <c r="H8" s="8">
        <f>125</f>
        <v>125</v>
      </c>
      <c r="I8" s="8">
        <f t="shared" si="0"/>
        <v>199</v>
      </c>
      <c r="J8" s="8">
        <f t="shared" si="1"/>
        <v>237</v>
      </c>
      <c r="K8" s="8">
        <v>64</v>
      </c>
      <c r="L8" s="8"/>
      <c r="M8" s="8"/>
      <c r="N8" s="8">
        <v>92</v>
      </c>
      <c r="O8" s="8">
        <v>100</v>
      </c>
      <c r="P8" s="9">
        <v>3</v>
      </c>
      <c r="Q8" s="10">
        <f>G8+H8+K8+I8*(P8-1)+N8*P8+J8*P8+O8</f>
        <v>3915.65</v>
      </c>
      <c r="R8" s="10">
        <f>Q8/P8</f>
        <v>1305.2166666666667</v>
      </c>
      <c r="S8" s="7"/>
    </row>
    <row r="9" spans="2:19" s="1" customFormat="1" x14ac:dyDescent="0.3">
      <c r="B9" s="6" t="s">
        <v>83</v>
      </c>
      <c r="C9" s="7" t="s">
        <v>33</v>
      </c>
      <c r="D9" s="7"/>
      <c r="E9" s="7"/>
      <c r="F9" s="8">
        <v>0</v>
      </c>
      <c r="G9" s="32">
        <f>1700*1.07</f>
        <v>1819</v>
      </c>
      <c r="H9" s="8">
        <v>125</v>
      </c>
      <c r="I9" s="8">
        <f t="shared" si="0"/>
        <v>199</v>
      </c>
      <c r="J9" s="8">
        <f t="shared" si="1"/>
        <v>237</v>
      </c>
      <c r="K9" s="8">
        <v>69</v>
      </c>
      <c r="L9" s="8"/>
      <c r="M9" s="8"/>
      <c r="N9" s="8">
        <v>65</v>
      </c>
      <c r="O9" s="8">
        <v>100</v>
      </c>
      <c r="P9" s="9">
        <v>3</v>
      </c>
      <c r="Q9" s="10">
        <f>G9+H9+K9+I9*(P9-1)+N9*P9+J9*P9+O9</f>
        <v>3417</v>
      </c>
      <c r="R9" s="10">
        <f>Q9/P9</f>
        <v>1139</v>
      </c>
      <c r="S9" s="7"/>
    </row>
    <row r="10" spans="2:19" s="1" customFormat="1" x14ac:dyDescent="0.3">
      <c r="B10" s="11" t="s">
        <v>85</v>
      </c>
      <c r="C10" s="12" t="s">
        <v>171</v>
      </c>
      <c r="D10" s="12" t="s">
        <v>84</v>
      </c>
      <c r="E10" s="12"/>
      <c r="F10" s="13">
        <v>0</v>
      </c>
      <c r="G10" s="13">
        <f>1229*1.07</f>
        <v>1315.03</v>
      </c>
      <c r="H10" s="13">
        <v>35</v>
      </c>
      <c r="I10" s="133">
        <v>199</v>
      </c>
      <c r="J10" s="13">
        <v>0</v>
      </c>
      <c r="K10" s="8">
        <v>56</v>
      </c>
      <c r="L10" s="8"/>
      <c r="M10" s="13">
        <v>0</v>
      </c>
      <c r="N10" s="13">
        <v>120</v>
      </c>
      <c r="O10" s="8">
        <v>100</v>
      </c>
      <c r="P10" s="14">
        <v>3</v>
      </c>
      <c r="Q10" s="15">
        <f>G10+H10+K10+I10*(P10-1)+N10*P10+O10</f>
        <v>2264.0299999999997</v>
      </c>
      <c r="R10" s="15">
        <f t="shared" ref="R10:R24" si="2">Q10/P10</f>
        <v>754.67666666666662</v>
      </c>
      <c r="S10" s="12"/>
    </row>
    <row r="11" spans="2:19" s="1" customFormat="1" ht="15" x14ac:dyDescent="0.3">
      <c r="B11" s="11" t="s">
        <v>85</v>
      </c>
      <c r="C11" s="71" t="s">
        <v>254</v>
      </c>
      <c r="D11" s="12" t="s">
        <v>84</v>
      </c>
      <c r="E11" s="12"/>
      <c r="F11" s="13">
        <v>0</v>
      </c>
      <c r="G11" s="13"/>
      <c r="H11" s="13">
        <v>35</v>
      </c>
      <c r="I11" s="13">
        <v>0</v>
      </c>
      <c r="J11" s="13">
        <v>0</v>
      </c>
      <c r="K11" s="8">
        <v>56</v>
      </c>
      <c r="L11" s="8"/>
      <c r="M11" s="13">
        <v>0</v>
      </c>
      <c r="N11" s="13">
        <v>120</v>
      </c>
      <c r="O11" s="8">
        <v>100</v>
      </c>
      <c r="P11" s="14">
        <v>3</v>
      </c>
      <c r="Q11" s="15">
        <f>G11+H11+K11+I11*(P11-1)+N11*P11+O11</f>
        <v>551</v>
      </c>
      <c r="R11" s="15">
        <f t="shared" si="2"/>
        <v>183.66666666666666</v>
      </c>
      <c r="S11" s="12"/>
    </row>
    <row r="12" spans="2:19" s="3" customFormat="1" ht="15" x14ac:dyDescent="0.3">
      <c r="B12" s="16" t="s">
        <v>86</v>
      </c>
      <c r="C12" s="71" t="s">
        <v>250</v>
      </c>
      <c r="D12" s="17" t="s">
        <v>84</v>
      </c>
      <c r="E12" s="17"/>
      <c r="F12" s="183">
        <f>Sixt!C15/SUM(Sixt!C7:C9)</f>
        <v>3</v>
      </c>
      <c r="G12" s="19">
        <f>(SUMPRODUCT(Sixt!C7:C9,Sixt!D7:D9)/SUM(Sixt!C7:C9))*12/1.19</f>
        <v>4678.7899159663866</v>
      </c>
      <c r="H12" s="19">
        <f>(Sixt!C15*Sixt!D15/SUM(Sixt!C7:C9))*12/1.19</f>
        <v>604.73949579831935</v>
      </c>
      <c r="I12" s="19">
        <f>(Sixt!C13*Sixt!D13/SUM(Sixt!C7:C9))*12/1.19</f>
        <v>0</v>
      </c>
      <c r="J12" s="19"/>
      <c r="K12" s="19"/>
      <c r="L12" s="19">
        <f>((Sixt!C11*Sixt!D11+Sixt!C12*Sixt!D12+Sixt!C10*Sixt!D10)/SUM(Sixt!C7:C9))*12/1.19</f>
        <v>1310.5210084033613</v>
      </c>
      <c r="M12" s="19"/>
      <c r="N12" s="19"/>
      <c r="O12" s="19"/>
      <c r="P12" s="20">
        <v>3</v>
      </c>
      <c r="Q12" s="21">
        <f>G12+H12+I12*(P12-1)+M12*P12+L12*P12</f>
        <v>9215.09243697479</v>
      </c>
      <c r="R12" s="21">
        <f t="shared" ref="R12:R13" si="3">Q12/P12</f>
        <v>3071.6974789915967</v>
      </c>
      <c r="S12" s="16"/>
    </row>
    <row r="13" spans="2:19" s="3" customFormat="1" ht="15" x14ac:dyDescent="0.3">
      <c r="B13" s="16" t="s">
        <v>86</v>
      </c>
      <c r="C13" s="71" t="s">
        <v>251</v>
      </c>
      <c r="D13" s="17" t="s">
        <v>84</v>
      </c>
      <c r="E13" s="17"/>
      <c r="F13" s="18">
        <f>Sixt!F15/SUM(Sixt!F7:F9)</f>
        <v>3</v>
      </c>
      <c r="G13" s="19">
        <f>SUMPRODUCT(Sixt!F7:F9,Sixt!G7:G9)/SUM(Sixt!F7:F9)*12/1.19</f>
        <v>5384.7731092436979</v>
      </c>
      <c r="H13" s="184">
        <f>(Sixt!F15*Sixt!G15/SUM(Sixt!F7:F9))*12/1.19</f>
        <v>604.73949579831935</v>
      </c>
      <c r="I13" s="184">
        <f>(Sixt!F13*Sixt!G13/SUM(Sixt!F7:F9))*12/1.19</f>
        <v>302.42016806722688</v>
      </c>
      <c r="J13" s="184"/>
      <c r="K13" s="19"/>
      <c r="L13" s="19">
        <f>((Sixt!F11*Sixt!G11+Sixt!F12*Sixt!G12+Sixt!F10*Sixt!G10)/SUM(Sixt!F7:F9))*12/1.19</f>
        <v>1310.5210084033613</v>
      </c>
      <c r="M13" s="19"/>
      <c r="N13" s="19"/>
      <c r="O13" s="19"/>
      <c r="P13" s="20">
        <v>3</v>
      </c>
      <c r="Q13" s="21">
        <f>G13+H13+I13*(P13-1)+M13*P13+L13*P13</f>
        <v>10525.915966386554</v>
      </c>
      <c r="R13" s="21">
        <f t="shared" si="3"/>
        <v>3508.6386554621845</v>
      </c>
      <c r="S13" s="16"/>
    </row>
    <row r="14" spans="2:19" s="1" customFormat="1" ht="15" x14ac:dyDescent="0.3">
      <c r="B14" s="6" t="s">
        <v>58</v>
      </c>
      <c r="C14" s="181" t="s">
        <v>252</v>
      </c>
      <c r="D14" s="7"/>
      <c r="E14" s="7"/>
      <c r="F14" s="8">
        <f>Sixt!I15/SUM(Sixt!I7:I9)</f>
        <v>3</v>
      </c>
      <c r="G14" s="32">
        <f>SUMPRODUCT(Sixt!I7:I9,Sixt!J7:J9)/SUM(Sixt!I7:I9)*12/1.19</f>
        <v>6191.4957983193281</v>
      </c>
      <c r="H14" s="185">
        <f>(Sixt!I15*Sixt!J15/SUM(Sixt!I7:I9))*12/1.19</f>
        <v>604.73949579831935</v>
      </c>
      <c r="I14" s="185">
        <f>(Sixt!I13*Sixt!J13/SUM(Sixt!I7:I9))*12/1.19</f>
        <v>302.42016806722688</v>
      </c>
      <c r="J14" s="185"/>
      <c r="K14" s="8"/>
      <c r="L14" s="185">
        <f>((Sixt!I11*Sixt!J11+Sixt!I12*Sixt!J12+Sixt!I10*Sixt!J10)/SUM(Sixt!I7:I9))*12/1.19</f>
        <v>1310.5210084033613</v>
      </c>
      <c r="M14" s="8"/>
      <c r="N14" s="8"/>
      <c r="O14" s="8"/>
      <c r="P14" s="9">
        <v>3</v>
      </c>
      <c r="Q14" s="10">
        <f>G14+H14+K14+I14*(P14-1)+N14*P14+J14*P14+O14</f>
        <v>7401.0756302521013</v>
      </c>
      <c r="R14" s="10">
        <f>Q14/P14</f>
        <v>2467.0252100840339</v>
      </c>
      <c r="S14" s="7"/>
    </row>
    <row r="15" spans="2:19" s="1" customFormat="1" ht="15" x14ac:dyDescent="0.3">
      <c r="B15" s="6" t="s">
        <v>87</v>
      </c>
      <c r="C15" s="71" t="s">
        <v>253</v>
      </c>
      <c r="D15" s="7" t="s">
        <v>84</v>
      </c>
      <c r="E15" s="7"/>
      <c r="F15" s="8">
        <f>Sixt!L15/SUM(Sixt!L7:L9)</f>
        <v>3</v>
      </c>
      <c r="G15" s="32">
        <f>SUMPRODUCT(Sixt!L7:L9,Sixt!M7:M9)/SUM(Sixt!L7:L9)*12/1.19</f>
        <v>6998.1176470588243</v>
      </c>
      <c r="H15" s="185">
        <f>(Sixt!L15*Sixt!M15/SUM(Sixt!L7:L9))*12/1.19</f>
        <v>604.73949579831935</v>
      </c>
      <c r="I15" s="185">
        <f>(Sixt!L13*Sixt!M13/SUM(Sixt!L7:L9))*12/1.19</f>
        <v>0</v>
      </c>
      <c r="J15" s="185"/>
      <c r="K15" s="185"/>
      <c r="L15" s="185">
        <f>((Sixt!L11*Sixt!M11+Sixt!L12*Sixt!M12+Sixt!L10*Sixt!M10)/SUM(Sixt!L7:L9))*12/1.19</f>
        <v>1512.2016806722688</v>
      </c>
      <c r="M15" s="8"/>
      <c r="N15" s="8"/>
      <c r="O15" s="8"/>
      <c r="P15" s="9">
        <v>3</v>
      </c>
      <c r="Q15" s="10">
        <f>F15+G15*12*P15+H15+I15*2+(N15+J15)*P15+K15+O15</f>
        <v>252539.97478991596</v>
      </c>
      <c r="R15" s="10">
        <f t="shared" ref="R15:R16" si="4">Q15/P15</f>
        <v>84179.991596638647</v>
      </c>
      <c r="S15" s="7"/>
    </row>
    <row r="16" spans="2:19" s="1" customFormat="1" x14ac:dyDescent="0.3">
      <c r="B16" s="27" t="s">
        <v>87</v>
      </c>
      <c r="C16" s="28" t="s">
        <v>264</v>
      </c>
      <c r="D16" s="28" t="s">
        <v>84</v>
      </c>
      <c r="E16" s="28"/>
      <c r="F16" s="29"/>
      <c r="G16" s="29">
        <f>Q16</f>
        <v>28133</v>
      </c>
      <c r="H16" s="29"/>
      <c r="I16" s="29"/>
      <c r="J16" s="29"/>
      <c r="K16" s="29"/>
      <c r="L16" s="29"/>
      <c r="M16" s="29"/>
      <c r="N16" s="29"/>
      <c r="O16" s="29"/>
      <c r="P16" s="118">
        <f>'Preise Output'!F24</f>
        <v>3</v>
      </c>
      <c r="Q16" s="117">
        <f>'Preise Output'!F12/1.19</f>
        <v>28133</v>
      </c>
      <c r="R16" s="31">
        <f t="shared" si="4"/>
        <v>9377.6666666666661</v>
      </c>
      <c r="S16" s="28"/>
    </row>
    <row r="17" spans="2:19" s="3" customFormat="1" x14ac:dyDescent="0.3">
      <c r="B17" s="6" t="s">
        <v>83</v>
      </c>
      <c r="C17" s="22" t="s">
        <v>191</v>
      </c>
      <c r="D17" s="28" t="s">
        <v>84</v>
      </c>
      <c r="E17" s="22"/>
      <c r="F17" s="23">
        <v>0</v>
      </c>
      <c r="G17" s="24">
        <f>5781.51+175</f>
        <v>5956.51</v>
      </c>
      <c r="H17" s="24">
        <v>240</v>
      </c>
      <c r="I17" s="24">
        <v>350</v>
      </c>
      <c r="J17" s="24">
        <f>3*150</f>
        <v>450</v>
      </c>
      <c r="K17" s="8">
        <v>59</v>
      </c>
      <c r="L17" s="24"/>
      <c r="M17" s="24">
        <v>0</v>
      </c>
      <c r="N17" s="24">
        <f>732.24/3</f>
        <v>244.08</v>
      </c>
      <c r="O17" s="24">
        <v>0</v>
      </c>
      <c r="P17" s="25">
        <v>3</v>
      </c>
      <c r="Q17" s="10">
        <f>G17+H17+K17+I17*(P17-1)+N17*P17+J17*P17+O17</f>
        <v>9037.75</v>
      </c>
      <c r="R17" s="23">
        <f t="shared" ref="R17" si="5">Q17/P17</f>
        <v>3012.5833333333335</v>
      </c>
      <c r="S17" s="24"/>
    </row>
    <row r="18" spans="2:19" s="3" customFormat="1" x14ac:dyDescent="0.3">
      <c r="B18" s="22" t="s">
        <v>194</v>
      </c>
      <c r="C18" s="22" t="s">
        <v>192</v>
      </c>
      <c r="D18" s="28" t="s">
        <v>84</v>
      </c>
      <c r="E18" s="22"/>
      <c r="F18" s="23">
        <v>0</v>
      </c>
      <c r="G18" s="24">
        <f>679.5+50</f>
        <v>729.5</v>
      </c>
      <c r="H18" s="24">
        <v>125</v>
      </c>
      <c r="I18" s="24">
        <f>50+99</f>
        <v>149</v>
      </c>
      <c r="J18" s="24">
        <f>79*3</f>
        <v>237</v>
      </c>
      <c r="K18" s="8">
        <v>59</v>
      </c>
      <c r="L18" s="24"/>
      <c r="M18" s="24">
        <v>0</v>
      </c>
      <c r="N18" s="24">
        <f>186.57/3</f>
        <v>62.19</v>
      </c>
      <c r="O18" s="24">
        <v>100</v>
      </c>
      <c r="P18" s="25">
        <v>3</v>
      </c>
      <c r="Q18" s="10">
        <f>G18+H18+K18+I18*(P18-1)+N18*P18+J18*P18+O18</f>
        <v>2209.0699999999997</v>
      </c>
      <c r="R18" s="10">
        <f>Q18/P18</f>
        <v>736.35666666666657</v>
      </c>
      <c r="S18" s="24"/>
    </row>
    <row r="19" spans="2:19" s="3" customFormat="1" x14ac:dyDescent="0.3">
      <c r="B19" s="22" t="s">
        <v>194</v>
      </c>
      <c r="C19" s="22" t="s">
        <v>193</v>
      </c>
      <c r="D19" s="28" t="s">
        <v>84</v>
      </c>
      <c r="E19" s="22"/>
      <c r="F19" s="23">
        <v>0</v>
      </c>
      <c r="G19" s="24">
        <f>795.6+50</f>
        <v>845.6</v>
      </c>
      <c r="H19" s="24">
        <v>125</v>
      </c>
      <c r="I19" s="24">
        <f>50+99</f>
        <v>149</v>
      </c>
      <c r="J19" s="24">
        <f>79*3</f>
        <v>237</v>
      </c>
      <c r="K19" s="8">
        <v>59</v>
      </c>
      <c r="L19" s="24"/>
      <c r="M19" s="24">
        <v>0</v>
      </c>
      <c r="N19" s="24">
        <f>186.57/3</f>
        <v>62.19</v>
      </c>
      <c r="O19" s="24">
        <v>100</v>
      </c>
      <c r="P19" s="25">
        <v>3</v>
      </c>
      <c r="Q19" s="10">
        <f>G19+H19+K19+I19*(P19-1)+N19*P19+J19*P19+O19</f>
        <v>2325.17</v>
      </c>
      <c r="R19" s="10">
        <f>Q19/P19</f>
        <v>775.05666666666673</v>
      </c>
      <c r="S19" s="24"/>
    </row>
    <row r="20" spans="2:19" s="3" customFormat="1" x14ac:dyDescent="0.3">
      <c r="B20" s="16" t="s">
        <v>86</v>
      </c>
      <c r="C20" s="22" t="s">
        <v>203</v>
      </c>
      <c r="D20" s="17" t="s">
        <v>84</v>
      </c>
      <c r="E20" s="22"/>
      <c r="F20" s="23">
        <v>0</v>
      </c>
      <c r="G20" s="139">
        <f>G47*(1-0.27)</f>
        <v>291.96350000000001</v>
      </c>
      <c r="H20" s="24">
        <f>30</f>
        <v>30</v>
      </c>
      <c r="I20" s="24"/>
      <c r="J20" s="24"/>
      <c r="K20" s="24"/>
      <c r="L20" s="24"/>
      <c r="M20" s="24">
        <v>0</v>
      </c>
      <c r="N20" s="24"/>
      <c r="O20" s="24"/>
      <c r="P20" s="25">
        <v>3</v>
      </c>
      <c r="Q20" s="21">
        <f>G20+H20+I20*(P20-1)+M20*(P20)+L20*P20+K20</f>
        <v>321.96350000000001</v>
      </c>
      <c r="R20" s="23">
        <f t="shared" si="2"/>
        <v>107.32116666666667</v>
      </c>
      <c r="S20" s="24"/>
    </row>
    <row r="21" spans="2:19" s="3" customFormat="1" x14ac:dyDescent="0.3">
      <c r="B21" s="16" t="s">
        <v>86</v>
      </c>
      <c r="C21" s="22" t="s">
        <v>200</v>
      </c>
      <c r="D21" s="17" t="s">
        <v>84</v>
      </c>
      <c r="E21" s="22"/>
      <c r="F21" s="23">
        <v>0</v>
      </c>
      <c r="G21" s="139">
        <f>G48*(1-0.27)</f>
        <v>124.06349999999999</v>
      </c>
      <c r="H21" s="24"/>
      <c r="I21" s="24"/>
      <c r="J21" s="24"/>
      <c r="K21" s="24"/>
      <c r="L21" s="24"/>
      <c r="M21" s="24">
        <v>0</v>
      </c>
      <c r="N21" s="24"/>
      <c r="O21" s="24"/>
      <c r="P21" s="25">
        <v>3</v>
      </c>
      <c r="Q21" s="21">
        <f>G21+H21+I21*(P21-1)+M21*(P21)+L21*P21+K21</f>
        <v>124.06349999999999</v>
      </c>
      <c r="R21" s="23">
        <f t="shared" ref="R21" si="6">Q21/P21</f>
        <v>41.354499999999994</v>
      </c>
      <c r="S21" s="24"/>
    </row>
    <row r="22" spans="2:19" s="3" customFormat="1" x14ac:dyDescent="0.3">
      <c r="B22" s="22" t="s">
        <v>189</v>
      </c>
      <c r="C22" s="22" t="s">
        <v>190</v>
      </c>
      <c r="D22" s="17" t="s">
        <v>84</v>
      </c>
      <c r="E22" s="22"/>
      <c r="F22" s="23"/>
      <c r="G22" s="19">
        <f>G49*(1-10%)</f>
        <v>-1439.9550000000002</v>
      </c>
      <c r="H22" s="24"/>
      <c r="I22" s="24"/>
      <c r="J22" s="24"/>
      <c r="K22" s="24"/>
      <c r="L22" s="24"/>
      <c r="M22" s="24"/>
      <c r="N22" s="24"/>
      <c r="O22" s="24"/>
      <c r="P22" s="25">
        <v>3</v>
      </c>
      <c r="Q22" s="21">
        <f>G22+H22+I22*(P22-1)+M22*P22+L22*P22+K22</f>
        <v>-1439.9550000000002</v>
      </c>
      <c r="R22" s="21">
        <f t="shared" si="2"/>
        <v>-479.98500000000007</v>
      </c>
      <c r="S22" s="24"/>
    </row>
    <row r="23" spans="2:19" s="3" customFormat="1" x14ac:dyDescent="0.3">
      <c r="B23" s="16" t="s">
        <v>86</v>
      </c>
      <c r="C23" s="16" t="s">
        <v>185</v>
      </c>
      <c r="D23" s="17" t="s">
        <v>84</v>
      </c>
      <c r="E23" s="17"/>
      <c r="F23" s="18"/>
      <c r="G23" s="19">
        <f>G50*(1-27%)-G49*0.17</f>
        <v>3775.9184999999998</v>
      </c>
      <c r="H23" s="19">
        <f>750+90</f>
        <v>840</v>
      </c>
      <c r="I23" s="141">
        <f>20*2+35</f>
        <v>75</v>
      </c>
      <c r="J23" s="19"/>
      <c r="K23" s="139">
        <v>0</v>
      </c>
      <c r="L23" s="19"/>
      <c r="M23" s="19">
        <f>9.95*12</f>
        <v>119.39999999999999</v>
      </c>
      <c r="N23" s="19"/>
      <c r="O23" s="19"/>
      <c r="P23" s="20">
        <v>3</v>
      </c>
      <c r="Q23" s="21">
        <f>G23+H23+I23*(P23-1)+M23*(P23-1)+L23*P23+K23</f>
        <v>5004.7184999999999</v>
      </c>
      <c r="R23" s="21">
        <f t="shared" si="2"/>
        <v>1668.2394999999999</v>
      </c>
      <c r="S23" s="16"/>
    </row>
    <row r="24" spans="2:19" s="3" customFormat="1" x14ac:dyDescent="0.3">
      <c r="B24" s="16" t="s">
        <v>86</v>
      </c>
      <c r="C24" s="16" t="s">
        <v>186</v>
      </c>
      <c r="D24" s="17" t="s">
        <v>84</v>
      </c>
      <c r="E24" s="17"/>
      <c r="F24" s="18"/>
      <c r="G24" s="19">
        <f>G51*(1-27%)-G49*0.17</f>
        <v>5819.9184999999998</v>
      </c>
      <c r="H24" s="19">
        <f>750*2+180</f>
        <v>1680</v>
      </c>
      <c r="I24" s="141">
        <f>I23*2</f>
        <v>150</v>
      </c>
      <c r="J24" s="19"/>
      <c r="K24" s="139">
        <v>0</v>
      </c>
      <c r="L24" s="19"/>
      <c r="M24" s="19">
        <f>9.95*12*2</f>
        <v>238.79999999999998</v>
      </c>
      <c r="N24" s="19"/>
      <c r="O24" s="19"/>
      <c r="P24" s="20">
        <v>3</v>
      </c>
      <c r="Q24" s="21">
        <f t="shared" ref="Q24:Q26" si="7">G24+H24+I24*(P24-1)+M24*(P24-1)+L24*P24+K24</f>
        <v>8277.5185000000001</v>
      </c>
      <c r="R24" s="21">
        <f t="shared" si="2"/>
        <v>2759.1728333333335</v>
      </c>
      <c r="S24" s="16"/>
    </row>
    <row r="25" spans="2:19" s="3" customFormat="1" x14ac:dyDescent="0.3">
      <c r="B25" s="16" t="s">
        <v>86</v>
      </c>
      <c r="C25" s="16" t="s">
        <v>187</v>
      </c>
      <c r="D25" s="17" t="s">
        <v>84</v>
      </c>
      <c r="E25" s="17"/>
      <c r="F25" s="18"/>
      <c r="G25" s="19">
        <f>G52*(1-27%)-G49*0.17</f>
        <v>3921.9184999999998</v>
      </c>
      <c r="H25" s="19">
        <f>750+90</f>
        <v>840</v>
      </c>
      <c r="I25" s="141">
        <f>20*2+35</f>
        <v>75</v>
      </c>
      <c r="J25" s="19"/>
      <c r="K25" s="139">
        <v>0</v>
      </c>
      <c r="L25" s="19"/>
      <c r="M25" s="19">
        <f t="shared" ref="M25" si="8">9.95*12</f>
        <v>119.39999999999999</v>
      </c>
      <c r="N25" s="19"/>
      <c r="O25" s="19"/>
      <c r="P25" s="20">
        <v>3</v>
      </c>
      <c r="Q25" s="21">
        <f t="shared" si="7"/>
        <v>5150.7184999999999</v>
      </c>
      <c r="R25" s="21">
        <f t="shared" ref="R25:R26" si="9">Q25/P25</f>
        <v>1716.9061666666666</v>
      </c>
      <c r="S25" s="16"/>
    </row>
    <row r="26" spans="2:19" s="3" customFormat="1" x14ac:dyDescent="0.3">
      <c r="B26" s="16" t="s">
        <v>86</v>
      </c>
      <c r="C26" s="16" t="s">
        <v>188</v>
      </c>
      <c r="D26" s="17" t="s">
        <v>84</v>
      </c>
      <c r="E26" s="17"/>
      <c r="F26" s="18"/>
      <c r="G26" s="19">
        <f>G53*(1-27%)-G49*0.17</f>
        <v>5965.9184999999998</v>
      </c>
      <c r="H26" s="19">
        <f>750*2+180</f>
        <v>1680</v>
      </c>
      <c r="I26" s="141">
        <f>I25*2</f>
        <v>150</v>
      </c>
      <c r="J26" s="19"/>
      <c r="K26" s="139">
        <v>0</v>
      </c>
      <c r="L26" s="19"/>
      <c r="M26" s="19">
        <f>9.95*12*2</f>
        <v>238.79999999999998</v>
      </c>
      <c r="N26" s="19"/>
      <c r="O26" s="19"/>
      <c r="P26" s="20">
        <v>3</v>
      </c>
      <c r="Q26" s="21">
        <f t="shared" si="7"/>
        <v>8423.5185000000001</v>
      </c>
      <c r="R26" s="21">
        <f t="shared" si="9"/>
        <v>2807.8395</v>
      </c>
      <c r="S26" s="16"/>
    </row>
    <row r="27" spans="2:19" s="3" customFormat="1" x14ac:dyDescent="0.3">
      <c r="F27" s="142"/>
      <c r="G27" s="142"/>
      <c r="H27" s="4"/>
      <c r="I27" s="4"/>
      <c r="J27" s="4"/>
      <c r="K27" s="4"/>
      <c r="L27" s="4"/>
      <c r="M27" s="4"/>
      <c r="N27" s="4"/>
      <c r="O27" s="4"/>
      <c r="Q27" s="4"/>
      <c r="R27" s="4"/>
      <c r="S27" s="4"/>
    </row>
    <row r="28" spans="2:19" s="3" customFormat="1" x14ac:dyDescent="0.3">
      <c r="F28" s="4"/>
      <c r="G28" s="4"/>
      <c r="H28" s="4"/>
      <c r="I28" s="4"/>
      <c r="J28" s="4"/>
      <c r="K28" s="4"/>
      <c r="L28" s="4"/>
      <c r="M28" s="4"/>
      <c r="N28" s="4"/>
      <c r="O28" s="4"/>
      <c r="Q28" s="4"/>
      <c r="R28" s="4"/>
      <c r="S28" s="4"/>
    </row>
    <row r="29" spans="2:19" s="90" customFormat="1" ht="24" customHeight="1" x14ac:dyDescent="0.3">
      <c r="B29" s="90" t="s">
        <v>177</v>
      </c>
      <c r="Q29" s="91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09" t="s">
        <v>6</v>
      </c>
      <c r="C32" s="109" t="s">
        <v>54</v>
      </c>
      <c r="D32" s="109" t="s">
        <v>70</v>
      </c>
      <c r="E32" s="109" t="s">
        <v>71</v>
      </c>
      <c r="F32" s="109" t="str">
        <f t="shared" ref="F32:I32" si="10">F4</f>
        <v>Anzahl Zusatzfahrer</v>
      </c>
      <c r="G32" s="109" t="str">
        <f t="shared" si="10"/>
        <v>Abo-Kosten</v>
      </c>
      <c r="H32" s="109" t="str">
        <f t="shared" si="10"/>
        <v>Zusatzfahrer</v>
      </c>
      <c r="I32" s="109" t="str">
        <f t="shared" si="10"/>
        <v>Komfortausstattung</v>
      </c>
      <c r="J32" s="109"/>
      <c r="K32" s="109" t="str">
        <f>K4</f>
        <v>Ersatzwagengarantie</v>
      </c>
      <c r="L32" s="109" t="str">
        <f>L4</f>
        <v>Versicherung</v>
      </c>
      <c r="M32" s="109" t="s">
        <v>59</v>
      </c>
      <c r="N32" s="109" t="s">
        <v>61</v>
      </c>
      <c r="O32" s="109" t="s">
        <v>176</v>
      </c>
      <c r="P32" s="109" t="s">
        <v>21</v>
      </c>
      <c r="Q32" s="110" t="s">
        <v>22</v>
      </c>
      <c r="R32" s="109" t="s">
        <v>81</v>
      </c>
      <c r="S32" s="109" t="s">
        <v>82</v>
      </c>
    </row>
    <row r="33" spans="2:19" x14ac:dyDescent="0.3">
      <c r="B33" s="6" t="s">
        <v>83</v>
      </c>
      <c r="C33" s="7" t="s">
        <v>174</v>
      </c>
      <c r="D33" s="7" t="s">
        <v>84</v>
      </c>
      <c r="E33" s="7"/>
      <c r="F33" s="8">
        <v>0</v>
      </c>
      <c r="G33" s="32">
        <v>2783</v>
      </c>
      <c r="H33" s="8">
        <v>0</v>
      </c>
      <c r="I33" s="8">
        <v>0</v>
      </c>
      <c r="J33" s="8">
        <f>40*12</f>
        <v>480</v>
      </c>
      <c r="K33" s="8">
        <v>100</v>
      </c>
      <c r="L33" s="8"/>
      <c r="M33" s="8">
        <v>0</v>
      </c>
      <c r="N33" s="8">
        <f>11.5*12</f>
        <v>138</v>
      </c>
      <c r="O33" s="8">
        <v>100</v>
      </c>
      <c r="P33" s="9">
        <v>3</v>
      </c>
      <c r="Q33" s="10">
        <f>G33+H33+K33+(SUM(N33,J33)*3+I33*2)</f>
        <v>4737</v>
      </c>
      <c r="R33" s="10">
        <f>Q33/P33</f>
        <v>1579</v>
      </c>
      <c r="S33" s="7"/>
    </row>
    <row r="34" spans="2:19" x14ac:dyDescent="0.3">
      <c r="B34" s="6" t="s">
        <v>83</v>
      </c>
      <c r="C34" s="7" t="s">
        <v>175</v>
      </c>
      <c r="D34" s="7" t="s">
        <v>84</v>
      </c>
      <c r="E34" s="7"/>
      <c r="F34" s="8">
        <v>0</v>
      </c>
      <c r="G34" s="32">
        <v>2963</v>
      </c>
      <c r="H34" s="8">
        <v>0</v>
      </c>
      <c r="I34" s="8">
        <v>0</v>
      </c>
      <c r="J34" s="8">
        <f t="shared" ref="J34:J37" si="11">40*12</f>
        <v>480</v>
      </c>
      <c r="K34" s="8">
        <v>100</v>
      </c>
      <c r="L34" s="8"/>
      <c r="M34" s="8">
        <v>0</v>
      </c>
      <c r="N34" s="8">
        <f>11.5*12</f>
        <v>138</v>
      </c>
      <c r="O34" s="8">
        <v>100</v>
      </c>
      <c r="P34" s="9">
        <v>3</v>
      </c>
      <c r="Q34" s="10">
        <f>G34+H34+K34+(SUM(N34,J34)*3+I34*2)</f>
        <v>4917</v>
      </c>
      <c r="R34" s="10">
        <f t="shared" ref="R34:R41" si="12">Q34/P34</f>
        <v>1639</v>
      </c>
      <c r="S34" s="7"/>
    </row>
    <row r="35" spans="2:19" x14ac:dyDescent="0.3">
      <c r="B35" s="6" t="s">
        <v>83</v>
      </c>
      <c r="C35" s="7" t="s">
        <v>181</v>
      </c>
      <c r="D35" s="7" t="s">
        <v>84</v>
      </c>
      <c r="E35" s="7"/>
      <c r="F35" s="8">
        <v>0</v>
      </c>
      <c r="G35" s="32">
        <v>3472</v>
      </c>
      <c r="H35" s="8">
        <v>0</v>
      </c>
      <c r="I35" s="8">
        <v>0</v>
      </c>
      <c r="J35" s="8">
        <f t="shared" si="11"/>
        <v>480</v>
      </c>
      <c r="K35" s="8">
        <v>100</v>
      </c>
      <c r="L35" s="8"/>
      <c r="M35" s="8">
        <v>0</v>
      </c>
      <c r="N35" s="8">
        <f>13*12</f>
        <v>156</v>
      </c>
      <c r="O35" s="8">
        <v>100</v>
      </c>
      <c r="P35" s="9">
        <v>3</v>
      </c>
      <c r="Q35" s="10">
        <f>G35+H35+K35+(SUM(N35,J35)*3+I35*2)</f>
        <v>5480</v>
      </c>
      <c r="R35" s="10">
        <f t="shared" si="12"/>
        <v>1826.6666666666667</v>
      </c>
      <c r="S35" s="7"/>
    </row>
    <row r="36" spans="2:19" x14ac:dyDescent="0.3">
      <c r="B36" s="6" t="s">
        <v>83</v>
      </c>
      <c r="C36" s="7" t="s">
        <v>178</v>
      </c>
      <c r="D36" s="7" t="s">
        <v>84</v>
      </c>
      <c r="E36" s="7"/>
      <c r="F36" s="8">
        <v>0</v>
      </c>
      <c r="G36" s="32">
        <v>2992</v>
      </c>
      <c r="H36" s="8">
        <v>0</v>
      </c>
      <c r="I36" s="8">
        <v>0</v>
      </c>
      <c r="J36" s="8">
        <f t="shared" si="11"/>
        <v>480</v>
      </c>
      <c r="K36" s="8">
        <v>100</v>
      </c>
      <c r="L36" s="8"/>
      <c r="M36" s="8">
        <v>0</v>
      </c>
      <c r="N36" s="8">
        <f>11.5*12</f>
        <v>138</v>
      </c>
      <c r="O36" s="8">
        <v>100</v>
      </c>
      <c r="P36" s="9">
        <v>3</v>
      </c>
      <c r="Q36" s="10">
        <f>G36+H36+K36+(SUM(N36,J36)*3+I36*2)</f>
        <v>4946</v>
      </c>
      <c r="R36" s="10">
        <f t="shared" si="12"/>
        <v>1648.6666666666667</v>
      </c>
      <c r="S36" s="7"/>
    </row>
    <row r="37" spans="2:19" x14ac:dyDescent="0.3">
      <c r="B37" s="6" t="s">
        <v>83</v>
      </c>
      <c r="C37" s="7" t="s">
        <v>33</v>
      </c>
      <c r="D37" s="7" t="s">
        <v>84</v>
      </c>
      <c r="E37" s="7"/>
      <c r="F37" s="8">
        <v>0</v>
      </c>
      <c r="G37" s="32">
        <v>2389</v>
      </c>
      <c r="H37" s="8">
        <v>0</v>
      </c>
      <c r="I37" s="8">
        <v>0</v>
      </c>
      <c r="J37" s="8">
        <f t="shared" si="11"/>
        <v>480</v>
      </c>
      <c r="K37" s="8">
        <v>100</v>
      </c>
      <c r="L37" s="8"/>
      <c r="M37" s="8">
        <v>0</v>
      </c>
      <c r="N37" s="8">
        <f>9.5*12</f>
        <v>114</v>
      </c>
      <c r="O37" s="8">
        <v>100</v>
      </c>
      <c r="P37" s="9">
        <v>3</v>
      </c>
      <c r="Q37" s="10">
        <f>G37+H37+K37+(SUM(N37,J37)*3+I37*2)</f>
        <v>4271</v>
      </c>
      <c r="R37" s="10">
        <f t="shared" si="12"/>
        <v>1423.6666666666667</v>
      </c>
      <c r="S37" s="7"/>
    </row>
    <row r="38" spans="2:19" x14ac:dyDescent="0.3">
      <c r="B38" s="11" t="s">
        <v>85</v>
      </c>
      <c r="C38" s="12" t="s">
        <v>171</v>
      </c>
      <c r="D38" s="12" t="s">
        <v>84</v>
      </c>
      <c r="E38" s="12"/>
      <c r="F38" s="13">
        <v>0</v>
      </c>
      <c r="G38" s="32">
        <v>1672</v>
      </c>
      <c r="H38" s="13">
        <v>0</v>
      </c>
      <c r="I38" s="8">
        <v>0</v>
      </c>
      <c r="J38" s="134">
        <v>200</v>
      </c>
      <c r="K38" s="13">
        <v>100</v>
      </c>
      <c r="L38" s="13"/>
      <c r="M38" s="13">
        <v>0</v>
      </c>
      <c r="N38" s="13">
        <v>120</v>
      </c>
      <c r="O38" s="8">
        <v>100</v>
      </c>
      <c r="P38" s="14">
        <v>3</v>
      </c>
      <c r="Q38" s="15">
        <f>G38+K38+N38*3+I38*2</f>
        <v>2132</v>
      </c>
      <c r="R38" s="10">
        <f t="shared" si="12"/>
        <v>710.66666666666663</v>
      </c>
      <c r="S38" s="12"/>
    </row>
    <row r="39" spans="2:19" ht="15" x14ac:dyDescent="0.3">
      <c r="B39" s="11" t="s">
        <v>85</v>
      </c>
      <c r="C39" s="71" t="s">
        <v>254</v>
      </c>
      <c r="D39" s="12" t="s">
        <v>84</v>
      </c>
      <c r="E39" s="12"/>
      <c r="F39" s="13">
        <v>0</v>
      </c>
      <c r="G39" s="13">
        <f t="shared" ref="G39:G46" si="13">G11</f>
        <v>0</v>
      </c>
      <c r="H39" s="13">
        <v>0</v>
      </c>
      <c r="I39" s="8"/>
      <c r="J39" s="13"/>
      <c r="K39" s="13"/>
      <c r="L39" s="13"/>
      <c r="M39" s="13">
        <v>0</v>
      </c>
      <c r="N39" s="13">
        <v>120</v>
      </c>
      <c r="O39" s="8">
        <v>100</v>
      </c>
      <c r="P39" s="14">
        <v>1</v>
      </c>
      <c r="Q39" s="15">
        <f>G39+K39+N39*3+I39*2</f>
        <v>360</v>
      </c>
      <c r="R39" s="10">
        <f t="shared" si="12"/>
        <v>360</v>
      </c>
      <c r="S39" s="12"/>
    </row>
    <row r="40" spans="2:19" ht="15" x14ac:dyDescent="0.3">
      <c r="B40" s="16" t="s">
        <v>86</v>
      </c>
      <c r="C40" s="71" t="s">
        <v>250</v>
      </c>
      <c r="D40" s="17" t="s">
        <v>84</v>
      </c>
      <c r="E40" s="17"/>
      <c r="F40" s="13">
        <f t="shared" ref="F40" si="14">F12</f>
        <v>3</v>
      </c>
      <c r="G40" s="13">
        <f t="shared" si="13"/>
        <v>4678.7899159663866</v>
      </c>
      <c r="H40" s="13">
        <f t="shared" ref="H40:L43" si="15">H12</f>
        <v>604.73949579831935</v>
      </c>
      <c r="I40" s="13">
        <f t="shared" si="15"/>
        <v>0</v>
      </c>
      <c r="J40" s="13"/>
      <c r="K40" s="13"/>
      <c r="L40" s="13">
        <f t="shared" si="15"/>
        <v>1310.5210084033613</v>
      </c>
      <c r="M40" s="19">
        <v>0</v>
      </c>
      <c r="N40" s="19"/>
      <c r="O40" s="19"/>
      <c r="P40" s="20">
        <v>1</v>
      </c>
      <c r="Q40" s="21">
        <f>G40+H40+I40*(P40-1)+M40*P40+L40*P40</f>
        <v>6594.0504201680678</v>
      </c>
      <c r="R40" s="10">
        <f t="shared" si="12"/>
        <v>6594.0504201680678</v>
      </c>
      <c r="S40" s="16"/>
    </row>
    <row r="41" spans="2:19" ht="15" x14ac:dyDescent="0.3">
      <c r="B41" s="16" t="s">
        <v>86</v>
      </c>
      <c r="C41" s="71" t="s">
        <v>251</v>
      </c>
      <c r="D41" s="17" t="s">
        <v>84</v>
      </c>
      <c r="E41" s="17"/>
      <c r="F41" s="13">
        <f t="shared" ref="F41:F46" si="16">F13</f>
        <v>3</v>
      </c>
      <c r="G41" s="13">
        <f t="shared" si="13"/>
        <v>5384.7731092436979</v>
      </c>
      <c r="H41" s="13">
        <f t="shared" si="15"/>
        <v>604.73949579831935</v>
      </c>
      <c r="I41" s="13">
        <f t="shared" si="15"/>
        <v>302.42016806722688</v>
      </c>
      <c r="J41" s="13"/>
      <c r="K41" s="13"/>
      <c r="L41" s="13">
        <f t="shared" si="15"/>
        <v>1310.5210084033613</v>
      </c>
      <c r="M41" s="19">
        <v>0</v>
      </c>
      <c r="N41" s="19"/>
      <c r="O41" s="19"/>
      <c r="P41" s="20">
        <v>1</v>
      </c>
      <c r="Q41" s="21">
        <f>G41+H41+I41*(P41-1)+M41*P41+L41*P41</f>
        <v>7300.0336134453792</v>
      </c>
      <c r="R41" s="10">
        <f t="shared" si="12"/>
        <v>7300.0336134453792</v>
      </c>
      <c r="S41" s="16"/>
    </row>
    <row r="42" spans="2:19" ht="15" x14ac:dyDescent="0.3">
      <c r="B42" s="27" t="s">
        <v>87</v>
      </c>
      <c r="C42" s="181" t="s">
        <v>252</v>
      </c>
      <c r="D42" s="28" t="s">
        <v>84</v>
      </c>
      <c r="E42" s="28"/>
      <c r="F42" s="13">
        <f t="shared" si="16"/>
        <v>3</v>
      </c>
      <c r="G42" s="13">
        <f t="shared" si="13"/>
        <v>6191.4957983193281</v>
      </c>
      <c r="H42" s="13">
        <f t="shared" si="15"/>
        <v>604.73949579831935</v>
      </c>
      <c r="I42" s="13">
        <f t="shared" si="15"/>
        <v>302.42016806722688</v>
      </c>
      <c r="J42" s="13"/>
      <c r="K42" s="13"/>
      <c r="L42" s="13">
        <f t="shared" si="15"/>
        <v>1310.5210084033613</v>
      </c>
      <c r="M42" s="29">
        <v>0</v>
      </c>
      <c r="N42" s="29"/>
      <c r="O42" s="29"/>
      <c r="P42" s="30">
        <v>1</v>
      </c>
      <c r="Q42" s="21">
        <f>G42+H42+I42*(P42-1)+M42*P42+L42*P42</f>
        <v>8106.7563025210093</v>
      </c>
      <c r="R42" s="10">
        <f t="shared" ref="R42" si="17">Q42/P42</f>
        <v>8106.7563025210093</v>
      </c>
      <c r="S42" s="28"/>
    </row>
    <row r="43" spans="2:19" s="1" customFormat="1" ht="15" x14ac:dyDescent="0.3">
      <c r="B43" s="27" t="s">
        <v>87</v>
      </c>
      <c r="C43" s="71" t="s">
        <v>253</v>
      </c>
      <c r="D43" s="28" t="s">
        <v>84</v>
      </c>
      <c r="E43" s="28"/>
      <c r="F43" s="13">
        <f t="shared" si="16"/>
        <v>3</v>
      </c>
      <c r="G43" s="13">
        <f t="shared" si="13"/>
        <v>6998.1176470588243</v>
      </c>
      <c r="H43" s="13">
        <f t="shared" si="15"/>
        <v>604.73949579831935</v>
      </c>
      <c r="I43" s="13">
        <f t="shared" si="15"/>
        <v>0</v>
      </c>
      <c r="J43" s="13"/>
      <c r="K43" s="13"/>
      <c r="L43" s="13">
        <f t="shared" si="15"/>
        <v>1512.2016806722688</v>
      </c>
      <c r="M43" s="119"/>
      <c r="N43" s="119"/>
      <c r="O43" s="119"/>
      <c r="P43" s="118">
        <v>1</v>
      </c>
      <c r="Q43" s="119">
        <f>G43*P43</f>
        <v>6998.1176470588243</v>
      </c>
      <c r="R43" s="31">
        <f>Q43/P43</f>
        <v>6998.1176470588243</v>
      </c>
      <c r="S43" s="28"/>
    </row>
    <row r="44" spans="2:19" x14ac:dyDescent="0.3">
      <c r="B44" s="6" t="s">
        <v>83</v>
      </c>
      <c r="C44" s="28" t="s">
        <v>264</v>
      </c>
      <c r="D44" s="7" t="s">
        <v>84</v>
      </c>
      <c r="E44" s="22"/>
      <c r="F44" s="13">
        <f t="shared" si="16"/>
        <v>0</v>
      </c>
      <c r="G44" s="13">
        <f t="shared" si="13"/>
        <v>28133</v>
      </c>
      <c r="H44" s="13">
        <f t="shared" ref="H44:I46" si="18">H16</f>
        <v>0</v>
      </c>
      <c r="I44" s="13">
        <f t="shared" si="18"/>
        <v>0</v>
      </c>
      <c r="J44" s="24"/>
      <c r="K44" s="24">
        <v>500</v>
      </c>
      <c r="L44" s="24"/>
      <c r="M44" s="24"/>
      <c r="N44" s="24">
        <f>40*12</f>
        <v>480</v>
      </c>
      <c r="O44" s="24"/>
      <c r="P44" s="25">
        <v>3</v>
      </c>
      <c r="Q44" s="23">
        <f t="shared" ref="Q44:Q54" si="19">F44+G44+H44+(I44+N44)*P44</f>
        <v>29573</v>
      </c>
      <c r="R44" s="23"/>
      <c r="S44" s="24"/>
    </row>
    <row r="45" spans="2:19" x14ac:dyDescent="0.3">
      <c r="B45" s="22" t="s">
        <v>194</v>
      </c>
      <c r="C45" s="22" t="s">
        <v>192</v>
      </c>
      <c r="D45" s="28" t="s">
        <v>84</v>
      </c>
      <c r="E45" s="22"/>
      <c r="F45" s="13">
        <f t="shared" si="16"/>
        <v>0</v>
      </c>
      <c r="G45" s="13">
        <f t="shared" si="13"/>
        <v>5956.51</v>
      </c>
      <c r="H45" s="13">
        <f t="shared" si="18"/>
        <v>240</v>
      </c>
      <c r="I45" s="13">
        <f t="shared" si="18"/>
        <v>350</v>
      </c>
      <c r="J45" s="24">
        <f>35*12</f>
        <v>420</v>
      </c>
      <c r="K45" s="24">
        <v>100</v>
      </c>
      <c r="L45" s="24"/>
      <c r="M45" s="24"/>
      <c r="N45" s="24">
        <f>6.6*12</f>
        <v>79.199999999999989</v>
      </c>
      <c r="O45" s="24">
        <v>100</v>
      </c>
      <c r="P45" s="25">
        <v>3</v>
      </c>
      <c r="Q45" s="10">
        <f>G45+H45+K45+(SUM(N45,J45)*3+I45*2)</f>
        <v>8494.11</v>
      </c>
      <c r="R45" s="10">
        <f>Q45/P45</f>
        <v>2831.3700000000003</v>
      </c>
      <c r="S45" s="24"/>
    </row>
    <row r="46" spans="2:19" x14ac:dyDescent="0.3">
      <c r="B46" s="22" t="s">
        <v>194</v>
      </c>
      <c r="C46" s="22" t="s">
        <v>193</v>
      </c>
      <c r="D46" s="28" t="s">
        <v>84</v>
      </c>
      <c r="E46" s="22"/>
      <c r="F46" s="13">
        <f t="shared" si="16"/>
        <v>0</v>
      </c>
      <c r="G46" s="13">
        <f t="shared" si="13"/>
        <v>729.5</v>
      </c>
      <c r="H46" s="13">
        <f t="shared" si="18"/>
        <v>125</v>
      </c>
      <c r="I46" s="13">
        <f t="shared" si="18"/>
        <v>149</v>
      </c>
      <c r="J46" s="24">
        <f>35*12</f>
        <v>420</v>
      </c>
      <c r="K46" s="24">
        <v>100</v>
      </c>
      <c r="L46" s="24"/>
      <c r="M46" s="24"/>
      <c r="N46" s="24">
        <f>8*12</f>
        <v>96</v>
      </c>
      <c r="O46" s="24">
        <v>100</v>
      </c>
      <c r="P46" s="25">
        <v>3</v>
      </c>
      <c r="Q46" s="10">
        <f>G46+H46+K46+(SUM(N46,J46)*3+I46*2)</f>
        <v>2800.5</v>
      </c>
      <c r="R46" s="10">
        <f>Q46/P46</f>
        <v>933.5</v>
      </c>
      <c r="S46" s="24"/>
    </row>
    <row r="47" spans="2:19" x14ac:dyDescent="0.3">
      <c r="B47" s="16" t="s">
        <v>86</v>
      </c>
      <c r="C47" s="22" t="s">
        <v>203</v>
      </c>
      <c r="D47" s="28" t="s">
        <v>84</v>
      </c>
      <c r="E47" s="22"/>
      <c r="F47" s="23">
        <v>0</v>
      </c>
      <c r="G47" s="139">
        <f>399.95</f>
        <v>399.95</v>
      </c>
      <c r="H47" s="24">
        <v>30</v>
      </c>
      <c r="I47" s="24"/>
      <c r="J47" s="24"/>
      <c r="K47" s="24"/>
      <c r="L47" s="24"/>
      <c r="M47" s="24"/>
      <c r="N47" s="24"/>
      <c r="O47" s="24"/>
      <c r="P47" s="25">
        <v>3</v>
      </c>
      <c r="Q47" s="21">
        <f>G47+H47+I47*(P47-1)+M47*P47+L47*P47</f>
        <v>429.95</v>
      </c>
      <c r="R47" s="10">
        <f>Q47/P47</f>
        <v>143.31666666666666</v>
      </c>
      <c r="S47" s="24"/>
    </row>
    <row r="48" spans="2:19" x14ac:dyDescent="0.3">
      <c r="B48" s="16" t="s">
        <v>86</v>
      </c>
      <c r="C48" s="22" t="s">
        <v>200</v>
      </c>
      <c r="D48" s="28" t="s">
        <v>84</v>
      </c>
      <c r="E48" s="22"/>
      <c r="F48" s="23">
        <v>0</v>
      </c>
      <c r="G48" s="24">
        <f>169.95</f>
        <v>169.95</v>
      </c>
      <c r="H48" s="24"/>
      <c r="I48" s="24"/>
      <c r="J48" s="24"/>
      <c r="K48" s="24"/>
      <c r="L48" s="24"/>
      <c r="M48" s="24"/>
      <c r="N48" s="24"/>
      <c r="O48" s="24"/>
      <c r="P48" s="25">
        <v>3</v>
      </c>
      <c r="Q48" s="23">
        <f t="shared" si="19"/>
        <v>169.95</v>
      </c>
      <c r="R48" s="10">
        <f>Q48/P48</f>
        <v>56.65</v>
      </c>
      <c r="S48" s="24"/>
    </row>
    <row r="49" spans="2:20" x14ac:dyDescent="0.3">
      <c r="B49" s="22" t="s">
        <v>189</v>
      </c>
      <c r="C49" s="22" t="s">
        <v>190</v>
      </c>
      <c r="D49" s="22"/>
      <c r="E49" s="22"/>
      <c r="F49" s="23"/>
      <c r="G49" s="24">
        <f>-1599.95</f>
        <v>-1599.95</v>
      </c>
      <c r="H49" s="24"/>
      <c r="I49" s="24"/>
      <c r="J49" s="24"/>
      <c r="K49" s="24"/>
      <c r="L49" s="24"/>
      <c r="M49" s="24"/>
      <c r="N49" s="24"/>
      <c r="O49" s="24"/>
      <c r="P49" s="25"/>
      <c r="Q49" s="23"/>
      <c r="R49" s="23"/>
      <c r="S49" s="24"/>
    </row>
    <row r="50" spans="2:20" x14ac:dyDescent="0.3">
      <c r="B50" s="16" t="s">
        <v>86</v>
      </c>
      <c r="C50" s="16" t="s">
        <v>185</v>
      </c>
      <c r="D50" s="16"/>
      <c r="E50" s="16"/>
      <c r="F50" s="16">
        <v>0</v>
      </c>
      <c r="G50" s="19">
        <f>(3199.95+1599.95)</f>
        <v>4799.8999999999996</v>
      </c>
      <c r="H50" s="130">
        <f t="shared" ref="H50:I53" si="20">H23</f>
        <v>840</v>
      </c>
      <c r="I50" s="140">
        <f t="shared" si="20"/>
        <v>75</v>
      </c>
      <c r="J50" s="130">
        <f t="shared" ref="J50:L51" si="21">J23*1.19</f>
        <v>0</v>
      </c>
      <c r="K50" s="140">
        <f>K23</f>
        <v>0</v>
      </c>
      <c r="L50" s="130">
        <f t="shared" si="21"/>
        <v>0</v>
      </c>
      <c r="M50" s="130">
        <f>19.95*12</f>
        <v>239.39999999999998</v>
      </c>
      <c r="N50" s="130">
        <f t="shared" ref="N50:O51" si="22">N23</f>
        <v>0</v>
      </c>
      <c r="O50" s="130">
        <f t="shared" si="22"/>
        <v>0</v>
      </c>
      <c r="P50" s="16">
        <v>3</v>
      </c>
      <c r="Q50" s="21">
        <f>G50+H50+I50*(P50-1)+M50*(P50-1)+L50*P50</f>
        <v>6268.7</v>
      </c>
      <c r="R50" s="130">
        <f>Q50/P50</f>
        <v>2089.5666666666666</v>
      </c>
      <c r="S50" s="16"/>
    </row>
    <row r="51" spans="2:20" x14ac:dyDescent="0.3">
      <c r="B51" s="16" t="s">
        <v>86</v>
      </c>
      <c r="C51" s="16" t="s">
        <v>186</v>
      </c>
      <c r="D51" s="16"/>
      <c r="E51" s="16"/>
      <c r="F51" s="16">
        <v>0</v>
      </c>
      <c r="G51" s="19">
        <f>(5999.95+1599.95)</f>
        <v>7599.9</v>
      </c>
      <c r="H51" s="130">
        <f t="shared" si="20"/>
        <v>1680</v>
      </c>
      <c r="I51" s="140">
        <f t="shared" si="20"/>
        <v>150</v>
      </c>
      <c r="J51" s="130">
        <f t="shared" si="21"/>
        <v>0</v>
      </c>
      <c r="K51" s="140">
        <f>K24</f>
        <v>0</v>
      </c>
      <c r="L51" s="130">
        <f t="shared" si="21"/>
        <v>0</v>
      </c>
      <c r="M51" s="130">
        <f>19.95*12*2</f>
        <v>478.79999999999995</v>
      </c>
      <c r="N51" s="130">
        <f t="shared" si="22"/>
        <v>0</v>
      </c>
      <c r="O51" s="130">
        <f t="shared" si="22"/>
        <v>0</v>
      </c>
      <c r="P51" s="16">
        <v>3</v>
      </c>
      <c r="Q51" s="21">
        <f t="shared" ref="Q51:Q53" si="23">G51+H51+I51*(P51-1)+M51*(P51-1)+L51*P51</f>
        <v>10537.5</v>
      </c>
      <c r="R51" s="130">
        <f t="shared" ref="R51:R53" si="24">Q51/P51</f>
        <v>3512.5</v>
      </c>
      <c r="S51" s="16"/>
      <c r="T51" s="135"/>
    </row>
    <row r="52" spans="2:20" x14ac:dyDescent="0.3">
      <c r="B52" s="16" t="s">
        <v>86</v>
      </c>
      <c r="C52" s="16" t="s">
        <v>187</v>
      </c>
      <c r="D52" s="16"/>
      <c r="E52" s="22"/>
      <c r="F52" s="16">
        <v>0</v>
      </c>
      <c r="G52" s="24">
        <f>(3399.95+1599.95)</f>
        <v>4999.8999999999996</v>
      </c>
      <c r="H52" s="130">
        <f t="shared" si="20"/>
        <v>840</v>
      </c>
      <c r="I52" s="140">
        <f t="shared" si="20"/>
        <v>75</v>
      </c>
      <c r="J52" s="24"/>
      <c r="K52" s="140">
        <f>K25</f>
        <v>0</v>
      </c>
      <c r="L52" s="24"/>
      <c r="M52" s="130">
        <f>19.95*12</f>
        <v>239.39999999999998</v>
      </c>
      <c r="N52" s="24"/>
      <c r="O52" s="24"/>
      <c r="P52" s="25">
        <v>3</v>
      </c>
      <c r="Q52" s="21">
        <f t="shared" si="23"/>
        <v>6468.7</v>
      </c>
      <c r="R52" s="130">
        <f t="shared" si="24"/>
        <v>2156.2333333333331</v>
      </c>
      <c r="S52" s="24"/>
    </row>
    <row r="53" spans="2:20" x14ac:dyDescent="0.3">
      <c r="B53" s="16" t="s">
        <v>86</v>
      </c>
      <c r="C53" s="16" t="s">
        <v>188</v>
      </c>
      <c r="D53" s="16"/>
      <c r="E53" s="22"/>
      <c r="F53" s="16">
        <v>0</v>
      </c>
      <c r="G53" s="24">
        <f>(6199.95+1599.95)</f>
        <v>7799.9</v>
      </c>
      <c r="H53" s="130">
        <f t="shared" si="20"/>
        <v>1680</v>
      </c>
      <c r="I53" s="140">
        <f t="shared" si="20"/>
        <v>150</v>
      </c>
      <c r="J53" s="24"/>
      <c r="K53" s="140">
        <f>K26</f>
        <v>0</v>
      </c>
      <c r="L53" s="24"/>
      <c r="M53" s="130">
        <f>19.95*12*2</f>
        <v>478.79999999999995</v>
      </c>
      <c r="N53" s="24"/>
      <c r="O53" s="24"/>
      <c r="P53" s="26">
        <v>3</v>
      </c>
      <c r="Q53" s="21">
        <f t="shared" si="23"/>
        <v>10737.5</v>
      </c>
      <c r="R53" s="130">
        <f t="shared" si="24"/>
        <v>3579.1666666666665</v>
      </c>
      <c r="S53" s="24"/>
    </row>
    <row r="54" spans="2:20" x14ac:dyDescent="0.3">
      <c r="B54" s="22" t="s">
        <v>88</v>
      </c>
      <c r="C54" s="22" t="s">
        <v>49</v>
      </c>
      <c r="D54" s="22" t="s">
        <v>89</v>
      </c>
      <c r="E54" s="22"/>
      <c r="F54" s="23">
        <v>0</v>
      </c>
      <c r="G54" s="24"/>
      <c r="H54" s="24"/>
      <c r="I54" s="24"/>
      <c r="J54" s="24"/>
      <c r="K54" s="24"/>
      <c r="L54" s="24"/>
      <c r="M54" s="24"/>
      <c r="N54" s="24"/>
      <c r="O54" s="24"/>
      <c r="P54" s="22">
        <v>3</v>
      </c>
      <c r="Q54" s="23">
        <f t="shared" si="19"/>
        <v>0</v>
      </c>
      <c r="R54" s="24"/>
      <c r="S54" s="24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5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style="12" bestFit="1" customWidth="1"/>
  </cols>
  <sheetData>
    <row r="1" spans="1:2" x14ac:dyDescent="0.3">
      <c r="A1" s="12" t="s">
        <v>196</v>
      </c>
      <c r="B1" s="12" t="s">
        <v>277</v>
      </c>
    </row>
    <row r="2" spans="1:2" ht="43.2" x14ac:dyDescent="0.3">
      <c r="A2" s="12">
        <v>221220</v>
      </c>
      <c r="B2" s="12" t="s">
        <v>197</v>
      </c>
    </row>
    <row r="3" spans="1:2" ht="43.2" x14ac:dyDescent="0.3">
      <c r="B3" s="12" t="s">
        <v>198</v>
      </c>
    </row>
    <row r="4" spans="1:2" ht="86.4" x14ac:dyDescent="0.3">
      <c r="B4" s="12" t="s">
        <v>199</v>
      </c>
    </row>
    <row r="5" spans="1:2" ht="43.2" x14ac:dyDescent="0.3">
      <c r="A5" s="12">
        <v>230126</v>
      </c>
      <c r="B5" s="12" t="s">
        <v>201</v>
      </c>
    </row>
    <row r="6" spans="1:2" ht="72" x14ac:dyDescent="0.3">
      <c r="B6" s="12" t="s">
        <v>202</v>
      </c>
    </row>
    <row r="7" spans="1:2" ht="28.8" x14ac:dyDescent="0.3">
      <c r="B7" s="12" t="s">
        <v>204</v>
      </c>
    </row>
    <row r="9" spans="1:2" ht="28.8" x14ac:dyDescent="0.3">
      <c r="A9" s="12" t="s">
        <v>247</v>
      </c>
      <c r="B9" s="12" t="s">
        <v>205</v>
      </c>
    </row>
    <row r="10" spans="1:2" ht="28.8" x14ac:dyDescent="0.3">
      <c r="B10" s="12" t="s">
        <v>248</v>
      </c>
    </row>
    <row r="11" spans="1:2" ht="72" x14ac:dyDescent="0.3">
      <c r="B11" s="12" t="s">
        <v>249</v>
      </c>
    </row>
    <row r="12" spans="1:2" ht="86.4" x14ac:dyDescent="0.3">
      <c r="A12" s="12" t="s">
        <v>259</v>
      </c>
      <c r="B12" s="12" t="s">
        <v>261</v>
      </c>
    </row>
    <row r="13" spans="1:2" ht="28.8" x14ac:dyDescent="0.3">
      <c r="B13" s="12" t="s">
        <v>260</v>
      </c>
    </row>
    <row r="14" spans="1:2" ht="72" x14ac:dyDescent="0.3">
      <c r="A14" s="12" t="s">
        <v>265</v>
      </c>
      <c r="B14" s="12" t="s">
        <v>263</v>
      </c>
    </row>
    <row r="15" spans="1:2" ht="28.8" x14ac:dyDescent="0.3">
      <c r="B15" s="12" t="s">
        <v>266</v>
      </c>
    </row>
    <row r="16" spans="1:2" ht="100.8" x14ac:dyDescent="0.3">
      <c r="A16" s="12" t="s">
        <v>267</v>
      </c>
      <c r="B16" s="12" t="s">
        <v>270</v>
      </c>
    </row>
    <row r="17" spans="1:2" ht="115.2" x14ac:dyDescent="0.3">
      <c r="B17" s="12" t="s">
        <v>268</v>
      </c>
    </row>
    <row r="18" spans="1:2" ht="129.6" x14ac:dyDescent="0.3">
      <c r="B18" s="12" t="s">
        <v>269</v>
      </c>
    </row>
    <row r="19" spans="1:2" ht="86.4" x14ac:dyDescent="0.3">
      <c r="A19" s="12" t="s">
        <v>272</v>
      </c>
      <c r="B19" s="12" t="s">
        <v>273</v>
      </c>
    </row>
    <row r="20" spans="1:2" ht="57.6" x14ac:dyDescent="0.3">
      <c r="B20" s="12" t="s">
        <v>274</v>
      </c>
    </row>
    <row r="21" spans="1:2" ht="28.8" x14ac:dyDescent="0.3">
      <c r="A21" s="12" t="s">
        <v>275</v>
      </c>
      <c r="B21" s="12" t="s">
        <v>276</v>
      </c>
    </row>
    <row r="22" spans="1:2" ht="86.4" x14ac:dyDescent="0.3">
      <c r="A22" s="12" t="s">
        <v>279</v>
      </c>
      <c r="B22" s="12" t="s">
        <v>280</v>
      </c>
    </row>
    <row r="23" spans="1:2" ht="72" x14ac:dyDescent="0.3">
      <c r="A23" s="12" t="s">
        <v>283</v>
      </c>
      <c r="B23" s="12" t="s">
        <v>284</v>
      </c>
    </row>
    <row r="24" spans="1:2" ht="86.4" x14ac:dyDescent="0.3">
      <c r="A24" s="12" t="s">
        <v>294</v>
      </c>
      <c r="B24" s="12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style="12" customWidth="1"/>
    <col min="4" max="4" width="12.109375" customWidth="1"/>
    <col min="5" max="5" width="11.44140625" bestFit="1" customWidth="1"/>
    <col min="6" max="6" width="11.5546875" bestFit="1" customWidth="1"/>
    <col min="7" max="7" width="11.44140625" bestFit="1" customWidth="1"/>
    <col min="8" max="8" width="14.44140625" customWidth="1"/>
    <col min="9" max="15" width="11.44140625" bestFit="1" customWidth="1"/>
    <col min="16" max="16" width="10.44140625" style="12" bestFit="1" customWidth="1"/>
    <col min="17" max="27" width="11.44140625" style="12" bestFit="1" customWidth="1"/>
    <col min="28" max="28" width="10.44140625" style="12" bestFit="1" customWidth="1"/>
    <col min="29" max="39" width="11.44140625" style="12" bestFit="1" customWidth="1"/>
    <col min="40" max="40" width="12.44140625" style="12" bestFit="1" customWidth="1"/>
    <col min="41" max="41" width="10.44140625" style="12" bestFit="1" customWidth="1"/>
    <col min="43" max="43" width="12.5546875" style="12" bestFit="1" customWidth="1"/>
    <col min="44" max="44" width="11.44140625" style="12" bestFit="1" customWidth="1"/>
    <col min="45" max="54" width="10.44140625" style="12" bestFit="1" customWidth="1"/>
  </cols>
  <sheetData>
    <row r="2" spans="2:54" x14ac:dyDescent="0.3">
      <c r="C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Q2"/>
      <c r="AR2"/>
      <c r="AS2"/>
      <c r="AT2"/>
      <c r="AU2"/>
      <c r="AV2"/>
      <c r="AW2"/>
      <c r="AX2"/>
      <c r="AY2"/>
      <c r="AZ2"/>
      <c r="BA2"/>
      <c r="BB2"/>
    </row>
    <row r="4" spans="2:54" x14ac:dyDescent="0.3">
      <c r="D4" t="s">
        <v>90</v>
      </c>
      <c r="E4" t="s">
        <v>91</v>
      </c>
      <c r="F4" t="s">
        <v>92</v>
      </c>
      <c r="G4" t="s">
        <v>93</v>
      </c>
      <c r="H4" t="s">
        <v>94</v>
      </c>
      <c r="I4" t="s">
        <v>95</v>
      </c>
      <c r="J4" t="s">
        <v>96</v>
      </c>
      <c r="K4" t="s">
        <v>97</v>
      </c>
      <c r="L4" t="s">
        <v>98</v>
      </c>
      <c r="M4" t="s">
        <v>99</v>
      </c>
      <c r="N4" t="s">
        <v>100</v>
      </c>
      <c r="O4" t="s">
        <v>101</v>
      </c>
      <c r="P4" t="s">
        <v>102</v>
      </c>
      <c r="Q4" t="s">
        <v>103</v>
      </c>
      <c r="R4" t="s">
        <v>104</v>
      </c>
      <c r="S4" t="s">
        <v>105</v>
      </c>
      <c r="T4" t="s">
        <v>106</v>
      </c>
      <c r="U4" t="s">
        <v>107</v>
      </c>
      <c r="V4" t="s">
        <v>108</v>
      </c>
      <c r="W4" t="s">
        <v>109</v>
      </c>
      <c r="X4" t="s">
        <v>110</v>
      </c>
      <c r="Y4" t="s">
        <v>111</v>
      </c>
      <c r="Z4" t="s">
        <v>112</v>
      </c>
      <c r="AA4" t="s">
        <v>113</v>
      </c>
      <c r="AB4" t="s">
        <v>114</v>
      </c>
      <c r="AC4" t="s">
        <v>115</v>
      </c>
      <c r="AD4" t="s">
        <v>116</v>
      </c>
      <c r="AE4" t="s">
        <v>117</v>
      </c>
      <c r="AF4" t="s">
        <v>118</v>
      </c>
      <c r="AG4" t="s">
        <v>119</v>
      </c>
      <c r="AH4" t="s">
        <v>120</v>
      </c>
      <c r="AI4" t="s">
        <v>121</v>
      </c>
      <c r="AJ4" t="s">
        <v>122</v>
      </c>
      <c r="AK4" t="s">
        <v>123</v>
      </c>
      <c r="AL4" t="s">
        <v>124</v>
      </c>
      <c r="AM4" t="s">
        <v>125</v>
      </c>
      <c r="AN4" t="s">
        <v>126</v>
      </c>
      <c r="AQ4" t="s">
        <v>127</v>
      </c>
      <c r="AR4" t="s">
        <v>128</v>
      </c>
      <c r="AS4" t="s">
        <v>129</v>
      </c>
      <c r="AT4" t="s">
        <v>130</v>
      </c>
      <c r="AU4" t="s">
        <v>131</v>
      </c>
      <c r="AV4" t="s">
        <v>132</v>
      </c>
      <c r="AW4" t="s">
        <v>133</v>
      </c>
      <c r="AX4" t="s">
        <v>134</v>
      </c>
      <c r="AY4" t="s">
        <v>135</v>
      </c>
      <c r="AZ4" t="s">
        <v>136</v>
      </c>
      <c r="BA4" t="s">
        <v>137</v>
      </c>
      <c r="BB4" t="s">
        <v>138</v>
      </c>
    </row>
    <row r="5" spans="2:54" x14ac:dyDescent="0.3">
      <c r="C5" t="s">
        <v>139</v>
      </c>
      <c r="AN5" t="e">
        <f>SUM(AN6:AN7)</f>
        <v>#REF!</v>
      </c>
    </row>
    <row r="6" spans="2:54" x14ac:dyDescent="0.3">
      <c r="B6">
        <v>1</v>
      </c>
      <c r="C6" t="s">
        <v>72</v>
      </c>
      <c r="D6" t="e">
        <f>'Preise Output'!$E$26*B6*'Preise Output'!#REF!</f>
        <v>#REF!</v>
      </c>
      <c r="P6">
        <f>'Preise Output'!$E$26*B6*INDEX(Annahmen!$B$19:$C$22,MATCH('Preise Output'!$C$7,Annahmen!$B$19:$B$22,0),2)</f>
        <v>33495</v>
      </c>
      <c r="Q6"/>
      <c r="R6"/>
      <c r="S6"/>
      <c r="T6"/>
      <c r="U6"/>
      <c r="V6"/>
      <c r="W6"/>
      <c r="X6"/>
      <c r="Y6"/>
      <c r="Z6"/>
      <c r="AA6"/>
      <c r="AB6">
        <f>'Preise Output'!$E$26*B6*INDEX(Annahmen!$B$19:$C$22,MATCH('Preise Output'!$C$7,Annahmen!$B$19:$B$22,0),2)</f>
        <v>33495</v>
      </c>
      <c r="AC6"/>
      <c r="AD6"/>
      <c r="AE6"/>
      <c r="AF6"/>
      <c r="AG6"/>
      <c r="AH6"/>
      <c r="AI6"/>
      <c r="AJ6"/>
      <c r="AK6"/>
      <c r="AL6"/>
      <c r="AM6"/>
      <c r="AN6" t="e">
        <f>SUM(D6:AM6)</f>
        <v>#REF!</v>
      </c>
      <c r="AQ6" t="e">
        <f>SUM(D6:F6)</f>
        <v>#REF!</v>
      </c>
      <c r="AR6">
        <f>SUM(G6:I6)</f>
        <v>0</v>
      </c>
      <c r="AS6">
        <f>SUM(J6:L6)</f>
        <v>0</v>
      </c>
      <c r="AT6">
        <f>SUM(M6:O6)</f>
        <v>0</v>
      </c>
      <c r="AU6">
        <f>SUM(P6:R6)</f>
        <v>33495</v>
      </c>
      <c r="AV6">
        <f>SUM(S6:U6)</f>
        <v>0</v>
      </c>
      <c r="AW6">
        <f>SUM(V6:X6)</f>
        <v>0</v>
      </c>
      <c r="AX6">
        <f>SUM(Y6:AA6)</f>
        <v>0</v>
      </c>
      <c r="AY6">
        <f>SUM(AB6:AD6)</f>
        <v>33495</v>
      </c>
      <c r="AZ6">
        <f>SUM(AE6:AG6)</f>
        <v>0</v>
      </c>
      <c r="BA6">
        <f>SUM(AH6:AJ6)</f>
        <v>0</v>
      </c>
      <c r="BB6">
        <f>SUM(AK6:AM6)</f>
        <v>0</v>
      </c>
    </row>
    <row r="7" spans="2:54" x14ac:dyDescent="0.3">
      <c r="C7" t="s">
        <v>140</v>
      </c>
      <c r="E7">
        <f>IF($B$6=100%,(('Preise Output'!$F$10-INDEX(Annahmen!$B$18:$C$22,MATCH('Preise Output'!$C$7,Annahmen!$B$18:$B$22,0),2))*'Preise Output'!$E$26)/10,('Preise Output'!$E$26*'Preise Output'!$F$10-$D$6)/10)</f>
        <v>957</v>
      </c>
      <c r="F7">
        <f>IF($B$6=100%,(('Preise Output'!$F$10-INDEX(Annahmen!$B$18:$C$22,MATCH('Preise Output'!$C$7,Annahmen!$B$18:$B$22,0),2))*'Preise Output'!$E$26)/10,('Preise Output'!$E$26*'Preise Output'!$F$10-$D$6)/10)</f>
        <v>957</v>
      </c>
      <c r="G7">
        <f>IF($B$6=100%,(('Preise Output'!$F$10-INDEX(Annahmen!$B$18:$C$22,MATCH('Preise Output'!$C$7,Annahmen!$B$18:$B$22,0),2))*'Preise Output'!$E$26)/10,('Preise Output'!$E$26*'Preise Output'!$F$10-$D$6)/10)</f>
        <v>957</v>
      </c>
      <c r="H7">
        <f>IF($B$6=100%,(('Preise Output'!$F$10-INDEX(Annahmen!$B$18:$C$22,MATCH('Preise Output'!$C$7,Annahmen!$B$18:$B$22,0),2))*'Preise Output'!$E$26)/10,('Preise Output'!$E$26*'Preise Output'!$F$10-$D$6)/10)</f>
        <v>957</v>
      </c>
      <c r="I7">
        <f>IF($B$6=100%,(('Preise Output'!$F$10-INDEX(Annahmen!$B$18:$C$22,MATCH('Preise Output'!$C$7,Annahmen!$B$18:$B$22,0),2))*'Preise Output'!$E$26)/10,('Preise Output'!$E$26*'Preise Output'!$F$10-$D$6)/10)</f>
        <v>957</v>
      </c>
      <c r="J7">
        <f>IF($B$6=100%,(('Preise Output'!$F$10-INDEX(Annahmen!$B$18:$C$22,MATCH('Preise Output'!$C$7,Annahmen!$B$18:$B$22,0),2))*'Preise Output'!$E$26)/10,('Preise Output'!$E$26*'Preise Output'!$F$10-$D$6)/10)</f>
        <v>957</v>
      </c>
      <c r="K7">
        <f>IF($B$6=100%,(('Preise Output'!$F$10-INDEX(Annahmen!$B$18:$C$22,MATCH('Preise Output'!$C$7,Annahmen!$B$18:$B$22,0),2))*'Preise Output'!$E$26)/10,('Preise Output'!$E$26*'Preise Output'!$F$10-$D$6)/10)</f>
        <v>957</v>
      </c>
      <c r="L7">
        <f>IF($B$6=100%,(('Preise Output'!$F$10-INDEX(Annahmen!$B$18:$C$22,MATCH('Preise Output'!$C$7,Annahmen!$B$18:$B$22,0),2))*'Preise Output'!$E$26)/10,('Preise Output'!$E$26*'Preise Output'!$F$10-$D$6)/10)</f>
        <v>957</v>
      </c>
      <c r="M7">
        <f>IF($B$6=100%,(('Preise Output'!$F$10-INDEX(Annahmen!$B$18:$C$22,MATCH('Preise Output'!$C$7,Annahmen!$B$18:$B$22,0),2))*'Preise Output'!$E$26)/10,('Preise Output'!$E$26*'Preise Output'!$F$10-$D$6)/10)</f>
        <v>957</v>
      </c>
      <c r="N7">
        <f>IF($B$6=100%,(('Preise Output'!$F$10-INDEX(Annahmen!$B$18:$C$22,MATCH('Preise Output'!$C$7,Annahmen!$B$18:$B$22,0),2))*'Preise Output'!$E$26)/10,('Preise Output'!$E$26*'Preise Output'!$F$10-$D$6)/10)</f>
        <v>957</v>
      </c>
      <c r="P7"/>
      <c r="Q7">
        <f>IF($B$6=100%,(('Preise Output'!$F$10-INDEX(Annahmen!$B$18:$C$22,MATCH('Preise Output'!$C$7,Annahmen!$B$18:$B$22,0),2))*'Preise Output'!$E$26)/10,('Preise Output'!$E$26*'Preise Output'!$F$10-$D$6)/10)</f>
        <v>957</v>
      </c>
      <c r="R7">
        <f>IF($B$6=100%,(('Preise Output'!$F$10-INDEX(Annahmen!$B$18:$C$22,MATCH('Preise Output'!$C$7,Annahmen!$B$18:$B$22,0),2))*'Preise Output'!$E$26)/10,('Preise Output'!$E$26*'Preise Output'!$F$10-$D$6)/10)</f>
        <v>957</v>
      </c>
      <c r="S7">
        <f>IF($B$6=100%,(('Preise Output'!$F$10-INDEX(Annahmen!$B$18:$C$22,MATCH('Preise Output'!$C$7,Annahmen!$B$18:$B$22,0),2))*'Preise Output'!$E$26)/10,('Preise Output'!$E$26*'Preise Output'!$F$10-$D$6)/10)</f>
        <v>957</v>
      </c>
      <c r="T7">
        <f>IF($B$6=100%,(('Preise Output'!$F$10-INDEX(Annahmen!$B$18:$C$22,MATCH('Preise Output'!$C$7,Annahmen!$B$18:$B$22,0),2))*'Preise Output'!$E$26)/10,('Preise Output'!$E$26*'Preise Output'!$F$10-$D$6)/10)</f>
        <v>957</v>
      </c>
      <c r="U7">
        <f>IF($B$6=100%,(('Preise Output'!$F$10-INDEX(Annahmen!$B$18:$C$22,MATCH('Preise Output'!$C$7,Annahmen!$B$18:$B$22,0),2))*'Preise Output'!$E$26)/10,('Preise Output'!$E$26*'Preise Output'!$F$10-$D$6)/10)</f>
        <v>957</v>
      </c>
      <c r="V7">
        <f>IF($B$6=100%,(('Preise Output'!$F$10-INDEX(Annahmen!$B$18:$C$22,MATCH('Preise Output'!$C$7,Annahmen!$B$18:$B$22,0),2))*'Preise Output'!$E$26)/10,('Preise Output'!$E$26*'Preise Output'!$F$10-$D$6)/10)</f>
        <v>957</v>
      </c>
      <c r="W7">
        <f>IF($B$6=100%,(('Preise Output'!$F$10-INDEX(Annahmen!$B$18:$C$22,MATCH('Preise Output'!$C$7,Annahmen!$B$18:$B$22,0),2))*'Preise Output'!$E$26)/10,('Preise Output'!$E$26*'Preise Output'!$F$10-$D$6)/10)</f>
        <v>957</v>
      </c>
      <c r="X7">
        <f>IF($B$6=100%,(('Preise Output'!$F$10-INDEX(Annahmen!$B$18:$C$22,MATCH('Preise Output'!$C$7,Annahmen!$B$18:$B$22,0),2))*'Preise Output'!$E$26)/10,('Preise Output'!$E$26*'Preise Output'!$F$10-$D$6)/10)</f>
        <v>957</v>
      </c>
      <c r="Y7">
        <f>IF($B$6=100%,(('Preise Output'!$F$10-INDEX(Annahmen!$B$18:$C$22,MATCH('Preise Output'!$C$7,Annahmen!$B$18:$B$22,0),2))*'Preise Output'!$E$26)/10,('Preise Output'!$E$26*'Preise Output'!$F$10-$D$6)/10)</f>
        <v>957</v>
      </c>
      <c r="Z7">
        <f>IF($B$6=100%,(('Preise Output'!$F$10-INDEX(Annahmen!$B$18:$C$22,MATCH('Preise Output'!$C$7,Annahmen!$B$18:$B$22,0),2))*'Preise Output'!$E$26)/10,('Preise Output'!$E$26*'Preise Output'!$F$10-$D$6)/10)</f>
        <v>957</v>
      </c>
      <c r="AA7"/>
      <c r="AB7"/>
      <c r="AC7">
        <f>IF($B$6=100%,(('Preise Output'!$F$10-INDEX(Annahmen!$B$18:$C$22,MATCH('Preise Output'!$C$7,Annahmen!$B$18:$B$22,0),2))*'Preise Output'!$E$26)/10,('Preise Output'!$E$26*'Preise Output'!$F$10-$D$6)/10)</f>
        <v>957</v>
      </c>
      <c r="AD7">
        <f>IF($B$6=100%,(('Preise Output'!$F$10-INDEX(Annahmen!$B$18:$C$22,MATCH('Preise Output'!$C$7,Annahmen!$B$18:$B$22,0),2))*'Preise Output'!$E$26)/10,('Preise Output'!$E$26*'Preise Output'!$F$10-$D$6)/10)</f>
        <v>957</v>
      </c>
      <c r="AE7">
        <f>IF($B$6=100%,(('Preise Output'!$F$10-INDEX(Annahmen!$B$18:$C$22,MATCH('Preise Output'!$C$7,Annahmen!$B$18:$B$22,0),2))*'Preise Output'!$E$26)/10,('Preise Output'!$E$26*'Preise Output'!$F$10-$D$6)/10)</f>
        <v>957</v>
      </c>
      <c r="AF7">
        <f>IF($B$6=100%,(('Preise Output'!$F$10-INDEX(Annahmen!$B$18:$C$22,MATCH('Preise Output'!$C$7,Annahmen!$B$18:$B$22,0),2))*'Preise Output'!$E$26)/10,('Preise Output'!$E$26*'Preise Output'!$F$10-$D$6)/10)</f>
        <v>957</v>
      </c>
      <c r="AG7">
        <f>IF($B$6=100%,(('Preise Output'!$F$10-INDEX(Annahmen!$B$18:$C$22,MATCH('Preise Output'!$C$7,Annahmen!$B$18:$B$22,0),2))*'Preise Output'!$E$26)/10,('Preise Output'!$E$26*'Preise Output'!$F$10-$D$6)/10)</f>
        <v>957</v>
      </c>
      <c r="AH7">
        <f>IF($B$6=100%,(('Preise Output'!$F$10-INDEX(Annahmen!$B$18:$C$22,MATCH('Preise Output'!$C$7,Annahmen!$B$18:$B$22,0),2))*'Preise Output'!$E$26)/10,('Preise Output'!$E$26*'Preise Output'!$F$10-$D$6)/10)</f>
        <v>957</v>
      </c>
      <c r="AI7">
        <f>IF($B$6=100%,(('Preise Output'!$F$10-INDEX(Annahmen!$B$18:$C$22,MATCH('Preise Output'!$C$7,Annahmen!$B$18:$B$22,0),2))*'Preise Output'!$E$26)/10,('Preise Output'!$E$26*'Preise Output'!$F$10-$D$6)/10)</f>
        <v>957</v>
      </c>
      <c r="AJ7">
        <f>IF($B$6=100%,(('Preise Output'!$F$10-INDEX(Annahmen!$B$18:$C$22,MATCH('Preise Output'!$C$7,Annahmen!$B$18:$B$22,0),2))*'Preise Output'!$E$26)/10,('Preise Output'!$E$26*'Preise Output'!$F$10-$D$6)/10)</f>
        <v>957</v>
      </c>
      <c r="AK7">
        <f>IF($B$6=100%,(('Preise Output'!$F$10-INDEX(Annahmen!$B$18:$C$22,MATCH('Preise Output'!$C$7,Annahmen!$B$18:$B$22,0),2))*'Preise Output'!$E$26)/10,('Preise Output'!$E$26*'Preise Output'!$F$10-$D$6)/10)</f>
        <v>957</v>
      </c>
      <c r="AL7">
        <f>IF($B$6=100%,(('Preise Output'!$F$10-INDEX(Annahmen!$B$18:$C$22,MATCH('Preise Output'!$C$7,Annahmen!$B$18:$B$22,0),2))*'Preise Output'!$E$26)/10,('Preise Output'!$E$26*'Preise Output'!$F$10-$D$6)/10)</f>
        <v>957</v>
      </c>
      <c r="AM7"/>
      <c r="AN7">
        <f t="shared" ref="AN7:AN43" si="0">SUM(D7:AM7)</f>
        <v>28710</v>
      </c>
      <c r="AQ7">
        <f t="shared" ref="AQ7:AQ45" si="1">SUM(D7:F7)</f>
        <v>1914</v>
      </c>
      <c r="AR7">
        <f t="shared" ref="AR7:AR45" si="2">SUM(G7:I7)</f>
        <v>2871</v>
      </c>
      <c r="AS7">
        <f t="shared" ref="AS7:AS45" si="3">SUM(J7:L7)</f>
        <v>2871</v>
      </c>
      <c r="AT7">
        <f t="shared" ref="AT7:AT45" si="4">SUM(M7:O7)</f>
        <v>1914</v>
      </c>
      <c r="AU7">
        <f t="shared" ref="AU7:AU45" si="5">SUM(P7:R7)</f>
        <v>1914</v>
      </c>
      <c r="AV7">
        <f t="shared" ref="AV7:AV45" si="6">SUM(S7:U7)</f>
        <v>2871</v>
      </c>
      <c r="AW7">
        <f t="shared" ref="AW7:AW45" si="7">SUM(V7:X7)</f>
        <v>2871</v>
      </c>
      <c r="AX7">
        <f t="shared" ref="AX7:AX45" si="8">SUM(Y7:AA7)</f>
        <v>1914</v>
      </c>
      <c r="AY7">
        <f t="shared" ref="AY7:AY45" si="9">SUM(AB7:AD7)</f>
        <v>1914</v>
      </c>
      <c r="AZ7">
        <f t="shared" ref="AZ7:AZ45" si="10">SUM(AE7:AG7)</f>
        <v>2871</v>
      </c>
      <c r="BA7">
        <f t="shared" ref="BA7:BA45" si="11">SUM(AH7:AJ7)</f>
        <v>2871</v>
      </c>
      <c r="BB7">
        <f t="shared" ref="BB7:BB45" si="12">SUM(AK7:AM7)</f>
        <v>1914</v>
      </c>
    </row>
    <row r="8" spans="2:54" x14ac:dyDescent="0.3">
      <c r="C8" t="s">
        <v>141</v>
      </c>
      <c r="D8" t="e">
        <f t="shared" ref="D8:AN8" si="13">D9+D18+D25+D33+D38+D42+D43</f>
        <v>#REF!</v>
      </c>
      <c r="E8" t="e">
        <f t="shared" si="13"/>
        <v>#N/A</v>
      </c>
      <c r="F8" t="e">
        <f t="shared" si="13"/>
        <v>#N/A</v>
      </c>
      <c r="G8" t="e">
        <f t="shared" si="13"/>
        <v>#REF!</v>
      </c>
      <c r="H8" t="e">
        <f t="shared" si="13"/>
        <v>#N/A</v>
      </c>
      <c r="I8" t="e">
        <f t="shared" si="13"/>
        <v>#N/A</v>
      </c>
      <c r="J8" t="e">
        <f t="shared" si="13"/>
        <v>#REF!</v>
      </c>
      <c r="K8" t="e">
        <f t="shared" si="13"/>
        <v>#N/A</v>
      </c>
      <c r="L8" t="e">
        <f t="shared" si="13"/>
        <v>#N/A</v>
      </c>
      <c r="M8" t="e">
        <f t="shared" si="13"/>
        <v>#REF!</v>
      </c>
      <c r="N8" t="e">
        <f t="shared" si="13"/>
        <v>#N/A</v>
      </c>
      <c r="O8" t="e">
        <f t="shared" si="13"/>
        <v>#REF!</v>
      </c>
      <c r="P8" t="e">
        <f t="shared" si="13"/>
        <v>#REF!</v>
      </c>
      <c r="Q8" t="e">
        <f t="shared" si="13"/>
        <v>#N/A</v>
      </c>
      <c r="R8" t="e">
        <f t="shared" si="13"/>
        <v>#N/A</v>
      </c>
      <c r="S8" t="e">
        <f t="shared" si="13"/>
        <v>#REF!</v>
      </c>
      <c r="T8" t="e">
        <f t="shared" si="13"/>
        <v>#N/A</v>
      </c>
      <c r="U8" t="e">
        <f t="shared" si="13"/>
        <v>#N/A</v>
      </c>
      <c r="V8" t="e">
        <f t="shared" si="13"/>
        <v>#REF!</v>
      </c>
      <c r="W8" t="e">
        <f t="shared" si="13"/>
        <v>#N/A</v>
      </c>
      <c r="X8" t="e">
        <f t="shared" si="13"/>
        <v>#N/A</v>
      </c>
      <c r="Y8" t="e">
        <f t="shared" si="13"/>
        <v>#REF!</v>
      </c>
      <c r="Z8" t="e">
        <f t="shared" si="13"/>
        <v>#N/A</v>
      </c>
      <c r="AA8" t="e">
        <f t="shared" si="13"/>
        <v>#REF!</v>
      </c>
      <c r="AB8" t="e">
        <f t="shared" si="13"/>
        <v>#REF!</v>
      </c>
      <c r="AC8" t="e">
        <f t="shared" si="13"/>
        <v>#N/A</v>
      </c>
      <c r="AD8" t="e">
        <f t="shared" si="13"/>
        <v>#N/A</v>
      </c>
      <c r="AE8" t="e">
        <f t="shared" si="13"/>
        <v>#REF!</v>
      </c>
      <c r="AF8" t="e">
        <f t="shared" si="13"/>
        <v>#N/A</v>
      </c>
      <c r="AG8" t="e">
        <f t="shared" si="13"/>
        <v>#N/A</v>
      </c>
      <c r="AH8" t="e">
        <f t="shared" si="13"/>
        <v>#REF!</v>
      </c>
      <c r="AI8" t="e">
        <f t="shared" si="13"/>
        <v>#N/A</v>
      </c>
      <c r="AJ8" t="e">
        <f t="shared" si="13"/>
        <v>#N/A</v>
      </c>
      <c r="AK8" t="e">
        <f t="shared" si="13"/>
        <v>#REF!</v>
      </c>
      <c r="AL8" t="e">
        <f t="shared" si="13"/>
        <v>#N/A</v>
      </c>
      <c r="AM8" t="e">
        <f t="shared" si="13"/>
        <v>#REF!</v>
      </c>
      <c r="AN8" t="e">
        <f t="shared" si="13"/>
        <v>#REF!</v>
      </c>
      <c r="AQ8" t="e">
        <f t="shared" si="1"/>
        <v>#REF!</v>
      </c>
      <c r="AR8" t="e">
        <f t="shared" si="2"/>
        <v>#REF!</v>
      </c>
      <c r="AS8" t="e">
        <f t="shared" si="3"/>
        <v>#REF!</v>
      </c>
      <c r="AT8" t="e">
        <f t="shared" si="4"/>
        <v>#REF!</v>
      </c>
      <c r="AU8" t="e">
        <f t="shared" si="5"/>
        <v>#REF!</v>
      </c>
      <c r="AV8" t="e">
        <f t="shared" si="6"/>
        <v>#REF!</v>
      </c>
      <c r="AW8" t="e">
        <f t="shared" si="7"/>
        <v>#REF!</v>
      </c>
      <c r="AX8" t="e">
        <f t="shared" si="8"/>
        <v>#REF!</v>
      </c>
      <c r="AY8" t="e">
        <f t="shared" si="9"/>
        <v>#REF!</v>
      </c>
      <c r="AZ8" t="e">
        <f t="shared" si="10"/>
        <v>#REF!</v>
      </c>
      <c r="BA8" t="e">
        <f t="shared" si="11"/>
        <v>#REF!</v>
      </c>
      <c r="BB8" t="e">
        <f t="shared" si="12"/>
        <v>#REF!</v>
      </c>
    </row>
    <row r="9" spans="2:54" x14ac:dyDescent="0.3">
      <c r="C9" t="s">
        <v>142</v>
      </c>
      <c r="D9" t="e">
        <f>SUM(D10:D17)</f>
        <v>#REF!</v>
      </c>
      <c r="E9">
        <f t="shared" ref="E9:AM9" si="14">SUM(E10:E17)</f>
        <v>0</v>
      </c>
      <c r="F9">
        <f t="shared" si="14"/>
        <v>0</v>
      </c>
      <c r="G9" t="e">
        <f t="shared" si="14"/>
        <v>#REF!</v>
      </c>
      <c r="H9">
        <f t="shared" si="14"/>
        <v>0</v>
      </c>
      <c r="I9">
        <f t="shared" si="14"/>
        <v>0</v>
      </c>
      <c r="J9" t="e">
        <f t="shared" si="14"/>
        <v>#REF!</v>
      </c>
      <c r="K9">
        <f t="shared" si="14"/>
        <v>0</v>
      </c>
      <c r="L9">
        <f t="shared" si="14"/>
        <v>0</v>
      </c>
      <c r="M9" t="e">
        <f t="shared" si="14"/>
        <v>#REF!</v>
      </c>
      <c r="N9">
        <f t="shared" si="14"/>
        <v>0</v>
      </c>
      <c r="O9">
        <f t="shared" si="14"/>
        <v>0</v>
      </c>
      <c r="P9" t="e">
        <f t="shared" si="14"/>
        <v>#REF!</v>
      </c>
      <c r="Q9">
        <f t="shared" si="14"/>
        <v>0</v>
      </c>
      <c r="R9">
        <f t="shared" si="14"/>
        <v>0</v>
      </c>
      <c r="S9" t="e">
        <f t="shared" si="14"/>
        <v>#REF!</v>
      </c>
      <c r="T9">
        <f t="shared" si="14"/>
        <v>0</v>
      </c>
      <c r="U9">
        <f t="shared" si="14"/>
        <v>0</v>
      </c>
      <c r="V9" t="e">
        <f t="shared" si="14"/>
        <v>#REF!</v>
      </c>
      <c r="W9">
        <f t="shared" si="14"/>
        <v>0</v>
      </c>
      <c r="X9">
        <f t="shared" si="14"/>
        <v>0</v>
      </c>
      <c r="Y9" t="e">
        <f t="shared" si="14"/>
        <v>#REF!</v>
      </c>
      <c r="Z9">
        <f t="shared" si="14"/>
        <v>0</v>
      </c>
      <c r="AA9">
        <f t="shared" si="14"/>
        <v>0</v>
      </c>
      <c r="AB9" t="e">
        <f t="shared" si="14"/>
        <v>#REF!</v>
      </c>
      <c r="AC9">
        <f t="shared" si="14"/>
        <v>0</v>
      </c>
      <c r="AD9">
        <f t="shared" si="14"/>
        <v>0</v>
      </c>
      <c r="AE9" t="e">
        <f t="shared" si="14"/>
        <v>#REF!</v>
      </c>
      <c r="AF9">
        <f t="shared" si="14"/>
        <v>0</v>
      </c>
      <c r="AG9">
        <f t="shared" si="14"/>
        <v>0</v>
      </c>
      <c r="AH9" t="e">
        <f t="shared" si="14"/>
        <v>#REF!</v>
      </c>
      <c r="AI9">
        <f t="shared" si="14"/>
        <v>0</v>
      </c>
      <c r="AJ9">
        <f t="shared" si="14"/>
        <v>0</v>
      </c>
      <c r="AK9" t="e">
        <f t="shared" si="14"/>
        <v>#REF!</v>
      </c>
      <c r="AL9">
        <f t="shared" si="14"/>
        <v>0</v>
      </c>
      <c r="AM9" t="e">
        <f t="shared" si="14"/>
        <v>#REF!</v>
      </c>
      <c r="AN9" t="e">
        <f>SUM(AN10:AN17)</f>
        <v>#REF!</v>
      </c>
      <c r="AO9"/>
      <c r="AQ9"/>
      <c r="AR9"/>
      <c r="AS9"/>
      <c r="AT9"/>
      <c r="AU9"/>
      <c r="AV9"/>
      <c r="AW9"/>
      <c r="AX9"/>
      <c r="AY9"/>
      <c r="AZ9"/>
      <c r="BA9"/>
      <c r="BB9"/>
    </row>
    <row r="10" spans="2:54" outlineLevel="1" x14ac:dyDescent="0.3">
      <c r="C10" t="s">
        <v>57</v>
      </c>
      <c r="D10" t="e">
        <f>-SUM(Kosten!F5:F7)</f>
        <v>#REF!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 t="e">
        <f t="shared" si="0"/>
        <v>#REF!</v>
      </c>
      <c r="AQ10" t="e">
        <f t="shared" si="1"/>
        <v>#REF!</v>
      </c>
      <c r="AR10">
        <f t="shared" si="2"/>
        <v>0</v>
      </c>
      <c r="AS10">
        <f t="shared" si="3"/>
        <v>0</v>
      </c>
      <c r="AT10">
        <f t="shared" si="4"/>
        <v>0</v>
      </c>
      <c r="AU10">
        <f t="shared" si="5"/>
        <v>0</v>
      </c>
      <c r="AV10">
        <f t="shared" si="6"/>
        <v>0</v>
      </c>
      <c r="AW10">
        <f t="shared" si="7"/>
        <v>0</v>
      </c>
      <c r="AX10">
        <f t="shared" si="8"/>
        <v>0</v>
      </c>
      <c r="AY10">
        <f t="shared" si="9"/>
        <v>0</v>
      </c>
      <c r="AZ10">
        <f t="shared" si="10"/>
        <v>0</v>
      </c>
      <c r="BA10">
        <f t="shared" si="11"/>
        <v>0</v>
      </c>
      <c r="BB10">
        <f t="shared" si="12"/>
        <v>0</v>
      </c>
    </row>
    <row r="11" spans="2:54" outlineLevel="1" x14ac:dyDescent="0.3">
      <c r="C11" t="s">
        <v>58</v>
      </c>
      <c r="D11" t="e">
        <f>-SUM(Kosten!G5:G7)</f>
        <v>#REF!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 t="e">
        <f t="shared" si="0"/>
        <v>#REF!</v>
      </c>
      <c r="AQ11" t="e">
        <f t="shared" si="1"/>
        <v>#REF!</v>
      </c>
      <c r="AR11">
        <f t="shared" si="2"/>
        <v>0</v>
      </c>
      <c r="AS11">
        <f t="shared" si="3"/>
        <v>0</v>
      </c>
      <c r="AT11">
        <f t="shared" si="4"/>
        <v>0</v>
      </c>
      <c r="AU11">
        <f t="shared" si="5"/>
        <v>0</v>
      </c>
      <c r="AV11">
        <f t="shared" si="6"/>
        <v>0</v>
      </c>
      <c r="AW11">
        <f t="shared" si="7"/>
        <v>0</v>
      </c>
      <c r="AX11">
        <f t="shared" si="8"/>
        <v>0</v>
      </c>
      <c r="AY11">
        <f t="shared" si="9"/>
        <v>0</v>
      </c>
      <c r="AZ11">
        <f t="shared" si="10"/>
        <v>0</v>
      </c>
      <c r="BA11">
        <f t="shared" si="11"/>
        <v>0</v>
      </c>
      <c r="BB11">
        <f t="shared" si="12"/>
        <v>0</v>
      </c>
    </row>
    <row r="12" spans="2:54" outlineLevel="1" x14ac:dyDescent="0.3">
      <c r="C12" t="s">
        <v>61</v>
      </c>
      <c r="D12" t="e">
        <f>-SUM(Kosten!$M$5:$M$7)</f>
        <v>#REF!</v>
      </c>
      <c r="P12" t="e">
        <f>-SUM(Kosten!$M$5:$M$7)</f>
        <v>#REF!</v>
      </c>
      <c r="Q12"/>
      <c r="R12"/>
      <c r="S12"/>
      <c r="T12"/>
      <c r="U12"/>
      <c r="V12"/>
      <c r="W12"/>
      <c r="X12"/>
      <c r="Y12"/>
      <c r="Z12"/>
      <c r="AA12"/>
      <c r="AB12" t="e">
        <f>-SUM(Kosten!$M$5:$M$7)</f>
        <v>#REF!</v>
      </c>
      <c r="AC12"/>
      <c r="AD12"/>
      <c r="AE12"/>
      <c r="AF12"/>
      <c r="AG12"/>
      <c r="AH12"/>
      <c r="AI12"/>
      <c r="AJ12"/>
      <c r="AK12"/>
      <c r="AL12"/>
      <c r="AM12"/>
      <c r="AN12" t="e">
        <f t="shared" si="0"/>
        <v>#REF!</v>
      </c>
      <c r="AQ12" t="e">
        <f t="shared" si="1"/>
        <v>#REF!</v>
      </c>
      <c r="AR12">
        <f t="shared" si="2"/>
        <v>0</v>
      </c>
      <c r="AS12">
        <f t="shared" si="3"/>
        <v>0</v>
      </c>
      <c r="AT12">
        <f t="shared" si="4"/>
        <v>0</v>
      </c>
      <c r="AU12" t="e">
        <f t="shared" si="5"/>
        <v>#REF!</v>
      </c>
      <c r="AV12">
        <f t="shared" si="6"/>
        <v>0</v>
      </c>
      <c r="AW12">
        <f t="shared" si="7"/>
        <v>0</v>
      </c>
      <c r="AX12">
        <f t="shared" si="8"/>
        <v>0</v>
      </c>
      <c r="AY12" t="e">
        <f t="shared" si="9"/>
        <v>#REF!</v>
      </c>
      <c r="AZ12">
        <f t="shared" si="10"/>
        <v>0</v>
      </c>
      <c r="BA12">
        <f t="shared" si="11"/>
        <v>0</v>
      </c>
      <c r="BB12">
        <f t="shared" si="12"/>
        <v>0</v>
      </c>
    </row>
    <row r="13" spans="2:54" outlineLevel="1" x14ac:dyDescent="0.3">
      <c r="C13" t="s">
        <v>67</v>
      </c>
      <c r="D13" t="e">
        <f>-SUM(Kosten!H5:H7)</f>
        <v>#REF!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 t="e">
        <f t="shared" si="0"/>
        <v>#REF!</v>
      </c>
      <c r="AQ13" t="e">
        <f t="shared" si="1"/>
        <v>#REF!</v>
      </c>
      <c r="AR13">
        <f t="shared" si="2"/>
        <v>0</v>
      </c>
      <c r="AS13">
        <f t="shared" si="3"/>
        <v>0</v>
      </c>
      <c r="AT13">
        <f t="shared" si="4"/>
        <v>0</v>
      </c>
      <c r="AU13">
        <f t="shared" si="5"/>
        <v>0</v>
      </c>
      <c r="AV13">
        <f t="shared" si="6"/>
        <v>0</v>
      </c>
      <c r="AW13">
        <f t="shared" si="7"/>
        <v>0</v>
      </c>
      <c r="AX13">
        <f t="shared" si="8"/>
        <v>0</v>
      </c>
      <c r="AY13">
        <f t="shared" si="9"/>
        <v>0</v>
      </c>
      <c r="AZ13">
        <f t="shared" si="10"/>
        <v>0</v>
      </c>
      <c r="BA13">
        <f t="shared" si="11"/>
        <v>0</v>
      </c>
      <c r="BB13">
        <f t="shared" si="12"/>
        <v>0</v>
      </c>
    </row>
    <row r="14" spans="2:54" outlineLevel="1" x14ac:dyDescent="0.3">
      <c r="C14" t="s">
        <v>143</v>
      </c>
      <c r="D14" t="e">
        <f>-Kosten!F8-Kosten!H8</f>
        <v>#REF!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Q14"/>
      <c r="AR14"/>
      <c r="AS14"/>
      <c r="AT14"/>
      <c r="AU14"/>
      <c r="AV14"/>
      <c r="AW14"/>
      <c r="AX14"/>
      <c r="AY14"/>
      <c r="AZ14"/>
      <c r="BA14"/>
      <c r="BB14"/>
    </row>
    <row r="15" spans="2:54" outlineLevel="1" x14ac:dyDescent="0.3">
      <c r="C15" t="s">
        <v>69</v>
      </c>
      <c r="G15" t="e">
        <f>-SUM(Kosten!$J$5:$J$7)/3</f>
        <v>#REF!</v>
      </c>
      <c r="J15" t="e">
        <f>-SUM(Kosten!$J$5:$J$7)/3</f>
        <v>#REF!</v>
      </c>
      <c r="M15" t="e">
        <f>-SUM(Kosten!$J$5:$J$7)/3</f>
        <v>#REF!</v>
      </c>
      <c r="Q15"/>
      <c r="R15"/>
      <c r="S15" t="e">
        <f>-SUM(Kosten!$J$5:$J$7)/3</f>
        <v>#REF!</v>
      </c>
      <c r="T15"/>
      <c r="U15"/>
      <c r="V15" t="e">
        <f>-SUM(Kosten!$J$5:$J$7)/3</f>
        <v>#REF!</v>
      </c>
      <c r="W15"/>
      <c r="X15"/>
      <c r="Y15" t="e">
        <f>-SUM(Kosten!$J$5:$J$7)/3</f>
        <v>#REF!</v>
      </c>
      <c r="Z15"/>
      <c r="AA15"/>
      <c r="AB15"/>
      <c r="AC15"/>
      <c r="AD15"/>
      <c r="AE15" t="e">
        <f>-SUM(Kosten!$J$5:$J$7)/3</f>
        <v>#REF!</v>
      </c>
      <c r="AF15"/>
      <c r="AG15"/>
      <c r="AH15" t="e">
        <f>-SUM(Kosten!$J$5:$J$7)/3</f>
        <v>#REF!</v>
      </c>
      <c r="AI15"/>
      <c r="AJ15"/>
      <c r="AK15" t="e">
        <f>-SUM(Kosten!$J$5:$J$7)/3</f>
        <v>#REF!</v>
      </c>
      <c r="AL15"/>
      <c r="AM15"/>
      <c r="AN15" t="e">
        <f t="shared" si="0"/>
        <v>#REF!</v>
      </c>
      <c r="AQ15">
        <f t="shared" si="1"/>
        <v>0</v>
      </c>
      <c r="AR15" t="e">
        <f t="shared" si="2"/>
        <v>#REF!</v>
      </c>
      <c r="AS15" t="e">
        <f t="shared" si="3"/>
        <v>#REF!</v>
      </c>
      <c r="AT15" t="e">
        <f>SUM(M15:O15)</f>
        <v>#REF!</v>
      </c>
      <c r="AU15" t="e">
        <f>SUM(M15:R15)</f>
        <v>#REF!</v>
      </c>
      <c r="AV15" t="e">
        <f t="shared" si="6"/>
        <v>#REF!</v>
      </c>
      <c r="AW15" t="e">
        <f t="shared" si="7"/>
        <v>#REF!</v>
      </c>
      <c r="AX15" t="e">
        <f t="shared" si="8"/>
        <v>#REF!</v>
      </c>
      <c r="AY15">
        <f t="shared" si="9"/>
        <v>0</v>
      </c>
      <c r="AZ15" t="e">
        <f t="shared" si="10"/>
        <v>#REF!</v>
      </c>
      <c r="BA15" t="e">
        <f t="shared" si="11"/>
        <v>#REF!</v>
      </c>
      <c r="BB15" t="e">
        <f t="shared" si="12"/>
        <v>#REF!</v>
      </c>
    </row>
    <row r="16" spans="2:54" outlineLevel="1" x14ac:dyDescent="0.3">
      <c r="C16" t="s">
        <v>68</v>
      </c>
      <c r="P16" t="e">
        <f>-SUM(Kosten!$I$5:$I$7)</f>
        <v>#REF!</v>
      </c>
      <c r="Q16"/>
      <c r="R16"/>
      <c r="S16"/>
      <c r="T16"/>
      <c r="U16"/>
      <c r="V16"/>
      <c r="W16"/>
      <c r="X16"/>
      <c r="Z16"/>
      <c r="AA16"/>
      <c r="AB16" t="e">
        <f>-SUM(Kosten!$I$5:$I$7)</f>
        <v>#REF!</v>
      </c>
      <c r="AC16"/>
      <c r="AD16"/>
      <c r="AE16"/>
      <c r="AF16"/>
      <c r="AG16"/>
      <c r="AH16"/>
      <c r="AI16"/>
      <c r="AJ16"/>
      <c r="AK16"/>
      <c r="AL16"/>
      <c r="AM16"/>
      <c r="AN16" t="e">
        <f t="shared" si="0"/>
        <v>#REF!</v>
      </c>
      <c r="AQ16">
        <f t="shared" si="1"/>
        <v>0</v>
      </c>
      <c r="AR16">
        <f t="shared" si="2"/>
        <v>0</v>
      </c>
      <c r="AS16">
        <f t="shared" si="3"/>
        <v>0</v>
      </c>
      <c r="AT16">
        <f t="shared" si="4"/>
        <v>0</v>
      </c>
      <c r="AU16" t="e">
        <f>SUM(P16:R16)</f>
        <v>#REF!</v>
      </c>
      <c r="AV16">
        <f t="shared" si="6"/>
        <v>0</v>
      </c>
      <c r="AW16">
        <f t="shared" si="7"/>
        <v>0</v>
      </c>
      <c r="AX16">
        <f t="shared" si="8"/>
        <v>0</v>
      </c>
      <c r="AY16" t="e">
        <f>SUM(AB16:AD16)</f>
        <v>#REF!</v>
      </c>
      <c r="AZ16">
        <f t="shared" si="10"/>
        <v>0</v>
      </c>
      <c r="BA16">
        <f t="shared" si="11"/>
        <v>0</v>
      </c>
      <c r="BB16">
        <f t="shared" si="12"/>
        <v>0</v>
      </c>
    </row>
    <row r="17" spans="3:54" outlineLevel="1" x14ac:dyDescent="0.3">
      <c r="C17" t="s">
        <v>60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 t="e">
        <f>-SUM(Kosten!$N$5:$N$7)</f>
        <v>#REF!</v>
      </c>
      <c r="AN17" t="e">
        <f t="shared" si="0"/>
        <v>#REF!</v>
      </c>
      <c r="AQ17">
        <f t="shared" si="1"/>
        <v>0</v>
      </c>
      <c r="AR17">
        <f t="shared" si="2"/>
        <v>0</v>
      </c>
      <c r="AS17">
        <f t="shared" si="3"/>
        <v>0</v>
      </c>
      <c r="AT17">
        <f t="shared" si="4"/>
        <v>0</v>
      </c>
      <c r="AU17">
        <f t="shared" si="5"/>
        <v>0</v>
      </c>
      <c r="AV17">
        <f t="shared" si="6"/>
        <v>0</v>
      </c>
      <c r="AW17">
        <f t="shared" si="7"/>
        <v>0</v>
      </c>
      <c r="AX17">
        <f t="shared" si="8"/>
        <v>0</v>
      </c>
      <c r="AY17">
        <f t="shared" si="9"/>
        <v>0</v>
      </c>
      <c r="AZ17">
        <f t="shared" si="10"/>
        <v>0</v>
      </c>
      <c r="BA17">
        <f t="shared" si="11"/>
        <v>0</v>
      </c>
      <c r="BB17" t="e">
        <f t="shared" si="12"/>
        <v>#REF!</v>
      </c>
    </row>
    <row r="18" spans="3:54" x14ac:dyDescent="0.3">
      <c r="C18" t="s">
        <v>85</v>
      </c>
      <c r="D18" t="e">
        <f>SUM(D19:D24)</f>
        <v>#REF!</v>
      </c>
      <c r="E18">
        <f t="shared" ref="E18:AM18" si="15">SUM(E19:E24)</f>
        <v>0</v>
      </c>
      <c r="F18">
        <f t="shared" si="15"/>
        <v>0</v>
      </c>
      <c r="G18">
        <f t="shared" si="15"/>
        <v>0</v>
      </c>
      <c r="H18">
        <f t="shared" si="15"/>
        <v>0</v>
      </c>
      <c r="I18">
        <f t="shared" si="15"/>
        <v>0</v>
      </c>
      <c r="J18">
        <f t="shared" si="15"/>
        <v>0</v>
      </c>
      <c r="K18">
        <f t="shared" si="15"/>
        <v>0</v>
      </c>
      <c r="L18">
        <f t="shared" si="15"/>
        <v>0</v>
      </c>
      <c r="M18">
        <f t="shared" si="15"/>
        <v>0</v>
      </c>
      <c r="N18">
        <f t="shared" si="15"/>
        <v>0</v>
      </c>
      <c r="O18" t="e">
        <f t="shared" si="15"/>
        <v>#REF!</v>
      </c>
      <c r="P18" t="e">
        <f t="shared" si="15"/>
        <v>#REF!</v>
      </c>
      <c r="Q18">
        <f t="shared" si="15"/>
        <v>0</v>
      </c>
      <c r="R18">
        <f t="shared" si="15"/>
        <v>0</v>
      </c>
      <c r="S18">
        <f t="shared" si="15"/>
        <v>0</v>
      </c>
      <c r="T18">
        <f t="shared" si="15"/>
        <v>0</v>
      </c>
      <c r="U18">
        <f t="shared" si="15"/>
        <v>0</v>
      </c>
      <c r="V18">
        <f t="shared" si="15"/>
        <v>0</v>
      </c>
      <c r="W18">
        <f t="shared" si="15"/>
        <v>0</v>
      </c>
      <c r="X18">
        <f t="shared" si="15"/>
        <v>0</v>
      </c>
      <c r="Y18">
        <f t="shared" si="15"/>
        <v>0</v>
      </c>
      <c r="Z18">
        <f t="shared" si="15"/>
        <v>0</v>
      </c>
      <c r="AA18" t="e">
        <f t="shared" si="15"/>
        <v>#REF!</v>
      </c>
      <c r="AB18" t="e">
        <f t="shared" si="15"/>
        <v>#REF!</v>
      </c>
      <c r="AC18">
        <f t="shared" si="15"/>
        <v>0</v>
      </c>
      <c r="AD18">
        <f t="shared" si="15"/>
        <v>0</v>
      </c>
      <c r="AE18">
        <f t="shared" si="15"/>
        <v>0</v>
      </c>
      <c r="AF18">
        <f t="shared" si="15"/>
        <v>0</v>
      </c>
      <c r="AG18">
        <f t="shared" si="15"/>
        <v>0</v>
      </c>
      <c r="AH18">
        <f t="shared" si="15"/>
        <v>0</v>
      </c>
      <c r="AI18">
        <f t="shared" si="15"/>
        <v>0</v>
      </c>
      <c r="AJ18">
        <f t="shared" si="15"/>
        <v>0</v>
      </c>
      <c r="AK18">
        <f t="shared" si="15"/>
        <v>0</v>
      </c>
      <c r="AL18">
        <f t="shared" si="15"/>
        <v>0</v>
      </c>
      <c r="AM18" t="e">
        <f t="shared" si="15"/>
        <v>#REF!</v>
      </c>
      <c r="AN18" t="e">
        <f>SUM(AN19:AN24)</f>
        <v>#REF!</v>
      </c>
      <c r="AO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3:54" hidden="1" outlineLevel="1" x14ac:dyDescent="0.3">
      <c r="C19" t="s">
        <v>57</v>
      </c>
      <c r="D19" t="e">
        <f>-SUM(Kosten!$F$10:$F$11)</f>
        <v>#REF!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t="e">
        <f t="shared" si="0"/>
        <v>#REF!</v>
      </c>
      <c r="AQ19" t="e">
        <f t="shared" si="1"/>
        <v>#REF!</v>
      </c>
      <c r="AR19">
        <f t="shared" si="2"/>
        <v>0</v>
      </c>
      <c r="AS19">
        <f t="shared" si="3"/>
        <v>0</v>
      </c>
      <c r="AT19">
        <f t="shared" si="4"/>
        <v>0</v>
      </c>
      <c r="AU19">
        <f t="shared" si="5"/>
        <v>0</v>
      </c>
      <c r="AV19">
        <f t="shared" si="6"/>
        <v>0</v>
      </c>
      <c r="AW19">
        <f t="shared" si="7"/>
        <v>0</v>
      </c>
      <c r="AX19">
        <f t="shared" si="8"/>
        <v>0</v>
      </c>
      <c r="AY19">
        <f t="shared" si="9"/>
        <v>0</v>
      </c>
      <c r="AZ19">
        <f t="shared" si="10"/>
        <v>0</v>
      </c>
      <c r="BA19">
        <f t="shared" si="11"/>
        <v>0</v>
      </c>
      <c r="BB19">
        <f t="shared" si="12"/>
        <v>0</v>
      </c>
    </row>
    <row r="20" spans="3:54" hidden="1" outlineLevel="1" x14ac:dyDescent="0.3">
      <c r="C20" t="s">
        <v>58</v>
      </c>
      <c r="D20" t="e">
        <f>-SUM(Kosten!$G$10:$G$11)</f>
        <v>#REF!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t="e">
        <f t="shared" si="0"/>
        <v>#REF!</v>
      </c>
      <c r="AQ20" t="e">
        <f t="shared" si="1"/>
        <v>#REF!</v>
      </c>
      <c r="AR20">
        <f t="shared" si="2"/>
        <v>0</v>
      </c>
      <c r="AS20">
        <f t="shared" si="3"/>
        <v>0</v>
      </c>
      <c r="AT20">
        <f t="shared" si="4"/>
        <v>0</v>
      </c>
      <c r="AU20">
        <f t="shared" si="5"/>
        <v>0</v>
      </c>
      <c r="AV20">
        <f t="shared" si="6"/>
        <v>0</v>
      </c>
      <c r="AW20">
        <f t="shared" si="7"/>
        <v>0</v>
      </c>
      <c r="AX20">
        <f t="shared" si="8"/>
        <v>0</v>
      </c>
      <c r="AY20">
        <f t="shared" si="9"/>
        <v>0</v>
      </c>
      <c r="AZ20">
        <f t="shared" si="10"/>
        <v>0</v>
      </c>
      <c r="BA20">
        <f t="shared" si="11"/>
        <v>0</v>
      </c>
      <c r="BB20">
        <f t="shared" si="12"/>
        <v>0</v>
      </c>
    </row>
    <row r="21" spans="3:54" hidden="1" outlineLevel="1" x14ac:dyDescent="0.3">
      <c r="C21" t="s">
        <v>61</v>
      </c>
      <c r="D21" t="e">
        <f>-SUM(Kosten!$M$10:$M$11)</f>
        <v>#REF!</v>
      </c>
      <c r="P21" t="e">
        <f>-SUM(Kosten!$M$10:$M$11)</f>
        <v>#REF!</v>
      </c>
      <c r="Q21"/>
      <c r="R21"/>
      <c r="S21"/>
      <c r="T21"/>
      <c r="U21"/>
      <c r="V21"/>
      <c r="W21"/>
      <c r="X21"/>
      <c r="Y21"/>
      <c r="Z21"/>
      <c r="AA21"/>
      <c r="AB21" t="e">
        <f>-SUM(Kosten!$M$10:$M$11)</f>
        <v>#REF!</v>
      </c>
      <c r="AC21"/>
      <c r="AD21"/>
      <c r="AE21"/>
      <c r="AF21"/>
      <c r="AG21"/>
      <c r="AH21"/>
      <c r="AI21"/>
      <c r="AJ21"/>
      <c r="AK21"/>
      <c r="AL21"/>
      <c r="AM21"/>
      <c r="AN21" t="e">
        <f t="shared" si="0"/>
        <v>#REF!</v>
      </c>
      <c r="AQ21" t="e">
        <f t="shared" si="1"/>
        <v>#REF!</v>
      </c>
      <c r="AR21">
        <f t="shared" si="2"/>
        <v>0</v>
      </c>
      <c r="AS21">
        <f t="shared" si="3"/>
        <v>0</v>
      </c>
      <c r="AT21">
        <f t="shared" si="4"/>
        <v>0</v>
      </c>
      <c r="AU21" t="e">
        <f t="shared" si="5"/>
        <v>#REF!</v>
      </c>
      <c r="AV21">
        <f t="shared" si="6"/>
        <v>0</v>
      </c>
      <c r="AW21">
        <f t="shared" si="7"/>
        <v>0</v>
      </c>
      <c r="AX21">
        <f t="shared" si="8"/>
        <v>0</v>
      </c>
      <c r="AY21" t="e">
        <f t="shared" si="9"/>
        <v>#REF!</v>
      </c>
      <c r="AZ21">
        <f t="shared" si="10"/>
        <v>0</v>
      </c>
      <c r="BA21">
        <f t="shared" si="11"/>
        <v>0</v>
      </c>
      <c r="BB21">
        <f t="shared" si="12"/>
        <v>0</v>
      </c>
    </row>
    <row r="22" spans="3:54" hidden="1" outlineLevel="1" x14ac:dyDescent="0.3">
      <c r="C22" t="s">
        <v>67</v>
      </c>
      <c r="D22" t="e">
        <f>-SUM(Kosten!$H$10:$H$11)</f>
        <v>#REF!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 t="e">
        <f t="shared" si="0"/>
        <v>#REF!</v>
      </c>
      <c r="AQ22" t="e">
        <f t="shared" si="1"/>
        <v>#REF!</v>
      </c>
      <c r="AR22">
        <f t="shared" si="2"/>
        <v>0</v>
      </c>
      <c r="AS22">
        <f t="shared" si="3"/>
        <v>0</v>
      </c>
      <c r="AT22">
        <f t="shared" si="4"/>
        <v>0</v>
      </c>
      <c r="AU22">
        <f t="shared" si="5"/>
        <v>0</v>
      </c>
      <c r="AV22">
        <f t="shared" si="6"/>
        <v>0</v>
      </c>
      <c r="AW22">
        <f t="shared" si="7"/>
        <v>0</v>
      </c>
      <c r="AX22">
        <f t="shared" si="8"/>
        <v>0</v>
      </c>
      <c r="AY22">
        <f t="shared" si="9"/>
        <v>0</v>
      </c>
      <c r="AZ22">
        <f t="shared" si="10"/>
        <v>0</v>
      </c>
      <c r="BA22">
        <f t="shared" si="11"/>
        <v>0</v>
      </c>
      <c r="BB22">
        <f t="shared" si="12"/>
        <v>0</v>
      </c>
    </row>
    <row r="23" spans="3:54" hidden="1" outlineLevel="1" x14ac:dyDescent="0.3">
      <c r="C23" t="s">
        <v>68</v>
      </c>
      <c r="O23" t="e">
        <f>-SUM(Kosten!$I$10:$I$11)</f>
        <v>#REF!</v>
      </c>
      <c r="P23"/>
      <c r="Q23"/>
      <c r="R23"/>
      <c r="S23"/>
      <c r="T23"/>
      <c r="U23"/>
      <c r="V23"/>
      <c r="W23"/>
      <c r="X23"/>
      <c r="Z23"/>
      <c r="AA23" t="e">
        <f>-SUM(Kosten!$I$10:$I$11)</f>
        <v>#REF!</v>
      </c>
      <c r="AB23"/>
      <c r="AC23"/>
      <c r="AD23"/>
      <c r="AE23"/>
      <c r="AF23"/>
      <c r="AG23"/>
      <c r="AH23"/>
      <c r="AI23"/>
      <c r="AJ23"/>
      <c r="AK23"/>
      <c r="AL23"/>
      <c r="AM23"/>
      <c r="AN23" t="e">
        <f t="shared" si="0"/>
        <v>#REF!</v>
      </c>
      <c r="AQ23">
        <f t="shared" si="1"/>
        <v>0</v>
      </c>
      <c r="AR23">
        <f t="shared" si="2"/>
        <v>0</v>
      </c>
      <c r="AS23">
        <f t="shared" si="3"/>
        <v>0</v>
      </c>
      <c r="AT23" t="e">
        <f>SUM(N23:O23)</f>
        <v>#REF!</v>
      </c>
      <c r="AU23">
        <f t="shared" si="5"/>
        <v>0</v>
      </c>
      <c r="AV23">
        <f t="shared" si="6"/>
        <v>0</v>
      </c>
      <c r="AW23">
        <f t="shared" si="7"/>
        <v>0</v>
      </c>
      <c r="AX23" t="e">
        <f>SUM(Z23:AA23)</f>
        <v>#REF!</v>
      </c>
      <c r="AY23">
        <f t="shared" si="9"/>
        <v>0</v>
      </c>
      <c r="AZ23">
        <f t="shared" si="10"/>
        <v>0</v>
      </c>
      <c r="BA23">
        <f t="shared" si="11"/>
        <v>0</v>
      </c>
      <c r="BB23">
        <f t="shared" si="12"/>
        <v>0</v>
      </c>
    </row>
    <row r="24" spans="3:54" hidden="1" outlineLevel="1" x14ac:dyDescent="0.3">
      <c r="C24" t="s">
        <v>60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 t="e">
        <f>-SUM(Kosten!$N$10:$N$11)</f>
        <v>#REF!</v>
      </c>
      <c r="AN24" t="e">
        <f t="shared" si="0"/>
        <v>#REF!</v>
      </c>
      <c r="AQ24">
        <f t="shared" si="1"/>
        <v>0</v>
      </c>
      <c r="AR24">
        <f t="shared" si="2"/>
        <v>0</v>
      </c>
      <c r="AS24">
        <f t="shared" si="3"/>
        <v>0</v>
      </c>
      <c r="AT24">
        <f t="shared" si="4"/>
        <v>0</v>
      </c>
      <c r="AU24">
        <f t="shared" si="5"/>
        <v>0</v>
      </c>
      <c r="AV24">
        <f t="shared" si="6"/>
        <v>0</v>
      </c>
      <c r="AW24">
        <f t="shared" si="7"/>
        <v>0</v>
      </c>
      <c r="AX24">
        <f t="shared" si="8"/>
        <v>0</v>
      </c>
      <c r="AY24">
        <f t="shared" si="9"/>
        <v>0</v>
      </c>
      <c r="AZ24">
        <f t="shared" si="10"/>
        <v>0</v>
      </c>
      <c r="BA24">
        <f t="shared" si="11"/>
        <v>0</v>
      </c>
      <c r="BB24" t="e">
        <f t="shared" si="12"/>
        <v>#REF!</v>
      </c>
    </row>
    <row r="25" spans="3:54" collapsed="1" x14ac:dyDescent="0.3">
      <c r="C25" t="s">
        <v>39</v>
      </c>
      <c r="D25" t="e">
        <f>SUM(D26:D32)</f>
        <v>#N/A</v>
      </c>
      <c r="E25" t="e">
        <f t="shared" ref="E25:AM25" si="16">SUM(E26:E32)</f>
        <v>#N/A</v>
      </c>
      <c r="F25" t="e">
        <f t="shared" si="16"/>
        <v>#N/A</v>
      </c>
      <c r="G25" t="e">
        <f t="shared" si="16"/>
        <v>#N/A</v>
      </c>
      <c r="H25" t="e">
        <f t="shared" si="16"/>
        <v>#N/A</v>
      </c>
      <c r="I25" t="e">
        <f t="shared" si="16"/>
        <v>#N/A</v>
      </c>
      <c r="J25" t="e">
        <f t="shared" si="16"/>
        <v>#N/A</v>
      </c>
      <c r="K25" t="e">
        <f t="shared" si="16"/>
        <v>#N/A</v>
      </c>
      <c r="L25" t="e">
        <f t="shared" si="16"/>
        <v>#N/A</v>
      </c>
      <c r="M25" t="e">
        <f t="shared" si="16"/>
        <v>#N/A</v>
      </c>
      <c r="N25" t="e">
        <f t="shared" si="16"/>
        <v>#N/A</v>
      </c>
      <c r="O25" t="e">
        <f t="shared" si="16"/>
        <v>#N/A</v>
      </c>
      <c r="P25" t="e">
        <f t="shared" si="16"/>
        <v>#N/A</v>
      </c>
      <c r="Q25" t="e">
        <f t="shared" si="16"/>
        <v>#N/A</v>
      </c>
      <c r="R25" t="e">
        <f t="shared" si="16"/>
        <v>#N/A</v>
      </c>
      <c r="S25" t="e">
        <f t="shared" si="16"/>
        <v>#N/A</v>
      </c>
      <c r="T25" t="e">
        <f t="shared" si="16"/>
        <v>#N/A</v>
      </c>
      <c r="U25" t="e">
        <f t="shared" si="16"/>
        <v>#N/A</v>
      </c>
      <c r="V25" t="e">
        <f t="shared" si="16"/>
        <v>#N/A</v>
      </c>
      <c r="W25" t="e">
        <f t="shared" si="16"/>
        <v>#N/A</v>
      </c>
      <c r="X25" t="e">
        <f t="shared" si="16"/>
        <v>#N/A</v>
      </c>
      <c r="Y25" t="e">
        <f t="shared" si="16"/>
        <v>#N/A</v>
      </c>
      <c r="Z25" t="e">
        <f t="shared" si="16"/>
        <v>#N/A</v>
      </c>
      <c r="AA25" t="e">
        <f t="shared" si="16"/>
        <v>#N/A</v>
      </c>
      <c r="AB25" t="e">
        <f t="shared" si="16"/>
        <v>#N/A</v>
      </c>
      <c r="AC25" t="e">
        <f t="shared" si="16"/>
        <v>#N/A</v>
      </c>
      <c r="AD25" t="e">
        <f t="shared" si="16"/>
        <v>#N/A</v>
      </c>
      <c r="AE25" t="e">
        <f t="shared" si="16"/>
        <v>#N/A</v>
      </c>
      <c r="AF25" t="e">
        <f t="shared" si="16"/>
        <v>#N/A</v>
      </c>
      <c r="AG25" t="e">
        <f t="shared" si="16"/>
        <v>#N/A</v>
      </c>
      <c r="AH25" t="e">
        <f t="shared" si="16"/>
        <v>#N/A</v>
      </c>
      <c r="AI25" t="e">
        <f t="shared" si="16"/>
        <v>#N/A</v>
      </c>
      <c r="AJ25" t="e">
        <f t="shared" si="16"/>
        <v>#N/A</v>
      </c>
      <c r="AK25" t="e">
        <f t="shared" si="16"/>
        <v>#N/A</v>
      </c>
      <c r="AL25" t="e">
        <f t="shared" si="16"/>
        <v>#N/A</v>
      </c>
      <c r="AM25" t="e">
        <f t="shared" si="16"/>
        <v>#N/A</v>
      </c>
      <c r="AN25" t="e">
        <f>SUM(AN26:AN32)</f>
        <v>#N/A</v>
      </c>
      <c r="AO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3:54" hidden="1" outlineLevel="1" x14ac:dyDescent="0.3">
      <c r="C26" t="s">
        <v>89</v>
      </c>
      <c r="D26" t="e">
        <f>-Kosten!$F$15</f>
        <v>#N/A</v>
      </c>
      <c r="E26" t="e">
        <f>-Kosten!$F$15</f>
        <v>#N/A</v>
      </c>
      <c r="F26" t="e">
        <f>-Kosten!$F$15</f>
        <v>#N/A</v>
      </c>
      <c r="G26" t="e">
        <f>-Kosten!$F$15</f>
        <v>#N/A</v>
      </c>
      <c r="H26" t="e">
        <f>-Kosten!$F$15</f>
        <v>#N/A</v>
      </c>
      <c r="I26" t="e">
        <f>-Kosten!$F$15</f>
        <v>#N/A</v>
      </c>
      <c r="J26" t="e">
        <f>-Kosten!$F$15</f>
        <v>#N/A</v>
      </c>
      <c r="K26" t="e">
        <f>-Kosten!$F$15</f>
        <v>#N/A</v>
      </c>
      <c r="L26" t="e">
        <f>-Kosten!$F$15</f>
        <v>#N/A</v>
      </c>
      <c r="M26" t="e">
        <f>-Kosten!$F$15</f>
        <v>#N/A</v>
      </c>
      <c r="N26" t="e">
        <f>-Kosten!$F$15</f>
        <v>#N/A</v>
      </c>
      <c r="O26" t="e">
        <f>-Kosten!$F$15</f>
        <v>#N/A</v>
      </c>
      <c r="P26" t="e">
        <f>-Kosten!$F$15</f>
        <v>#N/A</v>
      </c>
      <c r="Q26" t="e">
        <f>-Kosten!$F$15</f>
        <v>#N/A</v>
      </c>
      <c r="R26" t="e">
        <f>-Kosten!$F$15</f>
        <v>#N/A</v>
      </c>
      <c r="S26" t="e">
        <f>-Kosten!$F$15</f>
        <v>#N/A</v>
      </c>
      <c r="T26" t="e">
        <f>-Kosten!$F$15</f>
        <v>#N/A</v>
      </c>
      <c r="U26" t="e">
        <f>-Kosten!$F$15</f>
        <v>#N/A</v>
      </c>
      <c r="V26" t="e">
        <f>-Kosten!$F$15</f>
        <v>#N/A</v>
      </c>
      <c r="W26" t="e">
        <f>-Kosten!$F$15</f>
        <v>#N/A</v>
      </c>
      <c r="X26" t="e">
        <f>-Kosten!$F$15</f>
        <v>#N/A</v>
      </c>
      <c r="Y26" t="e">
        <f>-Kosten!$F$15</f>
        <v>#N/A</v>
      </c>
      <c r="Z26" t="e">
        <f>-Kosten!$F$15</f>
        <v>#N/A</v>
      </c>
      <c r="AA26" t="e">
        <f>-Kosten!$F$15</f>
        <v>#N/A</v>
      </c>
      <c r="AB26" t="e">
        <f>-Kosten!$F$15</f>
        <v>#N/A</v>
      </c>
      <c r="AC26" t="e">
        <f>-Kosten!$F$15</f>
        <v>#N/A</v>
      </c>
      <c r="AD26" t="e">
        <f>-Kosten!$F$15</f>
        <v>#N/A</v>
      </c>
      <c r="AE26" t="e">
        <f>-Kosten!$F$15</f>
        <v>#N/A</v>
      </c>
      <c r="AF26" t="e">
        <f>-Kosten!$F$15</f>
        <v>#N/A</v>
      </c>
      <c r="AG26" t="e">
        <f>-Kosten!$F$15</f>
        <v>#N/A</v>
      </c>
      <c r="AH26" t="e">
        <f>-Kosten!$F$15</f>
        <v>#N/A</v>
      </c>
      <c r="AI26" t="e">
        <f>-Kosten!$F$15</f>
        <v>#N/A</v>
      </c>
      <c r="AJ26" t="e">
        <f>-Kosten!$F$15</f>
        <v>#N/A</v>
      </c>
      <c r="AK26" t="e">
        <f>-Kosten!$F$15</f>
        <v>#N/A</v>
      </c>
      <c r="AL26" t="e">
        <f>-Kosten!$F$15</f>
        <v>#N/A</v>
      </c>
      <c r="AM26" t="e">
        <f>-Kosten!$F$15</f>
        <v>#N/A</v>
      </c>
      <c r="AN26" t="e">
        <f t="shared" si="0"/>
        <v>#N/A</v>
      </c>
      <c r="AQ26" t="e">
        <f t="shared" si="1"/>
        <v>#N/A</v>
      </c>
      <c r="AR26" t="e">
        <f t="shared" si="2"/>
        <v>#N/A</v>
      </c>
      <c r="AS26" t="e">
        <f t="shared" si="3"/>
        <v>#N/A</v>
      </c>
      <c r="AT26" t="e">
        <f t="shared" si="4"/>
        <v>#N/A</v>
      </c>
      <c r="AU26" t="e">
        <f t="shared" si="5"/>
        <v>#N/A</v>
      </c>
      <c r="AV26" t="e">
        <f t="shared" si="6"/>
        <v>#N/A</v>
      </c>
      <c r="AW26" t="e">
        <f t="shared" si="7"/>
        <v>#N/A</v>
      </c>
      <c r="AX26" t="e">
        <f t="shared" si="8"/>
        <v>#N/A</v>
      </c>
      <c r="AY26" t="e">
        <f t="shared" si="9"/>
        <v>#N/A</v>
      </c>
      <c r="AZ26" t="e">
        <f t="shared" si="10"/>
        <v>#N/A</v>
      </c>
      <c r="BA26" t="e">
        <f t="shared" si="11"/>
        <v>#N/A</v>
      </c>
      <c r="BB26" t="e">
        <f t="shared" si="12"/>
        <v>#N/A</v>
      </c>
    </row>
    <row r="27" spans="3:54" hidden="1" outlineLevel="1" x14ac:dyDescent="0.3">
      <c r="C27" t="s">
        <v>72</v>
      </c>
      <c r="D27" t="e">
        <f>-Kosten!E15</f>
        <v>#N/A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t="e">
        <f t="shared" si="0"/>
        <v>#N/A</v>
      </c>
      <c r="AQ27"/>
      <c r="AR27"/>
      <c r="AS27"/>
      <c r="AT27"/>
      <c r="AU27"/>
      <c r="AV27"/>
      <c r="AW27"/>
      <c r="AX27"/>
      <c r="AY27"/>
      <c r="AZ27"/>
      <c r="BA27"/>
      <c r="BB27"/>
    </row>
    <row r="28" spans="3:54" hidden="1" outlineLevel="1" x14ac:dyDescent="0.3">
      <c r="C28" t="s">
        <v>58</v>
      </c>
      <c r="D28" t="e">
        <f>-Kosten!G15</f>
        <v>#N/A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t="e">
        <f t="shared" si="0"/>
        <v>#N/A</v>
      </c>
      <c r="AQ28"/>
      <c r="AR28"/>
      <c r="AS28"/>
      <c r="AT28"/>
      <c r="AU28"/>
      <c r="AV28"/>
      <c r="AW28"/>
      <c r="AX28"/>
      <c r="AY28"/>
      <c r="AZ28"/>
      <c r="BA28"/>
      <c r="BB28"/>
    </row>
    <row r="29" spans="3:54" hidden="1" outlineLevel="1" x14ac:dyDescent="0.3">
      <c r="C29" t="s">
        <v>61</v>
      </c>
      <c r="D29" t="e">
        <f>-Kosten!$M$15</f>
        <v>#N/A</v>
      </c>
      <c r="O29" t="e">
        <f>-Kosten!$M$15</f>
        <v>#N/A</v>
      </c>
      <c r="P29"/>
      <c r="Q29"/>
      <c r="R29"/>
      <c r="S29"/>
      <c r="T29"/>
      <c r="U29"/>
      <c r="V29"/>
      <c r="W29"/>
      <c r="X29"/>
      <c r="Y29"/>
      <c r="Z29"/>
      <c r="AA29" t="e">
        <f>-Kosten!$M$15</f>
        <v>#N/A</v>
      </c>
      <c r="AB29"/>
      <c r="AC29"/>
      <c r="AD29"/>
      <c r="AE29"/>
      <c r="AF29"/>
      <c r="AG29"/>
      <c r="AH29"/>
      <c r="AI29"/>
      <c r="AJ29"/>
      <c r="AK29"/>
      <c r="AL29"/>
      <c r="AM29"/>
      <c r="AN29" t="e">
        <f t="shared" si="0"/>
        <v>#N/A</v>
      </c>
      <c r="AQ29"/>
      <c r="AR29"/>
      <c r="AS29"/>
      <c r="AT29"/>
      <c r="AU29"/>
      <c r="AV29"/>
      <c r="AW29"/>
      <c r="AX29"/>
      <c r="AY29"/>
      <c r="AZ29"/>
      <c r="BA29"/>
      <c r="BB29"/>
    </row>
    <row r="30" spans="3:54" hidden="1" outlineLevel="1" x14ac:dyDescent="0.3">
      <c r="C30" t="s">
        <v>69</v>
      </c>
      <c r="I30" t="e">
        <f>-Kosten!$J$15</f>
        <v>#N/A</v>
      </c>
      <c r="P30"/>
      <c r="Q30"/>
      <c r="R30"/>
      <c r="S30"/>
      <c r="T30"/>
      <c r="U30" t="e">
        <f>-Kosten!$J$15</f>
        <v>#N/A</v>
      </c>
      <c r="V30"/>
      <c r="W30"/>
      <c r="X30"/>
      <c r="Y30"/>
      <c r="Z30"/>
      <c r="AA30"/>
      <c r="AB30"/>
      <c r="AC30"/>
      <c r="AD30"/>
      <c r="AE30"/>
      <c r="AF30"/>
      <c r="AG30" t="e">
        <f>-Kosten!$J$15</f>
        <v>#N/A</v>
      </c>
      <c r="AH30"/>
      <c r="AI30"/>
      <c r="AJ30"/>
      <c r="AK30"/>
      <c r="AL30"/>
      <c r="AM30"/>
      <c r="AN30" t="e">
        <f t="shared" si="0"/>
        <v>#N/A</v>
      </c>
      <c r="AQ30"/>
      <c r="AR30"/>
      <c r="AS30"/>
      <c r="AT30"/>
      <c r="AU30"/>
      <c r="AV30"/>
      <c r="AW30"/>
      <c r="AX30"/>
      <c r="AY30"/>
      <c r="AZ30"/>
      <c r="BA30"/>
      <c r="BB30"/>
    </row>
    <row r="31" spans="3:54" hidden="1" outlineLevel="1" x14ac:dyDescent="0.3">
      <c r="C31" t="s">
        <v>68</v>
      </c>
      <c r="O31" t="e">
        <f>-Kosten!$I$15</f>
        <v>#N/A</v>
      </c>
      <c r="P31"/>
      <c r="Q31"/>
      <c r="R31"/>
      <c r="S31"/>
      <c r="T31"/>
      <c r="U31"/>
      <c r="V31"/>
      <c r="W31"/>
      <c r="X31"/>
      <c r="Y31"/>
      <c r="Z31"/>
      <c r="AA31" t="e">
        <f>-Kosten!$I$15</f>
        <v>#N/A</v>
      </c>
      <c r="AB31"/>
      <c r="AC31"/>
      <c r="AD31"/>
      <c r="AE31"/>
      <c r="AF31"/>
      <c r="AG31"/>
      <c r="AH31"/>
      <c r="AI31"/>
      <c r="AJ31"/>
      <c r="AK31"/>
      <c r="AL31"/>
      <c r="AM31"/>
      <c r="AN31" t="e">
        <f t="shared" si="0"/>
        <v>#N/A</v>
      </c>
      <c r="AQ31"/>
      <c r="AR31"/>
      <c r="AS31"/>
      <c r="AT31"/>
      <c r="AU31"/>
      <c r="AV31"/>
      <c r="AW31"/>
      <c r="AX31"/>
      <c r="AY31"/>
      <c r="AZ31"/>
      <c r="BA31"/>
      <c r="BB31"/>
    </row>
    <row r="32" spans="3:54" hidden="1" outlineLevel="1" x14ac:dyDescent="0.3">
      <c r="C32" t="s">
        <v>60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 t="e">
        <f>-Kosten!$N$15</f>
        <v>#N/A</v>
      </c>
      <c r="AN32" t="e">
        <f t="shared" si="0"/>
        <v>#N/A</v>
      </c>
      <c r="AQ32">
        <f t="shared" si="1"/>
        <v>0</v>
      </c>
      <c r="AR32">
        <f t="shared" si="2"/>
        <v>0</v>
      </c>
      <c r="AS32">
        <f t="shared" si="3"/>
        <v>0</v>
      </c>
      <c r="AT32">
        <f t="shared" si="4"/>
        <v>0</v>
      </c>
      <c r="AU32">
        <f t="shared" si="5"/>
        <v>0</v>
      </c>
      <c r="AV32">
        <f t="shared" si="6"/>
        <v>0</v>
      </c>
      <c r="AW32">
        <f t="shared" si="7"/>
        <v>0</v>
      </c>
      <c r="AX32">
        <f t="shared" si="8"/>
        <v>0</v>
      </c>
      <c r="AY32">
        <f t="shared" si="9"/>
        <v>0</v>
      </c>
      <c r="AZ32">
        <f t="shared" si="10"/>
        <v>0</v>
      </c>
      <c r="BA32">
        <f t="shared" si="11"/>
        <v>0</v>
      </c>
      <c r="BB32" t="e">
        <f t="shared" si="12"/>
        <v>#N/A</v>
      </c>
    </row>
    <row r="33" spans="3:54" collapsed="1" x14ac:dyDescent="0.3">
      <c r="C33" t="s">
        <v>86</v>
      </c>
      <c r="D33" t="e">
        <f t="shared" ref="D33:AN33" si="17">SUM(D34:D37)</f>
        <v>#N/A</v>
      </c>
      <c r="E33" t="e">
        <f t="shared" si="17"/>
        <v>#N/A</v>
      </c>
      <c r="F33" t="e">
        <f t="shared" si="17"/>
        <v>#N/A</v>
      </c>
      <c r="G33" t="e">
        <f t="shared" si="17"/>
        <v>#N/A</v>
      </c>
      <c r="H33" t="e">
        <f t="shared" si="17"/>
        <v>#N/A</v>
      </c>
      <c r="I33" t="e">
        <f t="shared" si="17"/>
        <v>#N/A</v>
      </c>
      <c r="J33" t="e">
        <f t="shared" si="17"/>
        <v>#N/A</v>
      </c>
      <c r="K33" t="e">
        <f t="shared" si="17"/>
        <v>#N/A</v>
      </c>
      <c r="L33" t="e">
        <f t="shared" si="17"/>
        <v>#N/A</v>
      </c>
      <c r="M33" t="e">
        <f t="shared" si="17"/>
        <v>#N/A</v>
      </c>
      <c r="N33" t="e">
        <f t="shared" si="17"/>
        <v>#N/A</v>
      </c>
      <c r="O33" t="e">
        <f t="shared" si="17"/>
        <v>#N/A</v>
      </c>
      <c r="P33" t="e">
        <f t="shared" si="17"/>
        <v>#N/A</v>
      </c>
      <c r="Q33" t="e">
        <f t="shared" si="17"/>
        <v>#N/A</v>
      </c>
      <c r="R33" t="e">
        <f t="shared" si="17"/>
        <v>#N/A</v>
      </c>
      <c r="S33" t="e">
        <f t="shared" si="17"/>
        <v>#N/A</v>
      </c>
      <c r="T33" t="e">
        <f t="shared" si="17"/>
        <v>#N/A</v>
      </c>
      <c r="U33" t="e">
        <f t="shared" si="17"/>
        <v>#N/A</v>
      </c>
      <c r="V33" t="e">
        <f t="shared" si="17"/>
        <v>#N/A</v>
      </c>
      <c r="W33" t="e">
        <f t="shared" si="17"/>
        <v>#N/A</v>
      </c>
      <c r="X33" t="e">
        <f t="shared" si="17"/>
        <v>#N/A</v>
      </c>
      <c r="Y33" t="e">
        <f t="shared" si="17"/>
        <v>#N/A</v>
      </c>
      <c r="Z33" t="e">
        <f t="shared" si="17"/>
        <v>#N/A</v>
      </c>
      <c r="AA33" t="e">
        <f t="shared" si="17"/>
        <v>#N/A</v>
      </c>
      <c r="AB33" t="e">
        <f t="shared" si="17"/>
        <v>#N/A</v>
      </c>
      <c r="AC33" t="e">
        <f t="shared" si="17"/>
        <v>#N/A</v>
      </c>
      <c r="AD33" t="e">
        <f t="shared" si="17"/>
        <v>#N/A</v>
      </c>
      <c r="AE33" t="e">
        <f t="shared" si="17"/>
        <v>#N/A</v>
      </c>
      <c r="AF33" t="e">
        <f t="shared" si="17"/>
        <v>#N/A</v>
      </c>
      <c r="AG33" t="e">
        <f t="shared" si="17"/>
        <v>#N/A</v>
      </c>
      <c r="AH33" t="e">
        <f t="shared" si="17"/>
        <v>#N/A</v>
      </c>
      <c r="AI33" t="e">
        <f t="shared" si="17"/>
        <v>#N/A</v>
      </c>
      <c r="AJ33" t="e">
        <f t="shared" si="17"/>
        <v>#N/A</v>
      </c>
      <c r="AK33" t="e">
        <f t="shared" si="17"/>
        <v>#N/A</v>
      </c>
      <c r="AL33" t="e">
        <f t="shared" si="17"/>
        <v>#N/A</v>
      </c>
      <c r="AM33" t="e">
        <f t="shared" si="17"/>
        <v>#N/A</v>
      </c>
      <c r="AN33" t="e">
        <f t="shared" si="17"/>
        <v>#N/A</v>
      </c>
      <c r="AO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3:54" hidden="1" outlineLevel="1" x14ac:dyDescent="0.3">
      <c r="C34" t="s">
        <v>57</v>
      </c>
      <c r="F34" t="e">
        <f>-SUMIFS(Kosten!$F$4:$F$26,Kosten!$B$4:$B$26,'Cash Flow'!$C$33)-SUMIFS(Kosten!$G$4:$G$26,Kosten!$B$4:$B$26,'Cash Flow'!$C$33)</f>
        <v>#N/A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 t="e">
        <f t="shared" si="0"/>
        <v>#N/A</v>
      </c>
      <c r="AQ34" t="e">
        <f>SUM(D34:F34)</f>
        <v>#N/A</v>
      </c>
      <c r="AR34" t="e">
        <f>SUM(E34:I34)</f>
        <v>#N/A</v>
      </c>
      <c r="AS34">
        <f t="shared" si="3"/>
        <v>0</v>
      </c>
      <c r="AT34">
        <f t="shared" si="4"/>
        <v>0</v>
      </c>
      <c r="AU34">
        <f t="shared" si="5"/>
        <v>0</v>
      </c>
      <c r="AV34">
        <f t="shared" si="6"/>
        <v>0</v>
      </c>
      <c r="AW34">
        <f t="shared" si="7"/>
        <v>0</v>
      </c>
      <c r="AX34">
        <f t="shared" si="8"/>
        <v>0</v>
      </c>
      <c r="AY34">
        <f t="shared" si="9"/>
        <v>0</v>
      </c>
      <c r="AZ34">
        <f t="shared" si="10"/>
        <v>0</v>
      </c>
      <c r="BA34">
        <f t="shared" si="11"/>
        <v>0</v>
      </c>
      <c r="BB34">
        <f t="shared" si="12"/>
        <v>0</v>
      </c>
    </row>
    <row r="35" spans="3:54" hidden="1" outlineLevel="1" x14ac:dyDescent="0.3">
      <c r="C35" t="s">
        <v>145</v>
      </c>
      <c r="E35" t="e">
        <f>-SUMIFS(Kosten!$H$4:$H$26,Kosten!$B$4:$B$26,'Cash Flow'!$C$33)</f>
        <v>#N/A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 t="e">
        <f t="shared" si="0"/>
        <v>#N/A</v>
      </c>
      <c r="AQ35" t="e">
        <f>SUM(D35:F35)</f>
        <v>#N/A</v>
      </c>
      <c r="AR35" t="e">
        <f>SUM(E35:I35)</f>
        <v>#N/A</v>
      </c>
      <c r="AS35">
        <f t="shared" si="3"/>
        <v>0</v>
      </c>
      <c r="AT35">
        <f t="shared" si="4"/>
        <v>0</v>
      </c>
      <c r="AU35">
        <f t="shared" si="5"/>
        <v>0</v>
      </c>
      <c r="AV35">
        <f t="shared" si="6"/>
        <v>0</v>
      </c>
      <c r="AW35">
        <f t="shared" si="7"/>
        <v>0</v>
      </c>
      <c r="AX35">
        <f t="shared" si="8"/>
        <v>0</v>
      </c>
      <c r="AY35">
        <f t="shared" si="9"/>
        <v>0</v>
      </c>
      <c r="AZ35">
        <f t="shared" si="10"/>
        <v>0</v>
      </c>
      <c r="BA35">
        <f t="shared" si="11"/>
        <v>0</v>
      </c>
      <c r="BB35">
        <f t="shared" si="12"/>
        <v>0</v>
      </c>
    </row>
    <row r="36" spans="3:54" hidden="1" outlineLevel="1" x14ac:dyDescent="0.3">
      <c r="C36" t="s">
        <v>68</v>
      </c>
      <c r="O36" t="e">
        <f>-SUMIFS(Kosten!$I$4:$I$26,Kosten!$B$4:$B$26,'Cash Flow'!$C$33)</f>
        <v>#N/A</v>
      </c>
      <c r="P36"/>
      <c r="Q36"/>
      <c r="R36"/>
      <c r="S36"/>
      <c r="T36"/>
      <c r="U36"/>
      <c r="V36"/>
      <c r="W36"/>
      <c r="X36"/>
      <c r="Z36"/>
      <c r="AA36" t="e">
        <f>-SUMIFS(Kosten!$I$4:$I$26,Kosten!$B$4:$B$26,'Cash Flow'!$C$33)</f>
        <v>#N/A</v>
      </c>
      <c r="AB36"/>
      <c r="AC36"/>
      <c r="AD36"/>
      <c r="AE36"/>
      <c r="AF36"/>
      <c r="AG36"/>
      <c r="AH36"/>
      <c r="AI36"/>
      <c r="AJ36"/>
      <c r="AK36"/>
      <c r="AL36"/>
      <c r="AM36"/>
      <c r="AN36" t="e">
        <f t="shared" si="0"/>
        <v>#N/A</v>
      </c>
      <c r="AQ36">
        <f t="shared" si="1"/>
        <v>0</v>
      </c>
      <c r="AR36">
        <f t="shared" si="2"/>
        <v>0</v>
      </c>
      <c r="AS36">
        <f t="shared" si="3"/>
        <v>0</v>
      </c>
      <c r="AT36" t="e">
        <f>SUM(N36:O36)</f>
        <v>#N/A</v>
      </c>
      <c r="AU36">
        <f t="shared" si="5"/>
        <v>0</v>
      </c>
      <c r="AV36">
        <f t="shared" si="6"/>
        <v>0</v>
      </c>
      <c r="AW36">
        <f t="shared" si="7"/>
        <v>0</v>
      </c>
      <c r="AX36" t="e">
        <f>SUM(Z36:AA36)</f>
        <v>#N/A</v>
      </c>
      <c r="AY36">
        <f t="shared" si="9"/>
        <v>0</v>
      </c>
      <c r="AZ36">
        <f t="shared" si="10"/>
        <v>0</v>
      </c>
      <c r="BA36">
        <f t="shared" si="11"/>
        <v>0</v>
      </c>
      <c r="BB36">
        <f t="shared" si="12"/>
        <v>0</v>
      </c>
    </row>
    <row r="37" spans="3:54" hidden="1" outlineLevel="1" x14ac:dyDescent="0.3">
      <c r="C37" t="s">
        <v>146</v>
      </c>
      <c r="D37" t="e">
        <f>(-SUMIFS(Kosten!$K$4:$K26,Kosten!$B$4:$B$26,'Cash Flow'!$C$33)-SUMIFS(Kosten!$L$4:$L26,Kosten!$B$4:$B$26,'Cash Flow'!$C$33))/12</f>
        <v>#N/A</v>
      </c>
      <c r="E37" t="e">
        <f>(-SUMIFS(Kosten!$K$4:$K26,Kosten!$B$4:$B$26,'Cash Flow'!$C$33)-SUMIFS(Kosten!$L$4:$L26,Kosten!$B$4:$B$26,'Cash Flow'!$C$33))/12</f>
        <v>#N/A</v>
      </c>
      <c r="F37" t="e">
        <f>(-SUMIFS(Kosten!$K$4:$K26,Kosten!$B$4:$B$26,'Cash Flow'!$C$33)-SUMIFS(Kosten!$L$4:$L26,Kosten!$B$4:$B$26,'Cash Flow'!$C$33))/12</f>
        <v>#N/A</v>
      </c>
      <c r="G37" t="e">
        <f>(-SUMIFS(Kosten!$K$4:$K26,Kosten!$B$4:$B$26,'Cash Flow'!$C$33)-SUMIFS(Kosten!$L$4:$L26,Kosten!$B$4:$B$26,'Cash Flow'!$C$33))/12</f>
        <v>#N/A</v>
      </c>
      <c r="H37" t="e">
        <f>(-SUMIFS(Kosten!$K$4:$K26,Kosten!$B$4:$B$26,'Cash Flow'!$C$33)-SUMIFS(Kosten!$L$4:$L26,Kosten!$B$4:$B$26,'Cash Flow'!$C$33))/12</f>
        <v>#N/A</v>
      </c>
      <c r="I37" t="e">
        <f>(-SUMIFS(Kosten!$K$4:$K26,Kosten!$B$4:$B$26,'Cash Flow'!$C$33)-SUMIFS(Kosten!$L$4:$L26,Kosten!$B$4:$B$26,'Cash Flow'!$C$33))/12</f>
        <v>#N/A</v>
      </c>
      <c r="J37" t="e">
        <f>(-SUMIFS(Kosten!$K$4:$K26,Kosten!$B$4:$B$26,'Cash Flow'!$C$33)-SUMIFS(Kosten!$L$4:$L26,Kosten!$B$4:$B$26,'Cash Flow'!$C$33))/12</f>
        <v>#N/A</v>
      </c>
      <c r="K37" t="e">
        <f>(-SUMIFS(Kosten!$K$4:$K26,Kosten!$B$4:$B$26,'Cash Flow'!$C$33)-SUMIFS(Kosten!$L$4:$L26,Kosten!$B$4:$B$26,'Cash Flow'!$C$33))/12</f>
        <v>#N/A</v>
      </c>
      <c r="L37" t="e">
        <f>(-SUMIFS(Kosten!$K$4:$K26,Kosten!$B$4:$B$26,'Cash Flow'!$C$33)-SUMIFS(Kosten!$L$4:$L26,Kosten!$B$4:$B$26,'Cash Flow'!$C$33))/12</f>
        <v>#N/A</v>
      </c>
      <c r="M37" t="e">
        <f>(-SUMIFS(Kosten!$K$4:$K26,Kosten!$B$4:$B$26,'Cash Flow'!$C$33)-SUMIFS(Kosten!$L$4:$L26,Kosten!$B$4:$B$26,'Cash Flow'!$C$33))/12</f>
        <v>#N/A</v>
      </c>
      <c r="N37" t="e">
        <f>(-SUMIFS(Kosten!$K$4:$K26,Kosten!$B$4:$B$26,'Cash Flow'!$C$33)-SUMIFS(Kosten!$L$4:$L26,Kosten!$B$4:$B$26,'Cash Flow'!$C$33))/12</f>
        <v>#N/A</v>
      </c>
      <c r="O37" t="e">
        <f>(-SUMIFS(Kosten!$K$4:$K26,Kosten!$B$4:$B$26,'Cash Flow'!$C$33)-SUMIFS(Kosten!$L$4:$L26,Kosten!$B$4:$B$26,'Cash Flow'!$C$33))/12</f>
        <v>#N/A</v>
      </c>
      <c r="P37" t="e">
        <f>(-SUMIFS(Kosten!$K$4:$K26,Kosten!$B$4:$B$26,'Cash Flow'!$C$33)-SUMIFS(Kosten!$L$4:$L26,Kosten!$B$4:$B$26,'Cash Flow'!$C$33))/12</f>
        <v>#N/A</v>
      </c>
      <c r="Q37" t="e">
        <f>(-SUMIFS(Kosten!$K$4:$K26,Kosten!$B$4:$B$26,'Cash Flow'!$C$33)-SUMIFS(Kosten!$L$4:$L26,Kosten!$B$4:$B$26,'Cash Flow'!$C$33))/12</f>
        <v>#N/A</v>
      </c>
      <c r="R37" t="e">
        <f>(-SUMIFS(Kosten!$K$4:$K26,Kosten!$B$4:$B$26,'Cash Flow'!$C$33)-SUMIFS(Kosten!$L$4:$L26,Kosten!$B$4:$B$26,'Cash Flow'!$C$33))/12</f>
        <v>#N/A</v>
      </c>
      <c r="S37" t="e">
        <f>(-SUMIFS(Kosten!$K$4:$K26,Kosten!$B$4:$B$26,'Cash Flow'!$C$33)-SUMIFS(Kosten!$L$4:$L26,Kosten!$B$4:$B$26,'Cash Flow'!$C$33))/12</f>
        <v>#N/A</v>
      </c>
      <c r="T37" t="e">
        <f>(-SUMIFS(Kosten!$K$4:$K26,Kosten!$B$4:$B$26,'Cash Flow'!$C$33)-SUMIFS(Kosten!$L$4:$L26,Kosten!$B$4:$B$26,'Cash Flow'!$C$33))/12</f>
        <v>#N/A</v>
      </c>
      <c r="U37" t="e">
        <f>(-SUMIFS(Kosten!$K$4:$K26,Kosten!$B$4:$B$26,'Cash Flow'!$C$33)-SUMIFS(Kosten!$L$4:$L26,Kosten!$B$4:$B$26,'Cash Flow'!$C$33))/12</f>
        <v>#N/A</v>
      </c>
      <c r="V37" t="e">
        <f>(-SUMIFS(Kosten!$K$4:$K26,Kosten!$B$4:$B$26,'Cash Flow'!$C$33)-SUMIFS(Kosten!$L$4:$L26,Kosten!$B$4:$B$26,'Cash Flow'!$C$33))/12</f>
        <v>#N/A</v>
      </c>
      <c r="W37" t="e">
        <f>(-SUMIFS(Kosten!$K$4:$K26,Kosten!$B$4:$B$26,'Cash Flow'!$C$33)-SUMIFS(Kosten!$L$4:$L26,Kosten!$B$4:$B$26,'Cash Flow'!$C$33))/12</f>
        <v>#N/A</v>
      </c>
      <c r="X37" t="e">
        <f>(-SUMIFS(Kosten!$K$4:$K26,Kosten!$B$4:$B$26,'Cash Flow'!$C$33)-SUMIFS(Kosten!$L$4:$L26,Kosten!$B$4:$B$26,'Cash Flow'!$C$33))/12</f>
        <v>#N/A</v>
      </c>
      <c r="Y37" t="e">
        <f>(-SUMIFS(Kosten!$K$4:$K26,Kosten!$B$4:$B$26,'Cash Flow'!$C$33)-SUMIFS(Kosten!$L$4:$L26,Kosten!$B$4:$B$26,'Cash Flow'!$C$33))/12</f>
        <v>#N/A</v>
      </c>
      <c r="Z37" t="e">
        <f>(-SUMIFS(Kosten!$K$4:$K26,Kosten!$B$4:$B$26,'Cash Flow'!$C$33)-SUMIFS(Kosten!$L$4:$L26,Kosten!$B$4:$B$26,'Cash Flow'!$C$33))/12</f>
        <v>#N/A</v>
      </c>
      <c r="AA37" t="e">
        <f>(-SUMIFS(Kosten!$K$4:$K26,Kosten!$B$4:$B$26,'Cash Flow'!$C$33)-SUMIFS(Kosten!$L$4:$L26,Kosten!$B$4:$B$26,'Cash Flow'!$C$33))/12</f>
        <v>#N/A</v>
      </c>
      <c r="AB37" t="e">
        <f>(-SUMIFS(Kosten!$K$4:$K26,Kosten!$B$4:$B$26,'Cash Flow'!$C$33)-SUMIFS(Kosten!$L$4:$L26,Kosten!$B$4:$B$26,'Cash Flow'!$C$33))/12</f>
        <v>#N/A</v>
      </c>
      <c r="AC37" t="e">
        <f>(-SUMIFS(Kosten!$K$4:$K26,Kosten!$B$4:$B$26,'Cash Flow'!$C$33)-SUMIFS(Kosten!$L$4:$L26,Kosten!$B$4:$B$26,'Cash Flow'!$C$33))/12</f>
        <v>#N/A</v>
      </c>
      <c r="AD37" t="e">
        <f>(-SUMIFS(Kosten!$K$4:$K26,Kosten!$B$4:$B$26,'Cash Flow'!$C$33)-SUMIFS(Kosten!$L$4:$L26,Kosten!$B$4:$B$26,'Cash Flow'!$C$33))/12</f>
        <v>#N/A</v>
      </c>
      <c r="AE37" t="e">
        <f>(-SUMIFS(Kosten!$K$4:$K26,Kosten!$B$4:$B$26,'Cash Flow'!$C$33)-SUMIFS(Kosten!$L$4:$L26,Kosten!$B$4:$B$26,'Cash Flow'!$C$33))/12</f>
        <v>#N/A</v>
      </c>
      <c r="AF37" t="e">
        <f>(-SUMIFS(Kosten!$K$4:$K26,Kosten!$B$4:$B$26,'Cash Flow'!$C$33)-SUMIFS(Kosten!$L$4:$L26,Kosten!$B$4:$B$26,'Cash Flow'!$C$33))/12</f>
        <v>#N/A</v>
      </c>
      <c r="AG37" t="e">
        <f>(-SUMIFS(Kosten!$K$4:$K26,Kosten!$B$4:$B$26,'Cash Flow'!$C$33)-SUMIFS(Kosten!$L$4:$L26,Kosten!$B$4:$B$26,'Cash Flow'!$C$33))/12</f>
        <v>#N/A</v>
      </c>
      <c r="AH37" t="e">
        <f>(-SUMIFS(Kosten!$K$4:$K26,Kosten!$B$4:$B$26,'Cash Flow'!$C$33)-SUMIFS(Kosten!$L$4:$L26,Kosten!$B$4:$B$26,'Cash Flow'!$C$33))/12</f>
        <v>#N/A</v>
      </c>
      <c r="AI37" t="e">
        <f>(-SUMIFS(Kosten!$K$4:$K26,Kosten!$B$4:$B$26,'Cash Flow'!$C$33)-SUMIFS(Kosten!$L$4:$L26,Kosten!$B$4:$B$26,'Cash Flow'!$C$33))/12</f>
        <v>#N/A</v>
      </c>
      <c r="AJ37" t="e">
        <f>(-SUMIFS(Kosten!$K$4:$K26,Kosten!$B$4:$B$26,'Cash Flow'!$C$33)-SUMIFS(Kosten!$L$4:$L26,Kosten!$B$4:$B$26,'Cash Flow'!$C$33))/12</f>
        <v>#N/A</v>
      </c>
      <c r="AK37" t="e">
        <f>(-SUMIFS(Kosten!$K$4:$K26,Kosten!$B$4:$B$26,'Cash Flow'!$C$33)-SUMIFS(Kosten!$L$4:$L26,Kosten!$B$4:$B$26,'Cash Flow'!$C$33))/12</f>
        <v>#N/A</v>
      </c>
      <c r="AL37" t="e">
        <f>(-SUMIFS(Kosten!$K$4:$K26,Kosten!$B$4:$B$26,'Cash Flow'!$C$33)-SUMIFS(Kosten!$L$4:$L26,Kosten!$B$4:$B$26,'Cash Flow'!$C$33))/12</f>
        <v>#N/A</v>
      </c>
      <c r="AM37" t="e">
        <f>(-SUMIFS(Kosten!$K$4:$K26,Kosten!$B$4:$B$26,'Cash Flow'!$C$33)-SUMIFS(Kosten!$L$4:$L26,Kosten!$B$4:$B$26,'Cash Flow'!$C$33))/12</f>
        <v>#N/A</v>
      </c>
      <c r="AN37" t="e">
        <f t="shared" si="0"/>
        <v>#N/A</v>
      </c>
      <c r="AQ37" t="e">
        <f t="shared" si="1"/>
        <v>#N/A</v>
      </c>
      <c r="AR37" t="e">
        <f t="shared" si="2"/>
        <v>#N/A</v>
      </c>
      <c r="AS37" t="e">
        <f t="shared" si="3"/>
        <v>#N/A</v>
      </c>
      <c r="AT37" t="e">
        <f t="shared" si="4"/>
        <v>#N/A</v>
      </c>
      <c r="AU37" t="e">
        <f t="shared" si="5"/>
        <v>#N/A</v>
      </c>
      <c r="AV37" t="e">
        <f t="shared" si="6"/>
        <v>#N/A</v>
      </c>
      <c r="AW37" t="e">
        <f t="shared" si="7"/>
        <v>#N/A</v>
      </c>
      <c r="AX37" t="e">
        <f t="shared" si="8"/>
        <v>#N/A</v>
      </c>
      <c r="AY37" t="e">
        <f t="shared" si="9"/>
        <v>#N/A</v>
      </c>
      <c r="AZ37" t="e">
        <f t="shared" si="10"/>
        <v>#N/A</v>
      </c>
      <c r="BA37" t="e">
        <f t="shared" si="11"/>
        <v>#N/A</v>
      </c>
      <c r="BB37" t="e">
        <f t="shared" si="12"/>
        <v>#N/A</v>
      </c>
    </row>
    <row r="38" spans="3:54" collapsed="1" x14ac:dyDescent="0.3">
      <c r="C38" t="s">
        <v>88</v>
      </c>
      <c r="D38" t="e">
        <f>SUM(D39:D41)</f>
        <v>#REF!</v>
      </c>
      <c r="E38" t="e">
        <f t="shared" ref="E38:AM38" si="18">SUM(E39:E41)</f>
        <v>#REF!</v>
      </c>
      <c r="F38" t="e">
        <f t="shared" si="18"/>
        <v>#REF!</v>
      </c>
      <c r="G38" t="e">
        <f t="shared" si="18"/>
        <v>#REF!</v>
      </c>
      <c r="H38" t="e">
        <f t="shared" si="18"/>
        <v>#REF!</v>
      </c>
      <c r="I38" t="e">
        <f t="shared" si="18"/>
        <v>#REF!</v>
      </c>
      <c r="J38" t="e">
        <f t="shared" si="18"/>
        <v>#REF!</v>
      </c>
      <c r="K38" t="e">
        <f t="shared" si="18"/>
        <v>#REF!</v>
      </c>
      <c r="L38" t="e">
        <f t="shared" si="18"/>
        <v>#REF!</v>
      </c>
      <c r="M38" t="e">
        <f t="shared" si="18"/>
        <v>#REF!</v>
      </c>
      <c r="N38" t="e">
        <f t="shared" si="18"/>
        <v>#REF!</v>
      </c>
      <c r="O38" t="e">
        <f t="shared" si="18"/>
        <v>#REF!</v>
      </c>
      <c r="P38" t="e">
        <f t="shared" si="18"/>
        <v>#REF!</v>
      </c>
      <c r="Q38" t="e">
        <f t="shared" si="18"/>
        <v>#REF!</v>
      </c>
      <c r="R38" t="e">
        <f t="shared" si="18"/>
        <v>#REF!</v>
      </c>
      <c r="S38" t="e">
        <f t="shared" si="18"/>
        <v>#REF!</v>
      </c>
      <c r="T38" t="e">
        <f t="shared" si="18"/>
        <v>#REF!</v>
      </c>
      <c r="U38" t="e">
        <f t="shared" si="18"/>
        <v>#REF!</v>
      </c>
      <c r="V38" t="e">
        <f t="shared" si="18"/>
        <v>#REF!</v>
      </c>
      <c r="W38" t="e">
        <f t="shared" si="18"/>
        <v>#REF!</v>
      </c>
      <c r="X38" t="e">
        <f t="shared" si="18"/>
        <v>#REF!</v>
      </c>
      <c r="Y38" t="e">
        <f t="shared" si="18"/>
        <v>#REF!</v>
      </c>
      <c r="Z38" t="e">
        <f t="shared" si="18"/>
        <v>#REF!</v>
      </c>
      <c r="AA38" t="e">
        <f t="shared" si="18"/>
        <v>#REF!</v>
      </c>
      <c r="AB38" t="e">
        <f t="shared" si="18"/>
        <v>#REF!</v>
      </c>
      <c r="AC38" t="e">
        <f t="shared" si="18"/>
        <v>#REF!</v>
      </c>
      <c r="AD38" t="e">
        <f t="shared" si="18"/>
        <v>#REF!</v>
      </c>
      <c r="AE38" t="e">
        <f t="shared" si="18"/>
        <v>#REF!</v>
      </c>
      <c r="AF38" t="e">
        <f t="shared" si="18"/>
        <v>#REF!</v>
      </c>
      <c r="AG38" t="e">
        <f t="shared" si="18"/>
        <v>#REF!</v>
      </c>
      <c r="AH38" t="e">
        <f t="shared" si="18"/>
        <v>#REF!</v>
      </c>
      <c r="AI38" t="e">
        <f t="shared" si="18"/>
        <v>#REF!</v>
      </c>
      <c r="AJ38" t="e">
        <f t="shared" si="18"/>
        <v>#REF!</v>
      </c>
      <c r="AK38" t="e">
        <f t="shared" si="18"/>
        <v>#REF!</v>
      </c>
      <c r="AL38" t="e">
        <f t="shared" si="18"/>
        <v>#REF!</v>
      </c>
      <c r="AM38" t="e">
        <f t="shared" si="18"/>
        <v>#REF!</v>
      </c>
      <c r="AN38" t="e">
        <f>SUM(AN39:AN41)</f>
        <v>#REF!</v>
      </c>
      <c r="AO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3:54" hidden="1" outlineLevel="1" x14ac:dyDescent="0.3">
      <c r="C39" t="s">
        <v>89</v>
      </c>
      <c r="D39" t="e">
        <f>-SUM(Kosten!$F$17:$F$22)</f>
        <v>#REF!</v>
      </c>
      <c r="E39" t="e">
        <f>-SUM(Kosten!$F$17:$F$22)</f>
        <v>#REF!</v>
      </c>
      <c r="F39" t="e">
        <f>-SUM(Kosten!$F$17:$F$22)</f>
        <v>#REF!</v>
      </c>
      <c r="G39" t="e">
        <f>-SUM(Kosten!$F$17:$F$22)</f>
        <v>#REF!</v>
      </c>
      <c r="H39" t="e">
        <f>-SUM(Kosten!$F$17:$F$22)</f>
        <v>#REF!</v>
      </c>
      <c r="I39" t="e">
        <f>-SUM(Kosten!$F$17:$F$22)</f>
        <v>#REF!</v>
      </c>
      <c r="J39" t="e">
        <f>-SUM(Kosten!$F$17:$F$22)</f>
        <v>#REF!</v>
      </c>
      <c r="K39" t="e">
        <f>-SUM(Kosten!$F$17:$F$22)</f>
        <v>#REF!</v>
      </c>
      <c r="L39" t="e">
        <f>-SUM(Kosten!$F$17:$F$22)</f>
        <v>#REF!</v>
      </c>
      <c r="M39" t="e">
        <f>-SUM(Kosten!$F$17:$F$22)</f>
        <v>#REF!</v>
      </c>
      <c r="N39" t="e">
        <f>-SUM(Kosten!$F$17:$F$22)</f>
        <v>#REF!</v>
      </c>
      <c r="O39" t="e">
        <f>-SUM(Kosten!$F$17:$F$22)</f>
        <v>#REF!</v>
      </c>
      <c r="P39" t="e">
        <f>-SUM(Kosten!$F$17:$F$22)</f>
        <v>#REF!</v>
      </c>
      <c r="Q39" t="e">
        <f>-SUM(Kosten!$F$17:$F$22)</f>
        <v>#REF!</v>
      </c>
      <c r="R39" t="e">
        <f>-SUM(Kosten!$F$17:$F$22)</f>
        <v>#REF!</v>
      </c>
      <c r="S39" t="e">
        <f>-SUM(Kosten!$F$17:$F$22)</f>
        <v>#REF!</v>
      </c>
      <c r="T39" t="e">
        <f>-SUM(Kosten!$F$17:$F$22)</f>
        <v>#REF!</v>
      </c>
      <c r="U39" t="e">
        <f>-SUM(Kosten!$F$17:$F$22)</f>
        <v>#REF!</v>
      </c>
      <c r="V39" t="e">
        <f>-SUM(Kosten!$F$17:$F$22)</f>
        <v>#REF!</v>
      </c>
      <c r="W39" t="e">
        <f>-SUM(Kosten!$F$17:$F$22)</f>
        <v>#REF!</v>
      </c>
      <c r="X39" t="e">
        <f>-SUM(Kosten!$F$17:$F$22)</f>
        <v>#REF!</v>
      </c>
      <c r="Y39" t="e">
        <f>-SUM(Kosten!$F$17:$F$22)</f>
        <v>#REF!</v>
      </c>
      <c r="Z39" t="e">
        <f>-SUM(Kosten!$F$17:$F$22)</f>
        <v>#REF!</v>
      </c>
      <c r="AA39" t="e">
        <f>-SUM(Kosten!$F$17:$F$22)</f>
        <v>#REF!</v>
      </c>
      <c r="AB39" t="e">
        <f>-SUM(Kosten!$F$17:$F$22)</f>
        <v>#REF!</v>
      </c>
      <c r="AC39" t="e">
        <f>-SUM(Kosten!$F$17:$F$22)</f>
        <v>#REF!</v>
      </c>
      <c r="AD39" t="e">
        <f>-SUM(Kosten!$F$17:$F$22)</f>
        <v>#REF!</v>
      </c>
      <c r="AE39" t="e">
        <f>-SUM(Kosten!$F$17:$F$22)</f>
        <v>#REF!</v>
      </c>
      <c r="AF39" t="e">
        <f>-SUM(Kosten!$F$17:$F$22)</f>
        <v>#REF!</v>
      </c>
      <c r="AG39" t="e">
        <f>-SUM(Kosten!$F$17:$F$22)</f>
        <v>#REF!</v>
      </c>
      <c r="AH39" t="e">
        <f>-SUM(Kosten!$F$17:$F$22)</f>
        <v>#REF!</v>
      </c>
      <c r="AI39" t="e">
        <f>-SUM(Kosten!$F$17:$F$22)</f>
        <v>#REF!</v>
      </c>
      <c r="AJ39" t="e">
        <f>-SUM(Kosten!$F$17:$F$22)</f>
        <v>#REF!</v>
      </c>
      <c r="AK39" t="e">
        <f>-SUM(Kosten!$F$17:$F$22)</f>
        <v>#REF!</v>
      </c>
      <c r="AL39" t="e">
        <f>-SUM(Kosten!$F$17:$F$22)</f>
        <v>#REF!</v>
      </c>
      <c r="AM39" t="e">
        <f>-SUM(Kosten!$F$17:$F$22)</f>
        <v>#REF!</v>
      </c>
      <c r="AN39" t="e">
        <f t="shared" si="0"/>
        <v>#REF!</v>
      </c>
      <c r="AQ39" t="e">
        <f t="shared" si="1"/>
        <v>#REF!</v>
      </c>
      <c r="AR39" t="e">
        <f t="shared" si="2"/>
        <v>#REF!</v>
      </c>
      <c r="AS39" t="e">
        <f t="shared" si="3"/>
        <v>#REF!</v>
      </c>
      <c r="AT39" t="e">
        <f t="shared" si="4"/>
        <v>#REF!</v>
      </c>
      <c r="AU39" t="e">
        <f t="shared" si="5"/>
        <v>#REF!</v>
      </c>
      <c r="AV39" t="e">
        <f t="shared" si="6"/>
        <v>#REF!</v>
      </c>
      <c r="AW39" t="e">
        <f t="shared" si="7"/>
        <v>#REF!</v>
      </c>
      <c r="AX39" t="e">
        <f t="shared" si="8"/>
        <v>#REF!</v>
      </c>
      <c r="AY39" t="e">
        <f t="shared" si="9"/>
        <v>#REF!</v>
      </c>
      <c r="AZ39" t="e">
        <f t="shared" si="10"/>
        <v>#REF!</v>
      </c>
      <c r="BA39" t="e">
        <f t="shared" si="11"/>
        <v>#REF!</v>
      </c>
      <c r="BB39" t="e">
        <f t="shared" si="12"/>
        <v>#REF!</v>
      </c>
    </row>
    <row r="40" spans="3:54" hidden="1" outlineLevel="1" x14ac:dyDescent="0.3">
      <c r="C40" t="s">
        <v>58</v>
      </c>
      <c r="D40" t="e">
        <f>-SUM(Kosten!$G$17:$G$22)</f>
        <v>#REF!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 t="e">
        <f t="shared" si="0"/>
        <v>#REF!</v>
      </c>
      <c r="AQ40" t="e">
        <f t="shared" si="1"/>
        <v>#REF!</v>
      </c>
      <c r="AR40">
        <f t="shared" si="2"/>
        <v>0</v>
      </c>
      <c r="AS40">
        <f t="shared" si="3"/>
        <v>0</v>
      </c>
      <c r="AT40">
        <f t="shared" si="4"/>
        <v>0</v>
      </c>
      <c r="AU40">
        <f t="shared" si="5"/>
        <v>0</v>
      </c>
      <c r="AV40">
        <f t="shared" si="6"/>
        <v>0</v>
      </c>
      <c r="AW40">
        <f t="shared" si="7"/>
        <v>0</v>
      </c>
      <c r="AX40">
        <f t="shared" si="8"/>
        <v>0</v>
      </c>
      <c r="AY40">
        <f t="shared" si="9"/>
        <v>0</v>
      </c>
      <c r="AZ40">
        <f t="shared" si="10"/>
        <v>0</v>
      </c>
      <c r="BA40">
        <f t="shared" si="11"/>
        <v>0</v>
      </c>
      <c r="BB40">
        <f t="shared" si="12"/>
        <v>0</v>
      </c>
    </row>
    <row r="41" spans="3:54" hidden="1" outlineLevel="1" x14ac:dyDescent="0.3">
      <c r="C41" t="s">
        <v>67</v>
      </c>
      <c r="D41" t="e">
        <f>-SUM(Kosten!$H$17:$H$22)</f>
        <v>#REF!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 t="e">
        <f t="shared" si="0"/>
        <v>#REF!</v>
      </c>
      <c r="AQ41" t="e">
        <f t="shared" si="1"/>
        <v>#REF!</v>
      </c>
      <c r="AR41">
        <f t="shared" si="2"/>
        <v>0</v>
      </c>
      <c r="AS41">
        <f t="shared" si="3"/>
        <v>0</v>
      </c>
      <c r="AT41">
        <f t="shared" si="4"/>
        <v>0</v>
      </c>
      <c r="AU41">
        <f t="shared" si="5"/>
        <v>0</v>
      </c>
      <c r="AV41">
        <f t="shared" si="6"/>
        <v>0</v>
      </c>
      <c r="AW41">
        <f t="shared" si="7"/>
        <v>0</v>
      </c>
      <c r="AX41">
        <f t="shared" si="8"/>
        <v>0</v>
      </c>
      <c r="AY41">
        <f t="shared" si="9"/>
        <v>0</v>
      </c>
      <c r="AZ41">
        <f t="shared" si="10"/>
        <v>0</v>
      </c>
      <c r="BA41">
        <f t="shared" si="11"/>
        <v>0</v>
      </c>
      <c r="BB41">
        <f t="shared" si="12"/>
        <v>0</v>
      </c>
    </row>
    <row r="42" spans="3:54" collapsed="1" x14ac:dyDescent="0.3">
      <c r="C42" t="s">
        <v>40</v>
      </c>
      <c r="D42">
        <f>-'Preise Output'!$G$24</f>
        <v>-33478.269999999997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>
        <f t="shared" si="0"/>
        <v>-33478.269999999997</v>
      </c>
      <c r="AO42"/>
      <c r="AQ42">
        <f t="shared" si="1"/>
        <v>-33478.269999999997</v>
      </c>
      <c r="AR42">
        <f t="shared" si="2"/>
        <v>0</v>
      </c>
      <c r="AS42">
        <f t="shared" si="3"/>
        <v>0</v>
      </c>
      <c r="AT42">
        <f t="shared" si="4"/>
        <v>0</v>
      </c>
      <c r="AU42">
        <f t="shared" si="5"/>
        <v>0</v>
      </c>
      <c r="AV42">
        <f t="shared" si="6"/>
        <v>0</v>
      </c>
      <c r="AW42">
        <f t="shared" si="7"/>
        <v>0</v>
      </c>
      <c r="AX42">
        <f t="shared" si="8"/>
        <v>0</v>
      </c>
      <c r="AY42">
        <f t="shared" si="9"/>
        <v>0</v>
      </c>
      <c r="AZ42">
        <f t="shared" si="10"/>
        <v>0</v>
      </c>
      <c r="BA42">
        <f t="shared" si="11"/>
        <v>0</v>
      </c>
      <c r="BB42">
        <f t="shared" si="12"/>
        <v>0</v>
      </c>
    </row>
    <row r="43" spans="3:54" x14ac:dyDescent="0.3">
      <c r="C43" t="s">
        <v>17</v>
      </c>
      <c r="D43">
        <f>IFERROR(-'Preise Output'!$L$24/12/'Preise Output'!$F$24-('Preise Output'!$L$26-'Preise Output'!$L$24)/12/3,0)</f>
        <v>0</v>
      </c>
      <c r="E43">
        <f>IFERROR(-'Preise Output'!$L$24/12/'Preise Output'!$F$24-('Preise Output'!$L$26-'Preise Output'!$L$24)/12/3,0)</f>
        <v>0</v>
      </c>
      <c r="F43">
        <f>IFERROR(-'Preise Output'!$L$24/12/'Preise Output'!$F$24-('Preise Output'!$L$26-'Preise Output'!$L$24)/12/3,0)</f>
        <v>0</v>
      </c>
      <c r="G43">
        <f>IFERROR(-'Preise Output'!$L$24/12/'Preise Output'!$F$24-('Preise Output'!$L$26-'Preise Output'!$L$24)/12/3,0)</f>
        <v>0</v>
      </c>
      <c r="H43">
        <f>IFERROR(-'Preise Output'!$L$24/12/'Preise Output'!$F$24-('Preise Output'!$L$26-'Preise Output'!$L$24)/12/3,0)</f>
        <v>0</v>
      </c>
      <c r="I43">
        <f>IFERROR(-'Preise Output'!$L$24/12/'Preise Output'!$F$24-('Preise Output'!$L$26-'Preise Output'!$L$24)/12/3,0)</f>
        <v>0</v>
      </c>
      <c r="J43">
        <f>IFERROR(-'Preise Output'!$L$24/12/'Preise Output'!$F$24-('Preise Output'!$L$26-'Preise Output'!$L$24)/12/3,0)</f>
        <v>0</v>
      </c>
      <c r="K43">
        <f>IFERROR(-'Preise Output'!$L$24/12/'Preise Output'!$F$24-('Preise Output'!$L$26-'Preise Output'!$L$24)/12/3,0)</f>
        <v>0</v>
      </c>
      <c r="L43">
        <f>IFERROR(-'Preise Output'!$L$24/12/'Preise Output'!$F$24-('Preise Output'!$L$26-'Preise Output'!$L$24)/12/3,0)</f>
        <v>0</v>
      </c>
      <c r="M43">
        <f>IFERROR(-'Preise Output'!$L$24/12/'Preise Output'!$F$24-('Preise Output'!$L$26-'Preise Output'!$L$24)/12/3,0)</f>
        <v>0</v>
      </c>
      <c r="N43">
        <f>IFERROR(-'Preise Output'!$L$24/12/'Preise Output'!$F$24-('Preise Output'!$L$26-'Preise Output'!$L$24)/12/3,0)</f>
        <v>0</v>
      </c>
      <c r="O43">
        <f>IFERROR(-'Preise Output'!$L$24/12/'Preise Output'!$F$24-('Preise Output'!$L$26-'Preise Output'!$L$24)/12/3,0)</f>
        <v>0</v>
      </c>
      <c r="P43">
        <f>IFERROR(IF('Preise Output'!$F$24=1,-('Preise Output'!$L$26-'Preise Output'!$L$24)/12/3,-'Preise Output'!$L$24/12/'Preise Output'!$F$24-('Preise Output'!$L$26-'Preise Output'!$L$24)/12/3),0)</f>
        <v>0</v>
      </c>
      <c r="Q43">
        <f>IFERROR(IF('Preise Output'!$F$24=1,-('Preise Output'!$L$26-'Preise Output'!$L$24)/12/3,-'Preise Output'!$L$24/12/'Preise Output'!$F$24-('Preise Output'!$L$26-'Preise Output'!$L$24)/12/3),0)</f>
        <v>0</v>
      </c>
      <c r="R43">
        <f>IFERROR(IF('Preise Output'!$F$24=1,-('Preise Output'!$L$26-'Preise Output'!$L$24)/12/3,-'Preise Output'!$L$24/12/'Preise Output'!$F$24-('Preise Output'!$L$26-'Preise Output'!$L$24)/12/3),0)</f>
        <v>0</v>
      </c>
      <c r="S43">
        <f>IFERROR(IF('Preise Output'!$F$24=1,-('Preise Output'!$L$26-'Preise Output'!$L$24)/12/3,-'Preise Output'!$L$24/12/'Preise Output'!$F$24-('Preise Output'!$L$26-'Preise Output'!$L$24)/12/3),0)</f>
        <v>0</v>
      </c>
      <c r="T43">
        <f>IFERROR(IF('Preise Output'!$F$24=1,-('Preise Output'!$L$26-'Preise Output'!$L$24)/12/3,-'Preise Output'!$L$24/12/'Preise Output'!$F$24-('Preise Output'!$L$26-'Preise Output'!$L$24)/12/3),0)</f>
        <v>0</v>
      </c>
      <c r="U43">
        <f>IFERROR(IF('Preise Output'!$F$24=1,-('Preise Output'!$L$26-'Preise Output'!$L$24)/12/3,-'Preise Output'!$L$24/12/'Preise Output'!$F$24-('Preise Output'!$L$26-'Preise Output'!$L$24)/12/3),0)</f>
        <v>0</v>
      </c>
      <c r="V43">
        <f>IFERROR(IF('Preise Output'!$F$24=1,-('Preise Output'!$L$26-'Preise Output'!$L$24)/12/3,-'Preise Output'!$L$24/12/'Preise Output'!$F$24-('Preise Output'!$L$26-'Preise Output'!$L$24)/12/3),0)</f>
        <v>0</v>
      </c>
      <c r="W43">
        <f>IFERROR(IF('Preise Output'!$F$24=1,-('Preise Output'!$L$26-'Preise Output'!$L$24)/12/3,-'Preise Output'!$L$24/12/'Preise Output'!$F$24-('Preise Output'!$L$26-'Preise Output'!$L$24)/12/3),0)</f>
        <v>0</v>
      </c>
      <c r="X43">
        <f>IFERROR(IF('Preise Output'!$F$24=1,-('Preise Output'!$L$26-'Preise Output'!$L$24)/12/3,-'Preise Output'!$L$24/12/'Preise Output'!$F$24-('Preise Output'!$L$26-'Preise Output'!$L$24)/12/3),0)</f>
        <v>0</v>
      </c>
      <c r="Y43">
        <f>IFERROR(IF('Preise Output'!$F$24=1,-('Preise Output'!$L$26-'Preise Output'!$L$24)/12/3,-'Preise Output'!$L$24/12/'Preise Output'!$F$24-('Preise Output'!$L$26-'Preise Output'!$L$24)/12/3),0)</f>
        <v>0</v>
      </c>
      <c r="Z43">
        <f>IFERROR(IF('Preise Output'!$F$24=1,-('Preise Output'!$L$26-'Preise Output'!$L$24)/12/3,-'Preise Output'!$L$24/12/'Preise Output'!$F$24-('Preise Output'!$L$26-'Preise Output'!$L$24)/12/3),0)</f>
        <v>0</v>
      </c>
      <c r="AA43">
        <f>IFERROR(IF('Preise Output'!$F$24=1,-('Preise Output'!$L$26-'Preise Output'!$L$24)/12/3,-'Preise Output'!$L$24/12/'Preise Output'!$F$24-('Preise Output'!$L$26-'Preise Output'!$L$24)/12/3),0)</f>
        <v>0</v>
      </c>
      <c r="AB43">
        <f>IFERROR(IF('Preise Output'!$F$24=1,-('Preise Output'!$L$26-'Preise Output'!$L$24)/12/3,-'Preise Output'!$L$24/12/'Preise Output'!$F$24-('Preise Output'!$L$26-'Preise Output'!$L$24)/12/3),0)</f>
        <v>0</v>
      </c>
      <c r="AC43">
        <f>IFERROR(IF('Preise Output'!$F$24=1,-('Preise Output'!$L$26-'Preise Output'!$L$24)/12/3,-'Preise Output'!$L$24/12/'Preise Output'!$F$24-('Preise Output'!$L$26-'Preise Output'!$L$24)/12/3),0)</f>
        <v>0</v>
      </c>
      <c r="AD43">
        <f>IFERROR(IF('Preise Output'!$F$24=1,-('Preise Output'!$L$26-'Preise Output'!$L$24)/12/3,-'Preise Output'!$L$24/12/'Preise Output'!$F$24-('Preise Output'!$L$26-'Preise Output'!$L$24)/12/3),0)</f>
        <v>0</v>
      </c>
      <c r="AE43">
        <f>IFERROR(IF('Preise Output'!$F$24=1,-('Preise Output'!$L$26-'Preise Output'!$L$24)/12/3,-'Preise Output'!$L$24/12/'Preise Output'!$F$24-('Preise Output'!$L$26-'Preise Output'!$L$24)/12/3),0)</f>
        <v>0</v>
      </c>
      <c r="AF43">
        <f>IFERROR(IF('Preise Output'!$F$24=1,-('Preise Output'!$L$26-'Preise Output'!$L$24)/12/3,-'Preise Output'!$L$24/12/'Preise Output'!$F$24-('Preise Output'!$L$26-'Preise Output'!$L$24)/12/3),0)</f>
        <v>0</v>
      </c>
      <c r="AG43">
        <f>IFERROR(IF('Preise Output'!$F$24=1,-('Preise Output'!$L$26-'Preise Output'!$L$24)/12/3,-'Preise Output'!$L$24/12/'Preise Output'!$F$24-('Preise Output'!$L$26-'Preise Output'!$L$24)/12/3),0)</f>
        <v>0</v>
      </c>
      <c r="AH43">
        <f>IFERROR(IF('Preise Output'!$F$24=1,-('Preise Output'!$L$26-'Preise Output'!$L$24)/12/3,-'Preise Output'!$L$24/12/'Preise Output'!$F$24-('Preise Output'!$L$26-'Preise Output'!$L$24)/12/3),0)</f>
        <v>0</v>
      </c>
      <c r="AI43">
        <f>IFERROR(IF('Preise Output'!$F$24=1,-('Preise Output'!$L$26-'Preise Output'!$L$24)/12/3,-'Preise Output'!$L$24/12/'Preise Output'!$F$24-('Preise Output'!$L$26-'Preise Output'!$L$24)/12/3),0)</f>
        <v>0</v>
      </c>
      <c r="AJ43">
        <f>IFERROR(IF('Preise Output'!$F$24=1,-('Preise Output'!$L$26-'Preise Output'!$L$24)/12/3,-'Preise Output'!$L$24/12/'Preise Output'!$F$24-('Preise Output'!$L$26-'Preise Output'!$L$24)/12/3),0)</f>
        <v>0</v>
      </c>
      <c r="AK43">
        <f>IFERROR(IF('Preise Output'!$F$24=1,-('Preise Output'!$L$26-'Preise Output'!$L$24)/12/3,-'Preise Output'!$L$24/12/'Preise Output'!$F$24-('Preise Output'!$L$26-'Preise Output'!$L$24)/12/3),0)</f>
        <v>0</v>
      </c>
      <c r="AL43">
        <f>IFERROR(IF('Preise Output'!$F$24=1,-('Preise Output'!$L$26-'Preise Output'!$L$24)/12/3,-'Preise Output'!$L$24/12/'Preise Output'!$F$24-('Preise Output'!$L$26-'Preise Output'!$L$24)/12/3),0)</f>
        <v>0</v>
      </c>
      <c r="AM43">
        <f>IFERROR(IF('Preise Output'!$F$24=1,-('Preise Output'!$L$26-'Preise Output'!$L$24)/12/3,-'Preise Output'!$L$24/12/'Preise Output'!$F$24-('Preise Output'!$L$26-'Preise Output'!$L$24)/12/3),0)</f>
        <v>0</v>
      </c>
      <c r="AN43">
        <f t="shared" si="0"/>
        <v>0</v>
      </c>
      <c r="AO43"/>
      <c r="AQ43">
        <f t="shared" si="1"/>
        <v>0</v>
      </c>
      <c r="AR43">
        <f t="shared" si="2"/>
        <v>0</v>
      </c>
      <c r="AS43">
        <f t="shared" si="3"/>
        <v>0</v>
      </c>
      <c r="AT43">
        <f t="shared" si="4"/>
        <v>0</v>
      </c>
      <c r="AU43">
        <f t="shared" si="5"/>
        <v>0</v>
      </c>
      <c r="AV43">
        <f t="shared" si="6"/>
        <v>0</v>
      </c>
      <c r="AW43">
        <f t="shared" si="7"/>
        <v>0</v>
      </c>
      <c r="AX43">
        <f t="shared" si="8"/>
        <v>0</v>
      </c>
      <c r="AY43">
        <f t="shared" si="9"/>
        <v>0</v>
      </c>
      <c r="AZ43">
        <f t="shared" si="10"/>
        <v>0</v>
      </c>
      <c r="BA43">
        <f t="shared" si="11"/>
        <v>0</v>
      </c>
      <c r="BB43">
        <f t="shared" si="12"/>
        <v>0</v>
      </c>
    </row>
    <row r="44" spans="3:54" x14ac:dyDescent="0.3">
      <c r="C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Q44">
        <f t="shared" si="1"/>
        <v>0</v>
      </c>
      <c r="AR44">
        <f t="shared" si="2"/>
        <v>0</v>
      </c>
      <c r="AS44">
        <f t="shared" si="3"/>
        <v>0</v>
      </c>
      <c r="AT44">
        <f t="shared" si="4"/>
        <v>0</v>
      </c>
      <c r="AU44">
        <f t="shared" si="5"/>
        <v>0</v>
      </c>
      <c r="AV44">
        <f t="shared" si="6"/>
        <v>0</v>
      </c>
      <c r="AW44">
        <f t="shared" si="7"/>
        <v>0</v>
      </c>
      <c r="AX44">
        <f t="shared" si="8"/>
        <v>0</v>
      </c>
      <c r="AY44">
        <f t="shared" si="9"/>
        <v>0</v>
      </c>
      <c r="AZ44">
        <f t="shared" si="10"/>
        <v>0</v>
      </c>
      <c r="BA44">
        <f t="shared" si="11"/>
        <v>0</v>
      </c>
      <c r="BB44">
        <f t="shared" si="12"/>
        <v>0</v>
      </c>
    </row>
    <row r="45" spans="3:54" x14ac:dyDescent="0.3">
      <c r="C45" t="s">
        <v>147</v>
      </c>
      <c r="D45" t="e">
        <f t="shared" ref="D45:AM45" si="19">SUM(D6:D7)+D9+D18+D25+D33+D38+D42+D43</f>
        <v>#REF!</v>
      </c>
      <c r="E45" t="e">
        <f t="shared" si="19"/>
        <v>#N/A</v>
      </c>
      <c r="F45" t="e">
        <f t="shared" si="19"/>
        <v>#N/A</v>
      </c>
      <c r="G45" t="e">
        <f t="shared" si="19"/>
        <v>#REF!</v>
      </c>
      <c r="H45" t="e">
        <f t="shared" si="19"/>
        <v>#N/A</v>
      </c>
      <c r="I45" t="e">
        <f t="shared" si="19"/>
        <v>#N/A</v>
      </c>
      <c r="J45" t="e">
        <f t="shared" si="19"/>
        <v>#REF!</v>
      </c>
      <c r="K45" t="e">
        <f t="shared" si="19"/>
        <v>#N/A</v>
      </c>
      <c r="L45" t="e">
        <f t="shared" si="19"/>
        <v>#N/A</v>
      </c>
      <c r="M45" t="e">
        <f t="shared" si="19"/>
        <v>#REF!</v>
      </c>
      <c r="N45" t="e">
        <f t="shared" si="19"/>
        <v>#N/A</v>
      </c>
      <c r="O45" t="e">
        <f t="shared" si="19"/>
        <v>#REF!</v>
      </c>
      <c r="P45" t="e">
        <f t="shared" si="19"/>
        <v>#REF!</v>
      </c>
      <c r="Q45" t="e">
        <f t="shared" si="19"/>
        <v>#N/A</v>
      </c>
      <c r="R45" t="e">
        <f t="shared" si="19"/>
        <v>#N/A</v>
      </c>
      <c r="S45" t="e">
        <f t="shared" si="19"/>
        <v>#REF!</v>
      </c>
      <c r="T45" t="e">
        <f t="shared" si="19"/>
        <v>#N/A</v>
      </c>
      <c r="U45" t="e">
        <f t="shared" si="19"/>
        <v>#N/A</v>
      </c>
      <c r="V45" t="e">
        <f t="shared" si="19"/>
        <v>#REF!</v>
      </c>
      <c r="W45" t="e">
        <f t="shared" si="19"/>
        <v>#N/A</v>
      </c>
      <c r="X45" t="e">
        <f t="shared" si="19"/>
        <v>#N/A</v>
      </c>
      <c r="Y45" t="e">
        <f t="shared" si="19"/>
        <v>#REF!</v>
      </c>
      <c r="Z45" t="e">
        <f t="shared" si="19"/>
        <v>#N/A</v>
      </c>
      <c r="AA45" t="e">
        <f t="shared" si="19"/>
        <v>#REF!</v>
      </c>
      <c r="AB45" t="e">
        <f t="shared" si="19"/>
        <v>#REF!</v>
      </c>
      <c r="AC45" t="e">
        <f t="shared" si="19"/>
        <v>#N/A</v>
      </c>
      <c r="AD45" t="e">
        <f t="shared" si="19"/>
        <v>#N/A</v>
      </c>
      <c r="AE45" t="e">
        <f t="shared" si="19"/>
        <v>#REF!</v>
      </c>
      <c r="AF45" t="e">
        <f t="shared" si="19"/>
        <v>#N/A</v>
      </c>
      <c r="AG45" t="e">
        <f t="shared" si="19"/>
        <v>#N/A</v>
      </c>
      <c r="AH45" t="e">
        <f t="shared" si="19"/>
        <v>#REF!</v>
      </c>
      <c r="AI45" t="e">
        <f t="shared" si="19"/>
        <v>#N/A</v>
      </c>
      <c r="AJ45" t="e">
        <f t="shared" si="19"/>
        <v>#N/A</v>
      </c>
      <c r="AK45" t="e">
        <f t="shared" si="19"/>
        <v>#REF!</v>
      </c>
      <c r="AL45" t="e">
        <f t="shared" si="19"/>
        <v>#N/A</v>
      </c>
      <c r="AM45" t="e">
        <f t="shared" si="19"/>
        <v>#REF!</v>
      </c>
      <c r="AN45" t="e">
        <f>SUM(D45:AM45)</f>
        <v>#REF!</v>
      </c>
      <c r="AO45"/>
      <c r="AQ45" t="e">
        <f t="shared" si="1"/>
        <v>#REF!</v>
      </c>
      <c r="AR45" t="e">
        <f t="shared" si="2"/>
        <v>#REF!</v>
      </c>
      <c r="AS45" t="e">
        <f t="shared" si="3"/>
        <v>#REF!</v>
      </c>
      <c r="AT45" t="e">
        <f t="shared" si="4"/>
        <v>#REF!</v>
      </c>
      <c r="AU45" t="e">
        <f t="shared" si="5"/>
        <v>#REF!</v>
      </c>
      <c r="AV45" t="e">
        <f t="shared" si="6"/>
        <v>#REF!</v>
      </c>
      <c r="AW45" t="e">
        <f t="shared" si="7"/>
        <v>#REF!</v>
      </c>
      <c r="AX45" t="e">
        <f t="shared" si="8"/>
        <v>#REF!</v>
      </c>
      <c r="AY45" t="e">
        <f t="shared" si="9"/>
        <v>#REF!</v>
      </c>
      <c r="AZ45" t="e">
        <f t="shared" si="10"/>
        <v>#REF!</v>
      </c>
      <c r="BA45" t="e">
        <f t="shared" si="11"/>
        <v>#REF!</v>
      </c>
      <c r="BB45" t="e">
        <f t="shared" si="12"/>
        <v>#REF!</v>
      </c>
    </row>
    <row r="46" spans="3:54" x14ac:dyDescent="0.3">
      <c r="C46" t="s">
        <v>148</v>
      </c>
      <c r="D46" t="e">
        <f>D45</f>
        <v>#REF!</v>
      </c>
      <c r="E46" t="e">
        <f>D46+E45</f>
        <v>#REF!</v>
      </c>
      <c r="F46" t="e">
        <f t="shared" ref="F46:G46" si="20">E46+F45</f>
        <v>#REF!</v>
      </c>
      <c r="G46" t="e">
        <f t="shared" si="20"/>
        <v>#REF!</v>
      </c>
      <c r="H46" t="e">
        <f t="shared" ref="H46" si="21">G46+H45</f>
        <v>#REF!</v>
      </c>
      <c r="I46" t="e">
        <f t="shared" ref="I46" si="22">H46+I45</f>
        <v>#REF!</v>
      </c>
      <c r="J46" t="e">
        <f t="shared" ref="J46" si="23">I46+J45</f>
        <v>#REF!</v>
      </c>
      <c r="K46" t="e">
        <f t="shared" ref="K46" si="24">J46+K45</f>
        <v>#REF!</v>
      </c>
      <c r="L46" t="e">
        <f t="shared" ref="L46" si="25">K46+L45</f>
        <v>#REF!</v>
      </c>
      <c r="M46" t="e">
        <f t="shared" ref="M46" si="26">L46+M45</f>
        <v>#REF!</v>
      </c>
      <c r="N46" t="e">
        <f t="shared" ref="N46" si="27">M46+N45</f>
        <v>#REF!</v>
      </c>
      <c r="O46" t="e">
        <f t="shared" ref="O46" si="28">N46+O45</f>
        <v>#REF!</v>
      </c>
      <c r="P46" t="e">
        <f t="shared" ref="P46" si="29">O46+P45</f>
        <v>#REF!</v>
      </c>
      <c r="Q46" t="e">
        <f t="shared" ref="Q46" si="30">P46+Q45</f>
        <v>#REF!</v>
      </c>
      <c r="R46" t="e">
        <f t="shared" ref="R46" si="31">Q46+R45</f>
        <v>#REF!</v>
      </c>
      <c r="S46" t="e">
        <f t="shared" ref="S46" si="32">R46+S45</f>
        <v>#REF!</v>
      </c>
      <c r="T46" t="e">
        <f t="shared" ref="T46" si="33">S46+T45</f>
        <v>#REF!</v>
      </c>
      <c r="U46" t="e">
        <f t="shared" ref="U46" si="34">T46+U45</f>
        <v>#REF!</v>
      </c>
      <c r="V46" t="e">
        <f t="shared" ref="V46" si="35">U46+V45</f>
        <v>#REF!</v>
      </c>
      <c r="W46" t="e">
        <f t="shared" ref="W46" si="36">V46+W45</f>
        <v>#REF!</v>
      </c>
      <c r="X46" t="e">
        <f t="shared" ref="X46" si="37">W46+X45</f>
        <v>#REF!</v>
      </c>
      <c r="Y46" t="e">
        <f t="shared" ref="Y46" si="38">X46+Y45</f>
        <v>#REF!</v>
      </c>
      <c r="Z46" t="e">
        <f t="shared" ref="Z46" si="39">Y46+Z45</f>
        <v>#REF!</v>
      </c>
      <c r="AA46" t="e">
        <f t="shared" ref="AA46" si="40">Z46+AA45</f>
        <v>#REF!</v>
      </c>
      <c r="AB46" t="e">
        <f t="shared" ref="AB46" si="41">AA46+AB45</f>
        <v>#REF!</v>
      </c>
      <c r="AC46" t="e">
        <f t="shared" ref="AC46" si="42">AB46+AC45</f>
        <v>#REF!</v>
      </c>
      <c r="AD46" t="e">
        <f t="shared" ref="AD46" si="43">AC46+AD45</f>
        <v>#REF!</v>
      </c>
      <c r="AE46" t="e">
        <f t="shared" ref="AE46" si="44">AD46+AE45</f>
        <v>#REF!</v>
      </c>
      <c r="AF46" t="e">
        <f t="shared" ref="AF46" si="45">AE46+AF45</f>
        <v>#REF!</v>
      </c>
      <c r="AG46" t="e">
        <f t="shared" ref="AG46" si="46">AF46+AG45</f>
        <v>#REF!</v>
      </c>
      <c r="AH46" t="e">
        <f t="shared" ref="AH46" si="47">AG46+AH45</f>
        <v>#REF!</v>
      </c>
      <c r="AI46" t="e">
        <f t="shared" ref="AI46" si="48">AH46+AI45</f>
        <v>#REF!</v>
      </c>
      <c r="AJ46" t="e">
        <f t="shared" ref="AJ46" si="49">AI46+AJ45</f>
        <v>#REF!</v>
      </c>
      <c r="AK46" t="e">
        <f t="shared" ref="AK46" si="50">AJ46+AK45</f>
        <v>#REF!</v>
      </c>
      <c r="AL46" t="e">
        <f t="shared" ref="AL46" si="51">AK46+AL45</f>
        <v>#REF!</v>
      </c>
      <c r="AM46" t="e">
        <f t="shared" ref="AM46" si="52">AL46+AM45</f>
        <v>#REF!</v>
      </c>
      <c r="AN46"/>
      <c r="AQ46" t="e">
        <f>AQ45</f>
        <v>#REF!</v>
      </c>
      <c r="AR46" t="e">
        <f>AQ46+AR45</f>
        <v>#REF!</v>
      </c>
      <c r="AS46" t="e">
        <f t="shared" ref="AS46:BB46" si="53">AR46+AS45</f>
        <v>#REF!</v>
      </c>
      <c r="AT46" t="e">
        <f t="shared" si="53"/>
        <v>#REF!</v>
      </c>
      <c r="AU46" t="e">
        <f t="shared" si="53"/>
        <v>#REF!</v>
      </c>
      <c r="AV46" t="e">
        <f t="shared" si="53"/>
        <v>#REF!</v>
      </c>
      <c r="AW46" t="e">
        <f t="shared" si="53"/>
        <v>#REF!</v>
      </c>
      <c r="AX46" t="e">
        <f t="shared" si="53"/>
        <v>#REF!</v>
      </c>
      <c r="AY46" t="e">
        <f t="shared" si="53"/>
        <v>#REF!</v>
      </c>
      <c r="AZ46" t="e">
        <f t="shared" si="53"/>
        <v>#REF!</v>
      </c>
      <c r="BA46" t="e">
        <f t="shared" si="53"/>
        <v>#REF!</v>
      </c>
      <c r="BB46" t="e">
        <f t="shared" si="53"/>
        <v>#REF!</v>
      </c>
    </row>
    <row r="48" spans="3:54" x14ac:dyDescent="0.3">
      <c r="AP48" s="12">
        <v>-5000</v>
      </c>
      <c r="AQ48" t="e">
        <f>AQ45+5000</f>
        <v>#REF!</v>
      </c>
      <c r="AR48" t="e">
        <f>AR45</f>
        <v>#REF!</v>
      </c>
      <c r="AS48" t="e">
        <f>AS45</f>
        <v>#REF!</v>
      </c>
      <c r="AT48" t="e">
        <f>AT45</f>
        <v>#REF!</v>
      </c>
    </row>
    <row r="49" spans="43:46" x14ac:dyDescent="0.3">
      <c r="AQ49" t="e">
        <f>AP48+AQ48</f>
        <v>#REF!</v>
      </c>
      <c r="AR49" t="e">
        <f>AQ49+AR48</f>
        <v>#REF!</v>
      </c>
      <c r="AS49" t="e">
        <f>AR49+AS48</f>
        <v>#REF!</v>
      </c>
      <c r="AT49" t="e">
        <f>AS49+AT48</f>
        <v>#REF!</v>
      </c>
    </row>
  </sheetData>
  <phoneticPr fontId="0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A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style="12" customWidth="1"/>
    <col min="2" max="2" width="21.44140625" style="12" customWidth="1"/>
    <col min="3" max="4" width="35" style="12" customWidth="1"/>
    <col min="5" max="5" width="24.44140625" style="12" customWidth="1"/>
    <col min="6" max="6" width="21.44140625" style="12" bestFit="1" customWidth="1"/>
    <col min="7" max="7" width="20.44140625" style="12" customWidth="1"/>
    <col min="8" max="8" width="17.44140625" style="12" customWidth="1"/>
    <col min="9" max="11" width="20.44140625" style="12" customWidth="1"/>
    <col min="12" max="12" width="18.44140625" style="12" customWidth="1"/>
    <col min="13" max="13" width="13.44140625" style="12" bestFit="1" customWidth="1"/>
    <col min="14" max="14" width="13.44140625" style="12" customWidth="1"/>
    <col min="16" max="16" width="13.44140625" customWidth="1"/>
    <col min="17" max="17" width="15.44140625" customWidth="1"/>
    <col min="18" max="18" width="12.44140625" bestFit="1" customWidth="1"/>
    <col min="19" max="19" width="12.5546875" bestFit="1" customWidth="1"/>
    <col min="20" max="20" width="12.5546875" customWidth="1"/>
    <col min="21" max="21" width="13.44140625" bestFit="1" customWidth="1"/>
  </cols>
  <sheetData>
    <row r="2" spans="2:21" customFormat="1" ht="24" customHeight="1" x14ac:dyDescent="0.3">
      <c r="B2" t="s">
        <v>149</v>
      </c>
    </row>
    <row r="3" spans="2:21" x14ac:dyDescent="0.3">
      <c r="F3" s="12" t="s">
        <v>57</v>
      </c>
      <c r="G3" s="12" t="s">
        <v>58</v>
      </c>
      <c r="H3" s="12" t="s">
        <v>67</v>
      </c>
      <c r="I3" s="12" t="s">
        <v>68</v>
      </c>
      <c r="J3" s="12" t="s">
        <v>69</v>
      </c>
      <c r="K3" s="12" t="s">
        <v>150</v>
      </c>
      <c r="L3" s="12" t="s">
        <v>150</v>
      </c>
      <c r="M3" s="12" t="s">
        <v>61</v>
      </c>
    </row>
    <row r="4" spans="2:21" customFormat="1" x14ac:dyDescent="0.3">
      <c r="B4" t="s">
        <v>6</v>
      </c>
      <c r="C4" t="s">
        <v>54</v>
      </c>
      <c r="D4" t="s">
        <v>20</v>
      </c>
      <c r="E4" t="s">
        <v>72</v>
      </c>
      <c r="F4" t="s">
        <v>73</v>
      </c>
      <c r="G4" t="s">
        <v>77</v>
      </c>
      <c r="H4" t="s">
        <v>74</v>
      </c>
      <c r="I4" t="s">
        <v>75</v>
      </c>
      <c r="J4" t="s">
        <v>76</v>
      </c>
      <c r="K4" t="s">
        <v>78</v>
      </c>
      <c r="L4" t="s">
        <v>79</v>
      </c>
      <c r="M4" t="s">
        <v>80</v>
      </c>
      <c r="N4" t="s">
        <v>60</v>
      </c>
      <c r="P4" t="s">
        <v>151</v>
      </c>
      <c r="Q4" t="s">
        <v>152</v>
      </c>
      <c r="R4" t="s">
        <v>144</v>
      </c>
      <c r="S4" t="s">
        <v>87</v>
      </c>
      <c r="T4" t="s">
        <v>153</v>
      </c>
      <c r="U4" t="s">
        <v>23</v>
      </c>
    </row>
    <row r="5" spans="2:21" customFormat="1" x14ac:dyDescent="0.3">
      <c r="B5" t="s">
        <v>83</v>
      </c>
      <c r="C5" t="s">
        <v>174</v>
      </c>
      <c r="D5" t="e">
        <f>'Preise Output'!#REF!</f>
        <v>#REF!</v>
      </c>
      <c r="E5">
        <v>0</v>
      </c>
      <c r="F5" t="e">
        <f>$D5*INDEX(Produktpreise!$B$4:$S$26,MATCH(Kosten!$C5,Produktpreise!$C$4:$C$26,0),MATCH(Kosten!F$4,Produktpreise!$B$4:$S$4,0))</f>
        <v>#REF!</v>
      </c>
      <c r="G5" t="e">
        <f>$D5*INDEX(Produktpreise!$B$4:$S$26,MATCH(Kosten!$C5,Produktpreise!$C$4:$C$26,0),MATCH(Kosten!G$4,Produktpreise!$B$4:$S$4,0))</f>
        <v>#REF!</v>
      </c>
      <c r="H5" t="e">
        <f>$D5*INDEX(Produktpreise!$B$4:$S$26,MATCH(Kosten!$C5,Produktpreise!$C$4:$C$26,0),MATCH(Kosten!H$4,Produktpreise!$B$4:$S$4,0))</f>
        <v>#REF!</v>
      </c>
      <c r="I5" t="e">
        <f>$D5*INDEX(Produktpreise!$B$4:$S$26,MATCH(Kosten!$C5,Produktpreise!$C$4:$C$26,0),MATCH(Kosten!I$4,Produktpreise!$B$4:$S$4,0))</f>
        <v>#REF!</v>
      </c>
      <c r="J5" t="e">
        <f>$D5*INDEX(Produktpreise!$B$4:$S$26,MATCH(Kosten!$C5,Produktpreise!$C$4:$C$26,0),MATCH(Kosten!J$4,Produktpreise!$B$4:$S$4,0))</f>
        <v>#REF!</v>
      </c>
      <c r="L5" t="e">
        <f>$D5*INDEX(Produktpreise!$B$4:$S$26,MATCH(Kosten!$C5,Produktpreise!$C$4:$C$26,0),MATCH(Kosten!L$4,Produktpreise!$B$4:$S$4,0))</f>
        <v>#REF!</v>
      </c>
      <c r="M5" t="e">
        <f>$D5*INDEX(Produktpreise!$B$4:$S$26,MATCH(Kosten!$C5,Produktpreise!$C$4:$C$26,0),MATCH(Kosten!M$4,Produktpreise!$B$4:$S$4,0))</f>
        <v>#REF!</v>
      </c>
      <c r="N5" t="e">
        <f>$D5*INDEX(Produktpreise!$B$4:$S$26,MATCH(Kosten!$C5,Produktpreise!$C$4:$C$26,0),MATCH(Kosten!N$4,Produktpreise!$B$4:$S$4,0))</f>
        <v>#REF!</v>
      </c>
      <c r="P5" t="e">
        <f>'Preise Output'!#REF!</f>
        <v>#REF!</v>
      </c>
      <c r="Q5" t="e">
        <f>SUM(F5:G5)</f>
        <v>#REF!</v>
      </c>
      <c r="R5" t="e">
        <f>H5+I5*2+J5*3+M5*3+N5</f>
        <v>#REF!</v>
      </c>
      <c r="S5" t="e">
        <f>'Preise Output'!#REF!</f>
        <v>#REF!</v>
      </c>
      <c r="T5" t="e">
        <f>SUM(Q5:S5)</f>
        <v>#REF!</v>
      </c>
      <c r="U5" t="e">
        <f>P5-T5</f>
        <v>#REF!</v>
      </c>
    </row>
    <row r="6" spans="2:21" customFormat="1" x14ac:dyDescent="0.3">
      <c r="B6" t="s">
        <v>83</v>
      </c>
      <c r="C6" t="s">
        <v>175</v>
      </c>
      <c r="D6" t="e">
        <f>'Preise Output'!#REF!</f>
        <v>#REF!</v>
      </c>
      <c r="E6">
        <v>0</v>
      </c>
      <c r="F6" t="e">
        <f>$D6*INDEX(Produktpreise!$B$4:$S$26,MATCH(Kosten!$C6,Produktpreise!$C$4:$C$26,0),MATCH(Kosten!F$4,Produktpreise!$B$4:$S$4,0))</f>
        <v>#REF!</v>
      </c>
      <c r="G6" t="e">
        <f>$D6*INDEX(Produktpreise!$B$4:$S$26,MATCH(Kosten!$C6,Produktpreise!$C$4:$C$26,0),MATCH(Kosten!G$4,Produktpreise!$B$4:$S$4,0))</f>
        <v>#REF!</v>
      </c>
      <c r="H6" t="e">
        <f>$D6*INDEX(Produktpreise!$B$4:$S$26,MATCH(Kosten!$C6,Produktpreise!$C$4:$C$26,0),MATCH(Kosten!H$4,Produktpreise!$B$4:$S$4,0))</f>
        <v>#REF!</v>
      </c>
      <c r="I6" t="e">
        <f>$D6*INDEX(Produktpreise!$B$4:$S$26,MATCH(Kosten!$C6,Produktpreise!$C$4:$C$26,0),MATCH(Kosten!I$4,Produktpreise!$B$4:$S$4,0))</f>
        <v>#REF!</v>
      </c>
      <c r="J6" t="e">
        <f>$D6*INDEX(Produktpreise!$B$4:$S$26,MATCH(Kosten!$C6,Produktpreise!$C$4:$C$26,0),MATCH(Kosten!J$4,Produktpreise!$B$4:$S$4,0))</f>
        <v>#REF!</v>
      </c>
      <c r="L6" t="e">
        <f>$D6*INDEX(Produktpreise!$B$4:$S$26,MATCH(Kosten!$C6,Produktpreise!$C$4:$C$26,0),MATCH(Kosten!L$4,Produktpreise!$B$4:$S$4,0))</f>
        <v>#REF!</v>
      </c>
      <c r="M6" t="e">
        <f>$D6*INDEX(Produktpreise!$B$4:$S$26,MATCH(Kosten!$C6,Produktpreise!$C$4:$C$26,0),MATCH(Kosten!M$4,Produktpreise!$B$4:$S$4,0))</f>
        <v>#REF!</v>
      </c>
      <c r="N6" t="e">
        <f>$D6*INDEX(Produktpreise!$B$4:$S$26,MATCH(Kosten!$C6,Produktpreise!$C$4:$C$26,0),MATCH(Kosten!N$4,Produktpreise!$B$4:$S$4,0))</f>
        <v>#REF!</v>
      </c>
      <c r="P6" t="e">
        <f>'Preise Output'!#REF!</f>
        <v>#REF!</v>
      </c>
      <c r="Q6" t="e">
        <f>SUM(F6:G6)</f>
        <v>#REF!</v>
      </c>
      <c r="R6" t="e">
        <f>H6+I6*2+J6*3+M6*3+N6</f>
        <v>#REF!</v>
      </c>
      <c r="S6" t="e">
        <f>'Preise Output'!#REF!</f>
        <v>#REF!</v>
      </c>
      <c r="T6" t="e">
        <f t="shared" ref="T6:T27" si="0">SUM(Q6:S6)</f>
        <v>#REF!</v>
      </c>
      <c r="U6" t="e">
        <f t="shared" ref="U6:U27" si="1">P6-T6</f>
        <v>#REF!</v>
      </c>
    </row>
    <row r="7" spans="2:21" customFormat="1" x14ac:dyDescent="0.3">
      <c r="B7" t="s">
        <v>83</v>
      </c>
      <c r="C7" t="s">
        <v>181</v>
      </c>
      <c r="D7" t="e">
        <f>'Preise Output'!#REF!</f>
        <v>#REF!</v>
      </c>
      <c r="E7">
        <v>0</v>
      </c>
      <c r="F7" t="e">
        <f>$D7*INDEX(Produktpreise!$B$4:$S$26,MATCH(Kosten!$C7,Produktpreise!$C$4:$C$26,0),MATCH(Kosten!F$4,Produktpreise!$B$4:$S$4,0))</f>
        <v>#REF!</v>
      </c>
      <c r="G7" t="e">
        <f>$D7*INDEX(Produktpreise!$B$4:$S$26,MATCH(Kosten!$C7,Produktpreise!$C$4:$C$26,0),MATCH(Kosten!G$4,Produktpreise!$B$4:$S$4,0))</f>
        <v>#REF!</v>
      </c>
      <c r="H7" t="e">
        <f>$D7*INDEX(Produktpreise!$B$4:$S$26,MATCH(Kosten!$C7,Produktpreise!$C$4:$C$26,0),MATCH(Kosten!H$4,Produktpreise!$B$4:$S$4,0))</f>
        <v>#REF!</v>
      </c>
      <c r="I7" t="e">
        <f>$D7*INDEX(Produktpreise!$B$4:$S$26,MATCH(Kosten!$C7,Produktpreise!$C$4:$C$26,0),MATCH(Kosten!I$4,Produktpreise!$B$4:$S$4,0))</f>
        <v>#REF!</v>
      </c>
      <c r="J7" t="e">
        <f>$D7*INDEX(Produktpreise!$B$4:$S$26,MATCH(Kosten!$C7,Produktpreise!$C$4:$C$26,0),MATCH(Kosten!J$4,Produktpreise!$B$4:$S$4,0))</f>
        <v>#REF!</v>
      </c>
      <c r="L7" t="e">
        <f>$D7*INDEX(Produktpreise!$B$4:$S$26,MATCH(Kosten!$C7,Produktpreise!$C$4:$C$26,0),MATCH(Kosten!L$4,Produktpreise!$B$4:$S$4,0))</f>
        <v>#REF!</v>
      </c>
      <c r="M7" t="e">
        <f>$D7*INDEX(Produktpreise!$B$4:$S$26,MATCH(Kosten!$C7,Produktpreise!$C$4:$C$26,0),MATCH(Kosten!M$4,Produktpreise!$B$4:$S$4,0))</f>
        <v>#REF!</v>
      </c>
      <c r="N7" t="e">
        <f>$D7*INDEX(Produktpreise!$B$4:$S$26,MATCH(Kosten!$C7,Produktpreise!$C$4:$C$26,0),MATCH(Kosten!N$4,Produktpreise!$B$4:$S$4,0))</f>
        <v>#REF!</v>
      </c>
      <c r="P7" t="e">
        <f>'Preise Output'!#REF!</f>
        <v>#REF!</v>
      </c>
      <c r="Q7" t="e">
        <f>SUM(F7:G7)</f>
        <v>#REF!</v>
      </c>
      <c r="R7" t="e">
        <f>H7+I7*2+J7*3+M7*3+N7</f>
        <v>#REF!</v>
      </c>
      <c r="S7" t="e">
        <f>'Preise Output'!#REF!</f>
        <v>#REF!</v>
      </c>
      <c r="T7" t="e">
        <f t="shared" si="0"/>
        <v>#REF!</v>
      </c>
      <c r="U7" t="e">
        <f t="shared" si="1"/>
        <v>#REF!</v>
      </c>
    </row>
    <row r="8" spans="2:21" customFormat="1" x14ac:dyDescent="0.3">
      <c r="B8" t="s">
        <v>83</v>
      </c>
      <c r="C8" t="s">
        <v>178</v>
      </c>
      <c r="D8" t="e">
        <f>'Preise Output'!#REF!</f>
        <v>#REF!</v>
      </c>
      <c r="E8">
        <v>0</v>
      </c>
      <c r="F8" t="e">
        <f>$D8*INDEX(Produktpreise!$B$4:$S$26,MATCH(Kosten!$C8,Produktpreise!$C$4:$C$26,0),MATCH(Kosten!F$4,Produktpreise!$B$4:$S$4,0))</f>
        <v>#REF!</v>
      </c>
      <c r="G8" t="e">
        <f>$D8*INDEX(Produktpreise!$B$4:$S$26,MATCH(Kosten!$C8,Produktpreise!$C$4:$C$26,0),MATCH(Kosten!G$4,Produktpreise!$B$4:$S$4,0))</f>
        <v>#REF!</v>
      </c>
      <c r="H8" t="e">
        <f>$D8*INDEX(Produktpreise!$B$4:$S$26,MATCH(Kosten!$C8,Produktpreise!$C$4:$C$26,0),MATCH(Kosten!H$4,Produktpreise!$B$4:$S$4,0))</f>
        <v>#REF!</v>
      </c>
      <c r="I8" t="e">
        <f>$D8*INDEX(Produktpreise!$B$4:$S$26,MATCH(Kosten!$C8,Produktpreise!$C$4:$C$26,0),MATCH(Kosten!I$4,Produktpreise!$B$4:$S$4,0))</f>
        <v>#REF!</v>
      </c>
      <c r="J8" t="e">
        <f>$D8*INDEX(Produktpreise!$B$4:$S$26,MATCH(Kosten!$C8,Produktpreise!$C$4:$C$26,0),MATCH(Kosten!J$4,Produktpreise!$B$4:$S$4,0))</f>
        <v>#REF!</v>
      </c>
      <c r="L8" t="e">
        <f>$D8*INDEX(Produktpreise!$B$4:$S$26,MATCH(Kosten!$C8,Produktpreise!$C$4:$C$26,0),MATCH(Kosten!L$4,Produktpreise!$B$4:$S$4,0))</f>
        <v>#REF!</v>
      </c>
      <c r="M8" t="e">
        <f>$D8*INDEX(Produktpreise!$B$4:$S$26,MATCH(Kosten!$C8,Produktpreise!$C$4:$C$26,0),MATCH(Kosten!M$4,Produktpreise!$B$4:$S$4,0))</f>
        <v>#REF!</v>
      </c>
      <c r="N8" t="e">
        <f>$D8*INDEX(Produktpreise!$B$4:$S$26,MATCH(Kosten!$C8,Produktpreise!$C$4:$C$26,0),MATCH(Kosten!N$4,Produktpreise!$B$4:$S$4,0))</f>
        <v>#REF!</v>
      </c>
    </row>
    <row r="9" spans="2:21" customFormat="1" x14ac:dyDescent="0.3">
      <c r="B9" t="s">
        <v>83</v>
      </c>
      <c r="C9" t="s">
        <v>33</v>
      </c>
      <c r="D9" t="e">
        <f>'Preise Output'!#REF!</f>
        <v>#REF!</v>
      </c>
      <c r="E9">
        <v>0</v>
      </c>
      <c r="F9" t="e">
        <f>$D9*INDEX(Produktpreise!$B$4:$S$26,MATCH(Kosten!$C9,Produktpreise!$C$4:$C$26,0),MATCH(Kosten!F$4,Produktpreise!$B$4:$S$4,0))</f>
        <v>#REF!</v>
      </c>
      <c r="G9" t="e">
        <f>$D9*INDEX(Produktpreise!$B$4:$S$26,MATCH(Kosten!$C9,Produktpreise!$C$4:$C$26,0),MATCH(Kosten!G$4,Produktpreise!$B$4:$S$4,0))</f>
        <v>#REF!</v>
      </c>
      <c r="H9" t="e">
        <f>$D9*INDEX(Produktpreise!$B$4:$S$26,MATCH(Kosten!$C9,Produktpreise!$C$4:$C$26,0),MATCH(Kosten!H$4,Produktpreise!$B$4:$S$4,0))</f>
        <v>#REF!</v>
      </c>
      <c r="I9" t="e">
        <f>$D9*INDEX(Produktpreise!$B$4:$S$26,MATCH(Kosten!$C9,Produktpreise!$C$4:$C$26,0),MATCH(Kosten!I$4,Produktpreise!$B$4:$S$4,0))</f>
        <v>#REF!</v>
      </c>
      <c r="J9" t="e">
        <f>$D9*INDEX(Produktpreise!$B$4:$S$26,MATCH(Kosten!$C9,Produktpreise!$C$4:$C$26,0),MATCH(Kosten!J$4,Produktpreise!$B$4:$S$4,0))</f>
        <v>#REF!</v>
      </c>
      <c r="L9" t="e">
        <f>$D9*INDEX(Produktpreise!$B$4:$S$26,MATCH(Kosten!$C9,Produktpreise!$C$4:$C$26,0),MATCH(Kosten!L$4,Produktpreise!$B$4:$S$4,0))</f>
        <v>#REF!</v>
      </c>
      <c r="M9" t="e">
        <f>$D9*INDEX(Produktpreise!$B$4:$S$26,MATCH(Kosten!$C9,Produktpreise!$C$4:$C$26,0),MATCH(Kosten!M$4,Produktpreise!$B$4:$S$4,0))</f>
        <v>#REF!</v>
      </c>
      <c r="N9" t="e">
        <f>$D9*INDEX(Produktpreise!$B$4:$S$26,MATCH(Kosten!$C9,Produktpreise!$C$4:$C$26,0),MATCH(Kosten!N$4,Produktpreise!$B$4:$S$4,0))</f>
        <v>#REF!</v>
      </c>
      <c r="P9" t="e">
        <f>'Preise Output'!#REF!</f>
        <v>#REF!</v>
      </c>
      <c r="Q9" t="e">
        <f>SUM(F9:G9)</f>
        <v>#REF!</v>
      </c>
      <c r="R9" t="e">
        <f>H9+I9*2+J9*3+M9*3+N9</f>
        <v>#REF!</v>
      </c>
      <c r="S9" t="e">
        <f>'Preise Output'!#REF!</f>
        <v>#REF!</v>
      </c>
      <c r="T9" t="e">
        <f t="shared" ref="T9" si="2">SUM(Q9:S9)</f>
        <v>#REF!</v>
      </c>
      <c r="U9" t="e">
        <f t="shared" ref="U9" si="3">P9-T9</f>
        <v>#REF!</v>
      </c>
    </row>
    <row r="10" spans="2:21" customFormat="1" x14ac:dyDescent="0.3">
      <c r="B10" t="s">
        <v>85</v>
      </c>
      <c r="C10" t="s">
        <v>171</v>
      </c>
      <c r="D10" t="e">
        <f>'Preise Output'!#REF!</f>
        <v>#REF!</v>
      </c>
      <c r="E10">
        <v>0</v>
      </c>
      <c r="F10" t="e">
        <f>$D10*INDEX(Produktpreise!$B$4:$S$26,MATCH(Kosten!$C10,Produktpreise!$C$4:$C$26,0),MATCH(Kosten!F$4,Produktpreise!$B$4:$S$4,0))</f>
        <v>#REF!</v>
      </c>
      <c r="G10" t="e">
        <f>$D10*INDEX(Produktpreise!$B$4:$S$26,MATCH(Kosten!$C10,Produktpreise!$C$4:$C$26,0),MATCH(Kosten!G$4,Produktpreise!$B$4:$S$4,0))</f>
        <v>#REF!</v>
      </c>
      <c r="H10" t="e">
        <f>$D10*INDEX(Produktpreise!$B$4:$S$26,MATCH(Kosten!$C10,Produktpreise!$C$4:$C$26,0),MATCH(Kosten!H$4,Produktpreise!$B$4:$S$4,0))</f>
        <v>#REF!</v>
      </c>
      <c r="I10" t="e">
        <f>$D10*INDEX(Produktpreise!$B$4:$S$26,MATCH(Kosten!$C10,Produktpreise!$C$4:$C$26,0),MATCH(Kosten!I$4,Produktpreise!$B$4:$S$4,0))</f>
        <v>#REF!</v>
      </c>
      <c r="J10" t="e">
        <f>$D10*INDEX(Produktpreise!$B$4:$S$26,MATCH(Kosten!$C10,Produktpreise!$C$4:$C$26,0),MATCH(Kosten!J$4,Produktpreise!$B$4:$S$4,0))</f>
        <v>#REF!</v>
      </c>
      <c r="L10" t="e">
        <f>$D10*INDEX(Produktpreise!$B$4:$S$26,MATCH(Kosten!$C10,Produktpreise!$C$4:$C$26,0),MATCH(Kosten!L$4,Produktpreise!$B$4:$S$4,0))</f>
        <v>#REF!</v>
      </c>
      <c r="M10" t="e">
        <f>$D10*INDEX(Produktpreise!$B$4:$S$26,MATCH(Kosten!$C10,Produktpreise!$C$4:$C$26,0),MATCH(Kosten!M$4,Produktpreise!$B$4:$S$4,0))</f>
        <v>#REF!</v>
      </c>
      <c r="N10" t="e">
        <f>$D10*INDEX(Produktpreise!$B$4:$S$26,MATCH(Kosten!$C10,Produktpreise!$C$4:$C$26,0),MATCH(Kosten!N$4,Produktpreise!$B$4:$S$4,0))</f>
        <v>#REF!</v>
      </c>
      <c r="P10" t="e">
        <f>'Preise Output'!#REF!</f>
        <v>#REF!</v>
      </c>
      <c r="Q10" t="e">
        <f t="shared" ref="Q10:Q13" si="4">SUM(F10:G10)</f>
        <v>#REF!</v>
      </c>
      <c r="R10" t="e">
        <f>H10+I10*2+J10*3+M10*3+N10</f>
        <v>#REF!</v>
      </c>
      <c r="S10" t="e">
        <f>'Preise Output'!#REF!</f>
        <v>#REF!</v>
      </c>
      <c r="T10" t="e">
        <f t="shared" si="0"/>
        <v>#REF!</v>
      </c>
      <c r="U10" t="e">
        <f t="shared" si="1"/>
        <v>#REF!</v>
      </c>
    </row>
    <row r="11" spans="2:21" customFormat="1" x14ac:dyDescent="0.3">
      <c r="B11" t="s">
        <v>85</v>
      </c>
      <c r="C11" t="s">
        <v>34</v>
      </c>
      <c r="D11">
        <f>'Preise Output'!D19</f>
        <v>0</v>
      </c>
      <c r="E11">
        <v>0</v>
      </c>
      <c r="F11" t="e">
        <f>$D11*INDEX(Produktpreise!$B$4:$S$26,MATCH(Kosten!$C11,Produktpreise!$C$4:$C$26,0),MATCH(Kosten!F$4,Produktpreise!$B$4:$S$4,0))</f>
        <v>#N/A</v>
      </c>
      <c r="G11" t="e">
        <f>$D11*INDEX(Produktpreise!$B$4:$S$26,MATCH(Kosten!$C11,Produktpreise!$C$4:$C$26,0),MATCH(Kosten!G$4,Produktpreise!$B$4:$S$4,0))</f>
        <v>#N/A</v>
      </c>
      <c r="H11" t="e">
        <f>$D11*INDEX(Produktpreise!$B$4:$S$26,MATCH(Kosten!$C11,Produktpreise!$C$4:$C$26,0),MATCH(Kosten!H$4,Produktpreise!$B$4:$S$4,0))</f>
        <v>#N/A</v>
      </c>
      <c r="I11" t="e">
        <f>$D11*INDEX(Produktpreise!$B$4:$S$26,MATCH(Kosten!$C11,Produktpreise!$C$4:$C$26,0),MATCH(Kosten!I$4,Produktpreise!$B$4:$S$4,0))</f>
        <v>#N/A</v>
      </c>
      <c r="J11" t="e">
        <f>$D11*INDEX(Produktpreise!$B$4:$S$26,MATCH(Kosten!$C11,Produktpreise!$C$4:$C$26,0),MATCH(Kosten!J$4,Produktpreise!$B$4:$S$4,0))</f>
        <v>#N/A</v>
      </c>
      <c r="L11" t="e">
        <f>$D11*INDEX(Produktpreise!$B$4:$S$26,MATCH(Kosten!$C11,Produktpreise!$C$4:$C$26,0),MATCH(Kosten!L$4,Produktpreise!$B$4:$S$4,0))</f>
        <v>#N/A</v>
      </c>
      <c r="M11" t="e">
        <f>$D11*INDEX(Produktpreise!$B$4:$S$26,MATCH(Kosten!$C11,Produktpreise!$C$4:$C$26,0),MATCH(Kosten!M$4,Produktpreise!$B$4:$S$4,0))</f>
        <v>#N/A</v>
      </c>
      <c r="N11" t="e">
        <f>$D11*INDEX(Produktpreise!$B$4:$S$26,MATCH(Kosten!$C11,Produktpreise!$C$4:$C$26,0),MATCH(Kosten!N$4,Produktpreise!$B$4:$S$4,0))</f>
        <v>#N/A</v>
      </c>
      <c r="P11">
        <f>'Preise Output'!I19</f>
        <v>0</v>
      </c>
      <c r="Q11" t="e">
        <f t="shared" si="4"/>
        <v>#N/A</v>
      </c>
      <c r="R11" t="e">
        <f>H11+I11*2+J11*3+M11*3+N11</f>
        <v>#N/A</v>
      </c>
      <c r="S11">
        <f>'Preise Output'!L19</f>
        <v>0</v>
      </c>
      <c r="T11" t="e">
        <f t="shared" si="0"/>
        <v>#N/A</v>
      </c>
      <c r="U11" t="e">
        <f t="shared" si="1"/>
        <v>#N/A</v>
      </c>
    </row>
    <row r="12" spans="2:21" customFormat="1" x14ac:dyDescent="0.3">
      <c r="B12" t="s">
        <v>86</v>
      </c>
      <c r="C12" t="s">
        <v>35</v>
      </c>
      <c r="D12">
        <f>'Preise Output'!D20</f>
        <v>0</v>
      </c>
      <c r="F12" t="e">
        <f>$D12*INDEX(Produktpreise!$B$4:$S$26,MATCH(Kosten!$C12,Produktpreise!$C$4:$C$26,0),MATCH(Kosten!F$4,Produktpreise!$B$4:$S$4,0))</f>
        <v>#N/A</v>
      </c>
      <c r="G12" t="e">
        <f>$D12*INDEX(Produktpreise!$B$4:$S$26,MATCH(Kosten!$C12,Produktpreise!$C$4:$C$26,0),MATCH(Kosten!G$4,Produktpreise!$B$4:$S$4,0))</f>
        <v>#N/A</v>
      </c>
      <c r="H12" t="e">
        <f>$D12*INDEX(Produktpreise!$B$4:$S$26,MATCH(Kosten!$C12,Produktpreise!$C$4:$C$26,0),MATCH(Kosten!H$4,Produktpreise!$B$4:$S$4,0))</f>
        <v>#N/A</v>
      </c>
      <c r="I12" t="e">
        <f>$D12*INDEX(Produktpreise!$B$4:$S$26,MATCH(Kosten!$C12,Produktpreise!$C$4:$C$26,0),MATCH(Kosten!I$4,Produktpreise!$B$4:$S$4,0))</f>
        <v>#N/A</v>
      </c>
      <c r="J12" t="e">
        <f>$D12*INDEX(Produktpreise!$B$4:$S$26,MATCH(Kosten!$C12,Produktpreise!$C$4:$C$26,0),MATCH(Kosten!J$4,Produktpreise!$B$4:$S$4,0))</f>
        <v>#N/A</v>
      </c>
      <c r="K12" t="e">
        <f>$D12*INDEX(Produktpreise!$B$4:$S$26,MATCH(Kosten!$C12,Produktpreise!$C$4:$C$26,0),MATCH(Kosten!K$4,Produktpreise!$B$4:$S$4,0))</f>
        <v>#N/A</v>
      </c>
      <c r="L12" t="e">
        <f>$D12*INDEX(Produktpreise!$B$4:$S$26,MATCH(Kosten!$C12,Produktpreise!$C$4:$C$26,0),MATCH(Kosten!L$4,Produktpreise!$B$4:$S$4,0))</f>
        <v>#N/A</v>
      </c>
      <c r="M12" t="e">
        <f>$D12*INDEX(Produktpreise!$B$4:$S$26,MATCH(Kosten!$C12,Produktpreise!$C$4:$C$26,0),MATCH(Kosten!M$4,Produktpreise!$B$4:$S$4,0))</f>
        <v>#N/A</v>
      </c>
      <c r="N12" t="e">
        <f>$D12*INDEX(Produktpreise!$B$4:$S$26,MATCH(Kosten!$C12,Produktpreise!$C$4:$C$26,0),MATCH(Kosten!N$4,Produktpreise!$B$4:$S$4,0))</f>
        <v>#N/A</v>
      </c>
      <c r="P12">
        <f>'Preise Output'!I20</f>
        <v>0</v>
      </c>
      <c r="Q12" t="e">
        <f t="shared" si="4"/>
        <v>#N/A</v>
      </c>
      <c r="R12" t="e">
        <f>H12+I12*2+J12*3+M12*3+N12+L12*3+K12*3</f>
        <v>#N/A</v>
      </c>
      <c r="S12">
        <f>'Preise Output'!L20</f>
        <v>0</v>
      </c>
      <c r="T12" t="e">
        <f t="shared" ref="T12:T13" si="5">SUM(Q12:S12)</f>
        <v>#N/A</v>
      </c>
      <c r="U12" t="e">
        <f t="shared" ref="U12:U13" si="6">P12-T12</f>
        <v>#N/A</v>
      </c>
    </row>
    <row r="13" spans="2:21" customFormat="1" x14ac:dyDescent="0.3">
      <c r="B13" t="s">
        <v>86</v>
      </c>
      <c r="C13" t="s">
        <v>37</v>
      </c>
      <c r="D13">
        <f>'Preise Output'!D21</f>
        <v>0</v>
      </c>
      <c r="F13" t="e">
        <f>$D13*INDEX(Produktpreise!$B$4:$S$26,MATCH(Kosten!$C13,Produktpreise!$C$4:$C$26,0),MATCH(Kosten!F$4,Produktpreise!$B$4:$S$4,0))</f>
        <v>#N/A</v>
      </c>
      <c r="G13" t="e">
        <f>$D13*INDEX(Produktpreise!$B$4:$S$26,MATCH(Kosten!$C13,Produktpreise!$C$4:$C$26,0),MATCH(Kosten!G$4,Produktpreise!$B$4:$S$4,0))</f>
        <v>#N/A</v>
      </c>
      <c r="H13" t="e">
        <f>$D13*INDEX(Produktpreise!$B$4:$S$26,MATCH(Kosten!$C13,Produktpreise!$C$4:$C$26,0),MATCH(Kosten!H$4,Produktpreise!$B$4:$S$4,0))</f>
        <v>#N/A</v>
      </c>
      <c r="I13" t="e">
        <f>$D13*INDEX(Produktpreise!$B$4:$S$26,MATCH(Kosten!$C13,Produktpreise!$C$4:$C$26,0),MATCH(Kosten!I$4,Produktpreise!$B$4:$S$4,0))</f>
        <v>#N/A</v>
      </c>
      <c r="J13" t="e">
        <f>$D13*INDEX(Produktpreise!$B$4:$S$26,MATCH(Kosten!$C13,Produktpreise!$C$4:$C$26,0),MATCH(Kosten!J$4,Produktpreise!$B$4:$S$4,0))</f>
        <v>#N/A</v>
      </c>
      <c r="K13" t="e">
        <f>$D13*INDEX(Produktpreise!$B$4:$S$26,MATCH(Kosten!$C13,Produktpreise!$C$4:$C$26,0),MATCH(Kosten!K$4,Produktpreise!$B$4:$S$4,0))</f>
        <v>#N/A</v>
      </c>
      <c r="L13" t="e">
        <f>$D13*INDEX(Produktpreise!$B$4:$S$26,MATCH(Kosten!$C13,Produktpreise!$C$4:$C$26,0),MATCH(Kosten!L$4,Produktpreise!$B$4:$S$4,0))</f>
        <v>#N/A</v>
      </c>
      <c r="M13" t="e">
        <f>$D13*INDEX(Produktpreise!$B$4:$S$26,MATCH(Kosten!$C13,Produktpreise!$C$4:$C$26,0),MATCH(Kosten!M$4,Produktpreise!$B$4:$S$4,0))</f>
        <v>#N/A</v>
      </c>
      <c r="N13" t="e">
        <f>$D13*INDEX(Produktpreise!$B$4:$S$26,MATCH(Kosten!$C13,Produktpreise!$C$4:$C$26,0),MATCH(Kosten!N$4,Produktpreise!$B$4:$S$4,0))</f>
        <v>#N/A</v>
      </c>
      <c r="P13">
        <f>'Preise Output'!I21</f>
        <v>0</v>
      </c>
      <c r="Q13" t="e">
        <f t="shared" si="4"/>
        <v>#N/A</v>
      </c>
      <c r="R13" t="e">
        <f>H13+I13*2+J13*3+M13*3+N13+L13*3+K13*3</f>
        <v>#N/A</v>
      </c>
      <c r="S13">
        <f>'Preise Output'!L21</f>
        <v>0</v>
      </c>
      <c r="T13" t="e">
        <f t="shared" si="5"/>
        <v>#N/A</v>
      </c>
      <c r="U13" t="e">
        <f t="shared" si="6"/>
        <v>#N/A</v>
      </c>
    </row>
    <row r="14" spans="2:21" customFormat="1" x14ac:dyDescent="0.3">
      <c r="B14" t="s">
        <v>86</v>
      </c>
      <c r="C14" t="s">
        <v>38</v>
      </c>
      <c r="D14">
        <f>'Preise Output'!D22</f>
        <v>0</v>
      </c>
      <c r="F14" t="e">
        <f>$D14*INDEX(Produktpreise!$B$4:$S$26,MATCH(Kosten!$C14,Produktpreise!$C$4:$C$26,0),MATCH(Kosten!F$4,Produktpreise!$B$4:$S$4,0))</f>
        <v>#N/A</v>
      </c>
      <c r="G14" t="e">
        <f>$D14*INDEX(Produktpreise!$B$4:$S$26,MATCH(Kosten!$C14,Produktpreise!$C$4:$C$26,0),MATCH(Kosten!G$4,Produktpreise!$B$4:$S$4,0))</f>
        <v>#N/A</v>
      </c>
      <c r="H14" t="e">
        <f>$D14*INDEX(Produktpreise!$B$4:$S$26,MATCH(Kosten!$C14,Produktpreise!$C$4:$C$26,0),MATCH(Kosten!H$4,Produktpreise!$B$4:$S$4,0))</f>
        <v>#N/A</v>
      </c>
      <c r="I14" t="e">
        <f>$D14*INDEX(Produktpreise!$B$4:$S$26,MATCH(Kosten!$C14,Produktpreise!$C$4:$C$26,0),MATCH(Kosten!I$4,Produktpreise!$B$4:$S$4,0))</f>
        <v>#N/A</v>
      </c>
      <c r="J14" t="e">
        <f>$D14*INDEX(Produktpreise!$B$4:$S$26,MATCH(Kosten!$C14,Produktpreise!$C$4:$C$26,0),MATCH(Kosten!J$4,Produktpreise!$B$4:$S$4,0))</f>
        <v>#N/A</v>
      </c>
      <c r="K14" t="e">
        <f>$D14*INDEX(Produktpreise!$B$4:$S$26,MATCH(Kosten!$C14,Produktpreise!$C$4:$C$26,0),MATCH(Kosten!K$4,Produktpreise!$B$4:$S$4,0))</f>
        <v>#N/A</v>
      </c>
      <c r="L14" t="e">
        <f>$D14*INDEX(Produktpreise!$B$4:$S$26,MATCH(Kosten!$C14,Produktpreise!$C$4:$C$26,0),MATCH(Kosten!L$4,Produktpreise!$B$4:$S$4,0))</f>
        <v>#N/A</v>
      </c>
      <c r="M14" t="e">
        <f>$D14*INDEX(Produktpreise!$B$4:$S$26,MATCH(Kosten!$C14,Produktpreise!$C$4:$C$26,0),MATCH(Kosten!M$4,Produktpreise!$B$4:$S$4,0))</f>
        <v>#N/A</v>
      </c>
      <c r="N14" t="e">
        <f>$D14*INDEX(Produktpreise!$B$4:$S$26,MATCH(Kosten!$C14,Produktpreise!$C$4:$C$26,0),MATCH(Kosten!N$4,Produktpreise!$B$4:$S$4,0))</f>
        <v>#N/A</v>
      </c>
      <c r="P14">
        <f>'Preise Output'!I22</f>
        <v>0</v>
      </c>
      <c r="Q14" t="e">
        <f t="shared" ref="Q14" si="7">SUM(F14:G14)</f>
        <v>#N/A</v>
      </c>
      <c r="R14" t="e">
        <f>H14+I14*2+J14*3+M14*3+N14+L14*3+K14*3</f>
        <v>#N/A</v>
      </c>
      <c r="S14">
        <f>'Preise Output'!L22</f>
        <v>0</v>
      </c>
      <c r="T14" t="e">
        <f t="shared" ref="T14" si="8">SUM(Q14:S14)</f>
        <v>#N/A</v>
      </c>
      <c r="U14" t="e">
        <f t="shared" ref="U14" si="9">P14-T14</f>
        <v>#N/A</v>
      </c>
    </row>
    <row r="15" spans="2:21" customFormat="1" x14ac:dyDescent="0.3">
      <c r="B15" t="s">
        <v>87</v>
      </c>
      <c r="C15" t="s">
        <v>39</v>
      </c>
      <c r="D15">
        <f>'Preise Output'!D23</f>
        <v>0</v>
      </c>
      <c r="E15" t="e">
        <f>$D15*INDEX(Produktpreise!$B$4:$S$26,MATCH(Kosten!$C15,Produktpreise!$C$4:$C$26,0),MATCH(Kosten!E$4,Produktpreise!$B$4:$S$4,0))</f>
        <v>#N/A</v>
      </c>
      <c r="F15" t="e">
        <f>$D15*INDEX(Produktpreise!$B$4:$S$26,MATCH(Kosten!$C15,Produktpreise!$C$4:$C$26,0),MATCH(Kosten!F$4,Produktpreise!$B$4:$S$4,0))</f>
        <v>#N/A</v>
      </c>
      <c r="G15" t="e">
        <f>$D15*INDEX(Produktpreise!$B$4:$S$26,MATCH(Kosten!$C15,Produktpreise!$C$4:$C$26,0),MATCH(Kosten!G$4,Produktpreise!$B$4:$S$4,0))</f>
        <v>#N/A</v>
      </c>
      <c r="H15" t="e">
        <f>$D15*INDEX(Produktpreise!$B$4:$S$26,MATCH(Kosten!$C15,Produktpreise!$C$4:$C$26,0),MATCH(Kosten!H$4,Produktpreise!$B$4:$S$4,0))</f>
        <v>#N/A</v>
      </c>
      <c r="I15" t="e">
        <f>$D15*INDEX(Produktpreise!$B$4:$S$26,MATCH(Kosten!$C15,Produktpreise!$C$4:$C$26,0),MATCH(Kosten!I$4,Produktpreise!$B$4:$S$4,0))</f>
        <v>#N/A</v>
      </c>
      <c r="J15" t="e">
        <f>$D15*INDEX(Produktpreise!$B$4:$S$26,MATCH(Kosten!$C15,Produktpreise!$C$4:$C$26,0),MATCH(Kosten!J$4,Produktpreise!$B$4:$S$4,0))</f>
        <v>#N/A</v>
      </c>
      <c r="L15" t="e">
        <f>$D15*INDEX(Produktpreise!$B$4:$S$26,MATCH(Kosten!$C15,Produktpreise!$C$4:$C$26,0),MATCH(Kosten!L$4,Produktpreise!$B$4:$S$4,0))</f>
        <v>#N/A</v>
      </c>
      <c r="M15" t="e">
        <f>$D15*INDEX(Produktpreise!$B$4:$S$26,MATCH(Kosten!$C15,Produktpreise!$C$4:$C$26,0),MATCH(Kosten!M$4,Produktpreise!$B$4:$S$4,0))</f>
        <v>#N/A</v>
      </c>
      <c r="N15" t="e">
        <f>$D15*INDEX(Produktpreise!$B$4:$S$26,MATCH(Kosten!$C15,Produktpreise!$C$4:$C$26,0),MATCH(Kosten!N$4,Produktpreise!$B$4:$S$4,0))</f>
        <v>#N/A</v>
      </c>
      <c r="P15">
        <f>'Preise Output'!I23</f>
        <v>0</v>
      </c>
      <c r="Q15" t="e">
        <f>F15*36+G15+E15</f>
        <v>#N/A</v>
      </c>
      <c r="R15" t="e">
        <f>H15+I15*2+J15*3+M15*3+N15</f>
        <v>#N/A</v>
      </c>
      <c r="S15">
        <f>'Preise Output'!L23</f>
        <v>0</v>
      </c>
      <c r="T15" t="e">
        <f t="shared" si="0"/>
        <v>#N/A</v>
      </c>
      <c r="U15" t="e">
        <f t="shared" si="1"/>
        <v>#N/A</v>
      </c>
    </row>
    <row r="16" spans="2:21" customFormat="1" x14ac:dyDescent="0.3">
      <c r="B16" t="s">
        <v>87</v>
      </c>
      <c r="C16" t="s">
        <v>40</v>
      </c>
      <c r="D16">
        <f>'Preise Output'!D24</f>
        <v>1</v>
      </c>
      <c r="F16" t="e">
        <f>$D16*INDEX(Produktpreise!$B$4:$S$26,MATCH(Kosten!$C16,Produktpreise!$C$4:$C$26,0),MATCH(Kosten!F$4,Produktpreise!$B$4:$S$4,0))</f>
        <v>#N/A</v>
      </c>
      <c r="G16" t="e">
        <f>$D16*INDEX(Produktpreise!$B$4:$S$26,MATCH(Kosten!$C16,Produktpreise!$C$4:$C$26,0),MATCH(Kosten!G$4,Produktpreise!$B$4:$S$4,0))</f>
        <v>#N/A</v>
      </c>
      <c r="H16" t="e">
        <f>$D16*INDEX(Produktpreise!$B$4:$S$26,MATCH(Kosten!$C16,Produktpreise!$C$4:$C$26,0),MATCH(Kosten!H$4,Produktpreise!$B$4:$S$4,0))</f>
        <v>#N/A</v>
      </c>
      <c r="I16" t="e">
        <f>$D16*INDEX(Produktpreise!$B$4:$S$26,MATCH(Kosten!$C16,Produktpreise!$C$4:$C$26,0),MATCH(Kosten!I$4,Produktpreise!$B$4:$S$4,0))</f>
        <v>#N/A</v>
      </c>
      <c r="J16" t="e">
        <f>$D16*INDEX(Produktpreise!$B$4:$S$26,MATCH(Kosten!$C16,Produktpreise!$C$4:$C$26,0),MATCH(Kosten!J$4,Produktpreise!$B$4:$S$4,0))</f>
        <v>#N/A</v>
      </c>
      <c r="L16" t="e">
        <f>$D16*INDEX(Produktpreise!$B$4:$S$26,MATCH(Kosten!$C16,Produktpreise!$C$4:$C$26,0),MATCH(Kosten!L$4,Produktpreise!$B$4:$S$4,0))</f>
        <v>#N/A</v>
      </c>
      <c r="M16" t="e">
        <f>$D16*INDEX(Produktpreise!$B$4:$S$26,MATCH(Kosten!$C16,Produktpreise!$C$4:$C$26,0),MATCH(Kosten!M$4,Produktpreise!$B$4:$S$4,0))</f>
        <v>#N/A</v>
      </c>
      <c r="N16" t="e">
        <f>$D16*INDEX(Produktpreise!$B$4:$S$26,MATCH(Kosten!$C16,Produktpreise!$C$4:$C$26,0),MATCH(Kosten!N$4,Produktpreise!$B$4:$S$4,0))</f>
        <v>#N/A</v>
      </c>
      <c r="P16">
        <f>'Preise Output'!I24</f>
        <v>47371.500000000007</v>
      </c>
      <c r="Q16" t="e">
        <f>SUM(F16:G16)</f>
        <v>#N/A</v>
      </c>
      <c r="R16" t="e">
        <f t="shared" ref="R16:R26" si="10">H16+I16*2+J16*3+M16*3+N16</f>
        <v>#N/A</v>
      </c>
      <c r="S16">
        <f>'Preise Output'!L24</f>
        <v>0</v>
      </c>
      <c r="T16" t="e">
        <f t="shared" si="0"/>
        <v>#N/A</v>
      </c>
      <c r="U16" t="e">
        <f t="shared" si="1"/>
        <v>#N/A</v>
      </c>
    </row>
    <row r="17" spans="2:22" customFormat="1" x14ac:dyDescent="0.3">
      <c r="B17" t="s">
        <v>88</v>
      </c>
      <c r="C17" t="s">
        <v>41</v>
      </c>
      <c r="D17" t="e">
        <f>'Preise Output'!#REF!</f>
        <v>#REF!</v>
      </c>
      <c r="E17">
        <v>0</v>
      </c>
      <c r="F17" t="e">
        <f>$D17*INDEX(Produktpreise!$B$4:$S$26,MATCH(Kosten!$C17,Produktpreise!$C$4:$C$26,0),MATCH(Kosten!F$4,Produktpreise!$B$4:$S$4,0))</f>
        <v>#REF!</v>
      </c>
      <c r="G17" t="e">
        <f>$D17*INDEX(Produktpreise!$B$4:$S$26,MATCH(Kosten!$C17,Produktpreise!$C$4:$C$26,0),MATCH(Kosten!G$4,Produktpreise!$B$4:$S$4,0))</f>
        <v>#REF!</v>
      </c>
      <c r="H17" t="e">
        <f>$D17*INDEX(Produktpreise!$B$4:$S$26,MATCH(Kosten!$C17,Produktpreise!$C$4:$C$26,0),MATCH(Kosten!H$4,Produktpreise!$B$4:$S$4,0))</f>
        <v>#REF!</v>
      </c>
      <c r="I17" t="e">
        <f>$D17*INDEX(Produktpreise!$B$4:$S$26,MATCH(Kosten!$C17,Produktpreise!$C$4:$C$26,0),MATCH(Kosten!I$4,Produktpreise!$B$4:$S$4,0))</f>
        <v>#REF!</v>
      </c>
      <c r="J17" t="e">
        <f>$D17*INDEX(Produktpreise!$B$4:$S$26,MATCH(Kosten!$C17,Produktpreise!$C$4:$C$26,0),MATCH(Kosten!J$4,Produktpreise!$B$4:$S$4,0))</f>
        <v>#REF!</v>
      </c>
      <c r="L17" t="e">
        <f>$D17*INDEX(Produktpreise!$B$4:$S$26,MATCH(Kosten!$C17,Produktpreise!$C$4:$C$26,0),MATCH(Kosten!L$4,Produktpreise!$B$4:$S$4,0))</f>
        <v>#REF!</v>
      </c>
      <c r="M17" t="e">
        <f>$D17*INDEX(Produktpreise!$B$4:$S$26,MATCH(Kosten!$C17,Produktpreise!$C$4:$C$26,0),MATCH(Kosten!M$4,Produktpreise!$B$4:$S$4,0))</f>
        <v>#REF!</v>
      </c>
      <c r="N17" t="e">
        <f>$D17*INDEX(Produktpreise!$B$4:$S$26,MATCH(Kosten!$C17,Produktpreise!$C$4:$C$26,0),MATCH(Kosten!N$4,Produktpreise!$B$4:$S$4,0))</f>
        <v>#REF!</v>
      </c>
      <c r="P17" t="e">
        <f>'Preise Output'!#REF!</f>
        <v>#REF!</v>
      </c>
      <c r="Q17" t="e">
        <f t="shared" ref="Q17:Q26" si="11">F17*36+G17</f>
        <v>#REF!</v>
      </c>
      <c r="R17" t="e">
        <f t="shared" si="10"/>
        <v>#REF!</v>
      </c>
      <c r="S17" t="e">
        <f>'Preise Output'!#REF!</f>
        <v>#REF!</v>
      </c>
      <c r="T17" t="e">
        <f t="shared" si="0"/>
        <v>#REF!</v>
      </c>
      <c r="U17" t="e">
        <f t="shared" si="1"/>
        <v>#REF!</v>
      </c>
    </row>
    <row r="18" spans="2:22" customFormat="1" x14ac:dyDescent="0.3">
      <c r="B18" t="s">
        <v>88</v>
      </c>
      <c r="C18" t="s">
        <v>42</v>
      </c>
      <c r="D18" t="e">
        <f>'Preise Output'!#REF!</f>
        <v>#REF!</v>
      </c>
      <c r="E18">
        <v>0</v>
      </c>
      <c r="F18" t="e">
        <f>$D18*INDEX(Produktpreise!$B$4:$S$26,MATCH(Kosten!$C18,Produktpreise!$C$4:$C$26,0),MATCH(Kosten!F$4,Produktpreise!$B$4:$S$4,0))</f>
        <v>#REF!</v>
      </c>
      <c r="G18" t="e">
        <f>$D18*INDEX(Produktpreise!$B$4:$S$26,MATCH(Kosten!$C18,Produktpreise!$C$4:$C$26,0),MATCH(Kosten!G$4,Produktpreise!$B$4:$S$4,0))</f>
        <v>#REF!</v>
      </c>
      <c r="H18" t="e">
        <f>$D18*INDEX(Produktpreise!$B$4:$S$26,MATCH(Kosten!$C18,Produktpreise!$C$4:$C$26,0),MATCH(Kosten!H$4,Produktpreise!$B$4:$S$4,0))</f>
        <v>#REF!</v>
      </c>
      <c r="I18" t="e">
        <f>$D18*INDEX(Produktpreise!$B$4:$S$26,MATCH(Kosten!$C18,Produktpreise!$C$4:$C$26,0),MATCH(Kosten!I$4,Produktpreise!$B$4:$S$4,0))</f>
        <v>#REF!</v>
      </c>
      <c r="J18" t="e">
        <f>$D18*INDEX(Produktpreise!$B$4:$S$26,MATCH(Kosten!$C18,Produktpreise!$C$4:$C$26,0),MATCH(Kosten!J$4,Produktpreise!$B$4:$S$4,0))</f>
        <v>#REF!</v>
      </c>
      <c r="L18" t="e">
        <f>$D18*INDEX(Produktpreise!$B$4:$S$26,MATCH(Kosten!$C18,Produktpreise!$C$4:$C$26,0),MATCH(Kosten!L$4,Produktpreise!$B$4:$S$4,0))</f>
        <v>#REF!</v>
      </c>
      <c r="M18" t="e">
        <f>$D18*INDEX(Produktpreise!$B$4:$S$26,MATCH(Kosten!$C18,Produktpreise!$C$4:$C$26,0),MATCH(Kosten!M$4,Produktpreise!$B$4:$S$4,0))</f>
        <v>#REF!</v>
      </c>
      <c r="N18" t="e">
        <f>$D18*INDEX(Produktpreise!$B$4:$S$26,MATCH(Kosten!$C18,Produktpreise!$C$4:$C$26,0),MATCH(Kosten!N$4,Produktpreise!$B$4:$S$4,0))</f>
        <v>#REF!</v>
      </c>
      <c r="P18" t="e">
        <f>'Preise Output'!#REF!</f>
        <v>#REF!</v>
      </c>
      <c r="Q18" t="e">
        <f t="shared" si="11"/>
        <v>#REF!</v>
      </c>
      <c r="R18" t="e">
        <f t="shared" si="10"/>
        <v>#REF!</v>
      </c>
      <c r="S18" t="e">
        <f>'Preise Output'!#REF!</f>
        <v>#REF!</v>
      </c>
      <c r="T18" t="e">
        <f t="shared" si="0"/>
        <v>#REF!</v>
      </c>
      <c r="U18" t="e">
        <f t="shared" si="1"/>
        <v>#REF!</v>
      </c>
    </row>
    <row r="19" spans="2:22" customFormat="1" x14ac:dyDescent="0.3">
      <c r="B19" t="s">
        <v>88</v>
      </c>
      <c r="C19" t="s">
        <v>43</v>
      </c>
      <c r="D19" t="e">
        <f>'Preise Output'!#REF!</f>
        <v>#REF!</v>
      </c>
      <c r="E19">
        <v>0</v>
      </c>
      <c r="F19" t="e">
        <f>$D19*INDEX(Produktpreise!$B$4:$S$26,MATCH(Kosten!$C19,Produktpreise!$C$4:$C$26,0),MATCH(Kosten!F$4,Produktpreise!$B$4:$S$4,0))</f>
        <v>#REF!</v>
      </c>
      <c r="G19" t="e">
        <f>$D19*INDEX(Produktpreise!$B$4:$S$26,MATCH(Kosten!$C19,Produktpreise!$C$4:$C$26,0),MATCH(Kosten!G$4,Produktpreise!$B$4:$S$4,0))</f>
        <v>#REF!</v>
      </c>
      <c r="H19" t="e">
        <f>$D19*INDEX(Produktpreise!$B$4:$S$26,MATCH(Kosten!$C19,Produktpreise!$C$4:$C$26,0),MATCH(Kosten!H$4,Produktpreise!$B$4:$S$4,0))</f>
        <v>#REF!</v>
      </c>
      <c r="I19" t="e">
        <f>$D19*INDEX(Produktpreise!$B$4:$S$26,MATCH(Kosten!$C19,Produktpreise!$C$4:$C$26,0),MATCH(Kosten!I$4,Produktpreise!$B$4:$S$4,0))</f>
        <v>#REF!</v>
      </c>
      <c r="J19" t="e">
        <f>$D19*INDEX(Produktpreise!$B$4:$S$26,MATCH(Kosten!$C19,Produktpreise!$C$4:$C$26,0),MATCH(Kosten!J$4,Produktpreise!$B$4:$S$4,0))</f>
        <v>#REF!</v>
      </c>
      <c r="L19" t="e">
        <f>$D19*INDEX(Produktpreise!$B$4:$S$26,MATCH(Kosten!$C19,Produktpreise!$C$4:$C$26,0),MATCH(Kosten!L$4,Produktpreise!$B$4:$S$4,0))</f>
        <v>#REF!</v>
      </c>
      <c r="M19" t="e">
        <f>$D19*INDEX(Produktpreise!$B$4:$S$26,MATCH(Kosten!$C19,Produktpreise!$C$4:$C$26,0),MATCH(Kosten!M$4,Produktpreise!$B$4:$S$4,0))</f>
        <v>#REF!</v>
      </c>
      <c r="N19" t="e">
        <f>$D19*INDEX(Produktpreise!$B$4:$S$26,MATCH(Kosten!$C19,Produktpreise!$C$4:$C$26,0),MATCH(Kosten!N$4,Produktpreise!$B$4:$S$4,0))</f>
        <v>#REF!</v>
      </c>
      <c r="P19" t="e">
        <f>'Preise Output'!#REF!</f>
        <v>#REF!</v>
      </c>
      <c r="Q19" t="e">
        <f t="shared" si="11"/>
        <v>#REF!</v>
      </c>
      <c r="R19" t="e">
        <f t="shared" si="10"/>
        <v>#REF!</v>
      </c>
      <c r="S19" t="e">
        <f>'Preise Output'!#REF!</f>
        <v>#REF!</v>
      </c>
      <c r="T19" t="e">
        <f t="shared" si="0"/>
        <v>#REF!</v>
      </c>
      <c r="U19" t="e">
        <f t="shared" si="1"/>
        <v>#REF!</v>
      </c>
    </row>
    <row r="20" spans="2:22" customFormat="1" x14ac:dyDescent="0.3">
      <c r="B20" t="s">
        <v>88</v>
      </c>
      <c r="C20" t="s">
        <v>44</v>
      </c>
      <c r="D20" t="e">
        <f>'Preise Output'!#REF!</f>
        <v>#REF!</v>
      </c>
      <c r="E20">
        <v>0</v>
      </c>
      <c r="F20" t="e">
        <f>$D20*INDEX(Produktpreise!$B$4:$S$26,MATCH(Kosten!$C20,Produktpreise!$C$4:$C$26,0),MATCH(Kosten!F$4,Produktpreise!$B$4:$S$4,0))</f>
        <v>#REF!</v>
      </c>
      <c r="G20" t="e">
        <f>$D20*INDEX(Produktpreise!$B$4:$S$26,MATCH(Kosten!$C20,Produktpreise!$C$4:$C$26,0),MATCH(Kosten!G$4,Produktpreise!$B$4:$S$4,0))</f>
        <v>#REF!</v>
      </c>
      <c r="H20" t="e">
        <f>$D20*INDEX(Produktpreise!$B$4:$S$26,MATCH(Kosten!$C20,Produktpreise!$C$4:$C$26,0),MATCH(Kosten!H$4,Produktpreise!$B$4:$S$4,0))</f>
        <v>#REF!</v>
      </c>
      <c r="I20" t="e">
        <f>$D20*INDEX(Produktpreise!$B$4:$S$26,MATCH(Kosten!$C20,Produktpreise!$C$4:$C$26,0),MATCH(Kosten!I$4,Produktpreise!$B$4:$S$4,0))</f>
        <v>#REF!</v>
      </c>
      <c r="J20" t="e">
        <f>$D20*INDEX(Produktpreise!$B$4:$S$26,MATCH(Kosten!$C20,Produktpreise!$C$4:$C$26,0),MATCH(Kosten!J$4,Produktpreise!$B$4:$S$4,0))</f>
        <v>#REF!</v>
      </c>
      <c r="L20" t="e">
        <f>$D20*INDEX(Produktpreise!$B$4:$S$26,MATCH(Kosten!$C20,Produktpreise!$C$4:$C$26,0),MATCH(Kosten!L$4,Produktpreise!$B$4:$S$4,0))</f>
        <v>#REF!</v>
      </c>
      <c r="M20" t="e">
        <f>$D20*INDEX(Produktpreise!$B$4:$S$26,MATCH(Kosten!$C20,Produktpreise!$C$4:$C$26,0),MATCH(Kosten!M$4,Produktpreise!$B$4:$S$4,0))</f>
        <v>#REF!</v>
      </c>
      <c r="N20" t="e">
        <f>$D20*INDEX(Produktpreise!$B$4:$S$26,MATCH(Kosten!$C20,Produktpreise!$C$4:$C$26,0),MATCH(Kosten!N$4,Produktpreise!$B$4:$S$4,0))</f>
        <v>#REF!</v>
      </c>
      <c r="P20" t="e">
        <f>'Preise Output'!#REF!</f>
        <v>#REF!</v>
      </c>
      <c r="Q20" t="e">
        <f t="shared" si="11"/>
        <v>#REF!</v>
      </c>
      <c r="R20" t="e">
        <f t="shared" si="10"/>
        <v>#REF!</v>
      </c>
      <c r="S20" t="e">
        <f>'Preise Output'!#REF!</f>
        <v>#REF!</v>
      </c>
      <c r="T20" t="e">
        <f t="shared" si="0"/>
        <v>#REF!</v>
      </c>
      <c r="U20" t="e">
        <f t="shared" si="1"/>
        <v>#REF!</v>
      </c>
    </row>
    <row r="21" spans="2:22" customFormat="1" x14ac:dyDescent="0.3">
      <c r="B21" t="s">
        <v>88</v>
      </c>
      <c r="C21" t="s">
        <v>45</v>
      </c>
      <c r="D21" t="e">
        <f>'Preise Output'!#REF!</f>
        <v>#REF!</v>
      </c>
      <c r="E21">
        <v>0</v>
      </c>
      <c r="F21" t="e">
        <f>$D21*INDEX(Produktpreise!$B$4:$S$26,MATCH(Kosten!$C21,Produktpreise!$C$4:$C$26,0),MATCH(Kosten!F$4,Produktpreise!$B$4:$S$4,0))</f>
        <v>#REF!</v>
      </c>
      <c r="G21" t="e">
        <f>$D21*INDEX(Produktpreise!$B$4:$S$26,MATCH(Kosten!$C21,Produktpreise!$C$4:$C$26,0),MATCH(Kosten!G$4,Produktpreise!$B$4:$S$4,0))</f>
        <v>#REF!</v>
      </c>
      <c r="H21" t="e">
        <f>$D21*INDEX(Produktpreise!$B$4:$S$26,MATCH(Kosten!$C21,Produktpreise!$C$4:$C$26,0),MATCH(Kosten!H$4,Produktpreise!$B$4:$S$4,0))</f>
        <v>#REF!</v>
      </c>
      <c r="I21" t="e">
        <f>$D21*INDEX(Produktpreise!$B$4:$S$26,MATCH(Kosten!$C21,Produktpreise!$C$4:$C$26,0),MATCH(Kosten!I$4,Produktpreise!$B$4:$S$4,0))</f>
        <v>#REF!</v>
      </c>
      <c r="J21" t="e">
        <f>$D21*INDEX(Produktpreise!$B$4:$S$26,MATCH(Kosten!$C21,Produktpreise!$C$4:$C$26,0),MATCH(Kosten!J$4,Produktpreise!$B$4:$S$4,0))</f>
        <v>#REF!</v>
      </c>
      <c r="L21" t="e">
        <f>$D21*INDEX(Produktpreise!$B$4:$S$26,MATCH(Kosten!$C21,Produktpreise!$C$4:$C$26,0),MATCH(Kosten!L$4,Produktpreise!$B$4:$S$4,0))</f>
        <v>#REF!</v>
      </c>
      <c r="M21" t="e">
        <f>$D21*INDEX(Produktpreise!$B$4:$S$26,MATCH(Kosten!$C21,Produktpreise!$C$4:$C$26,0),MATCH(Kosten!M$4,Produktpreise!$B$4:$S$4,0))</f>
        <v>#REF!</v>
      </c>
      <c r="N21" t="e">
        <f>$D21*INDEX(Produktpreise!$B$4:$S$26,MATCH(Kosten!$C21,Produktpreise!$C$4:$C$26,0),MATCH(Kosten!N$4,Produktpreise!$B$4:$S$4,0))</f>
        <v>#REF!</v>
      </c>
      <c r="P21" t="e">
        <f>'Preise Output'!#REF!</f>
        <v>#REF!</v>
      </c>
      <c r="Q21" t="e">
        <f t="shared" si="11"/>
        <v>#REF!</v>
      </c>
      <c r="R21" t="e">
        <f t="shared" si="10"/>
        <v>#REF!</v>
      </c>
      <c r="S21" t="e">
        <f>'Preise Output'!#REF!</f>
        <v>#REF!</v>
      </c>
      <c r="T21" t="e">
        <f t="shared" si="0"/>
        <v>#REF!</v>
      </c>
      <c r="U21" t="e">
        <f t="shared" si="1"/>
        <v>#REF!</v>
      </c>
    </row>
    <row r="22" spans="2:22" customFormat="1" x14ac:dyDescent="0.3">
      <c r="B22" t="s">
        <v>88</v>
      </c>
      <c r="C22" t="s">
        <v>46</v>
      </c>
      <c r="D22" t="e">
        <f>'Preise Output'!#REF!</f>
        <v>#REF!</v>
      </c>
      <c r="F22" t="e">
        <f>$D22*INDEX(Produktpreise!$B$4:$S$26,MATCH(Kosten!$C22,Produktpreise!$C$4:$C$26,0),MATCH(Kosten!F$4,Produktpreise!$B$4:$S$4,0))</f>
        <v>#REF!</v>
      </c>
      <c r="G22" t="e">
        <f>$D22*INDEX(Produktpreise!$B$4:$S$26,MATCH(Kosten!$C22,Produktpreise!$C$4:$C$26,0),MATCH(Kosten!G$4,Produktpreise!$B$4:$S$4,0))</f>
        <v>#REF!</v>
      </c>
      <c r="H22" t="e">
        <f>$D22*INDEX(Produktpreise!$B$4:$S$26,MATCH(Kosten!$C22,Produktpreise!$C$4:$C$26,0),MATCH(Kosten!H$4,Produktpreise!$B$4:$S$4,0))</f>
        <v>#REF!</v>
      </c>
      <c r="I22" t="e">
        <f>$D22*INDEX(Produktpreise!$B$4:$S$26,MATCH(Kosten!$C22,Produktpreise!$C$4:$C$26,0),MATCH(Kosten!I$4,Produktpreise!$B$4:$S$4,0))</f>
        <v>#REF!</v>
      </c>
      <c r="J22" t="e">
        <f>$D22*INDEX(Produktpreise!$B$4:$S$26,MATCH(Kosten!$C22,Produktpreise!$C$4:$C$26,0),MATCH(Kosten!J$4,Produktpreise!$B$4:$S$4,0))</f>
        <v>#REF!</v>
      </c>
      <c r="L22" t="e">
        <f>$D22*INDEX(Produktpreise!$B$4:$S$26,MATCH(Kosten!$C22,Produktpreise!$C$4:$C$26,0),MATCH(Kosten!L$4,Produktpreise!$B$4:$S$4,0))</f>
        <v>#REF!</v>
      </c>
      <c r="M22" t="e">
        <f>$D22*INDEX(Produktpreise!$B$4:$S$26,MATCH(Kosten!$C22,Produktpreise!$C$4:$C$26,0),MATCH(Kosten!M$4,Produktpreise!$B$4:$S$4,0))</f>
        <v>#REF!</v>
      </c>
      <c r="N22" t="e">
        <f>$D22*INDEX(Produktpreise!$B$4:$S$26,MATCH(Kosten!$C22,Produktpreise!$C$4:$C$26,0),MATCH(Kosten!N$4,Produktpreise!$B$4:$S$4,0))</f>
        <v>#REF!</v>
      </c>
      <c r="P22" t="e">
        <f>'Preise Output'!#REF!</f>
        <v>#REF!</v>
      </c>
      <c r="Q22" t="e">
        <f t="shared" si="11"/>
        <v>#REF!</v>
      </c>
      <c r="R22" t="e">
        <f t="shared" si="10"/>
        <v>#REF!</v>
      </c>
      <c r="S22" t="e">
        <f>'Preise Output'!#REF!</f>
        <v>#REF!</v>
      </c>
      <c r="T22" t="e">
        <f t="shared" si="0"/>
        <v>#REF!</v>
      </c>
      <c r="U22" t="e">
        <f t="shared" si="1"/>
        <v>#REF!</v>
      </c>
    </row>
    <row r="23" spans="2:22" customFormat="1" x14ac:dyDescent="0.3">
      <c r="B23" t="s">
        <v>86</v>
      </c>
      <c r="C23" t="s">
        <v>47</v>
      </c>
      <c r="D23" t="e">
        <f>'Preise Output'!#REF!</f>
        <v>#REF!</v>
      </c>
      <c r="F23" t="e">
        <f>$D23*INDEX(Produktpreise!$B$4:$S$26,MATCH(Kosten!$C23,Produktpreise!$C$4:$C$26,0),MATCH(Kosten!F$4,Produktpreise!$B$4:$S$4,0))</f>
        <v>#REF!</v>
      </c>
      <c r="G23" t="e">
        <f>$D23*INDEX(Produktpreise!$B$4:$S$26,MATCH(Kosten!$C23,Produktpreise!$C$4:$C$26,0),MATCH(Kosten!G$4,Produktpreise!$B$4:$S$4,0))</f>
        <v>#REF!</v>
      </c>
      <c r="H23" t="e">
        <f>$D23*INDEX(Produktpreise!$B$4:$S$26,MATCH(Kosten!$C23,Produktpreise!$C$4:$C$26,0),MATCH(Kosten!H$4,Produktpreise!$B$4:$S$4,0))</f>
        <v>#REF!</v>
      </c>
      <c r="I23" t="e">
        <f>$D23*INDEX(Produktpreise!$B$4:$S$26,MATCH(Kosten!$C23,Produktpreise!$C$4:$C$26,0),MATCH(Kosten!I$4,Produktpreise!$B$4:$S$4,0))</f>
        <v>#REF!</v>
      </c>
      <c r="J23" t="e">
        <f>$D23*INDEX(Produktpreise!$B$4:$S$26,MATCH(Kosten!$C23,Produktpreise!$C$4:$C$26,0),MATCH(Kosten!J$4,Produktpreise!$B$4:$S$4,0))</f>
        <v>#REF!</v>
      </c>
      <c r="K23" t="e">
        <f>$D23*INDEX(Produktpreise!$B$4:$S$26,MATCH(Kosten!$C23,Produktpreise!$C$4:$C$26,0),MATCH(Kosten!K$4,Produktpreise!$B$4:$S$4,0))</f>
        <v>#REF!</v>
      </c>
      <c r="L23" t="e">
        <f>$D23*INDEX(Produktpreise!$B$4:$S$26,MATCH(Kosten!$C23,Produktpreise!$C$4:$C$26,0),MATCH(Kosten!L$4,Produktpreise!$B$4:$S$4,0))</f>
        <v>#REF!</v>
      </c>
      <c r="M23" t="e">
        <f>$D23*INDEX(Produktpreise!$B$4:$S$26,MATCH(Kosten!$C23,Produktpreise!$C$4:$C$26,0),MATCH(Kosten!M$4,Produktpreise!$B$4:$S$4,0))</f>
        <v>#REF!</v>
      </c>
      <c r="N23" t="e">
        <f>$D23*INDEX(Produktpreise!$B$4:$S$26,MATCH(Kosten!$C23,Produktpreise!$C$4:$C$26,0),MATCH(Kosten!N$4,Produktpreise!$B$4:$S$4,0))</f>
        <v>#REF!</v>
      </c>
      <c r="P23" t="e">
        <f>'Preise Output'!#REF!</f>
        <v>#REF!</v>
      </c>
      <c r="Q23" t="e">
        <f t="shared" ref="Q23:Q24" si="12">SUM(F23:G23)</f>
        <v>#REF!</v>
      </c>
      <c r="R23" t="e">
        <f>H23+I23*2+J23*3+M23*3+N23+L23*3+K23*3</f>
        <v>#REF!</v>
      </c>
      <c r="S23" t="e">
        <f>'Preise Output'!#REF!</f>
        <v>#REF!</v>
      </c>
      <c r="T23" t="e">
        <f t="shared" si="0"/>
        <v>#REF!</v>
      </c>
      <c r="U23" t="e">
        <f t="shared" si="1"/>
        <v>#REF!</v>
      </c>
    </row>
    <row r="24" spans="2:22" customFormat="1" x14ac:dyDescent="0.3">
      <c r="B24" t="s">
        <v>86</v>
      </c>
      <c r="C24" t="s">
        <v>48</v>
      </c>
      <c r="D24" t="e">
        <f>'Preise Output'!#REF!</f>
        <v>#REF!</v>
      </c>
      <c r="F24" t="e">
        <f>$D24*INDEX(Produktpreise!$B$4:$S$26,MATCH(Kosten!$C24,Produktpreise!$C$4:$C$26,0),MATCH(Kosten!F$4,Produktpreise!$B$4:$S$4,0))</f>
        <v>#REF!</v>
      </c>
      <c r="G24" t="e">
        <f>$D24*INDEX(Produktpreise!$B$4:$S$26,MATCH(Kosten!$C24,Produktpreise!$C$4:$C$26,0),MATCH(Kosten!G$4,Produktpreise!$B$4:$S$4,0))</f>
        <v>#REF!</v>
      </c>
      <c r="H24" t="e">
        <f>$D24*INDEX(Produktpreise!$B$4:$S$26,MATCH(Kosten!$C24,Produktpreise!$C$4:$C$26,0),MATCH(Kosten!H$4,Produktpreise!$B$4:$S$4,0))</f>
        <v>#REF!</v>
      </c>
      <c r="I24" t="e">
        <f>$D24*INDEX(Produktpreise!$B$4:$S$26,MATCH(Kosten!$C24,Produktpreise!$C$4:$C$26,0),MATCH(Kosten!I$4,Produktpreise!$B$4:$S$4,0))</f>
        <v>#REF!</v>
      </c>
      <c r="J24" t="e">
        <f>$D24*INDEX(Produktpreise!$B$4:$S$26,MATCH(Kosten!$C24,Produktpreise!$C$4:$C$26,0),MATCH(Kosten!J$4,Produktpreise!$B$4:$S$4,0))</f>
        <v>#REF!</v>
      </c>
      <c r="K24" t="e">
        <f>$D24*INDEX(Produktpreise!$B$4:$S$26,MATCH(Kosten!$C24,Produktpreise!$C$4:$C$26,0),MATCH(Kosten!K$4,Produktpreise!$B$4:$S$4,0))</f>
        <v>#REF!</v>
      </c>
      <c r="L24" t="e">
        <f>$D24*INDEX(Produktpreise!$B$4:$S$26,MATCH(Kosten!$C24,Produktpreise!$C$4:$C$26,0),MATCH(Kosten!L$4,Produktpreise!$B$4:$S$4,0))</f>
        <v>#REF!</v>
      </c>
      <c r="M24" t="e">
        <f>$D24*INDEX(Produktpreise!$B$4:$S$26,MATCH(Kosten!$C24,Produktpreise!$C$4:$C$26,0),MATCH(Kosten!M$4,Produktpreise!$B$4:$S$4,0))</f>
        <v>#REF!</v>
      </c>
      <c r="N24" t="e">
        <f>$D24*INDEX(Produktpreise!$B$4:$S$26,MATCH(Kosten!$C24,Produktpreise!$C$4:$C$26,0),MATCH(Kosten!N$4,Produktpreise!$B$4:$S$4,0))</f>
        <v>#REF!</v>
      </c>
      <c r="P24" t="e">
        <f>'Preise Output'!#REF!</f>
        <v>#REF!</v>
      </c>
      <c r="Q24" t="e">
        <f t="shared" si="12"/>
        <v>#REF!</v>
      </c>
      <c r="R24" t="e">
        <f>H24+I24*2+J24*3+M24*3+N24+L24*3+K24*3</f>
        <v>#REF!</v>
      </c>
      <c r="S24" t="e">
        <f>'Preise Output'!#REF!</f>
        <v>#REF!</v>
      </c>
      <c r="T24" t="e">
        <f t="shared" si="0"/>
        <v>#REF!</v>
      </c>
      <c r="U24" t="e">
        <f t="shared" si="1"/>
        <v>#REF!</v>
      </c>
    </row>
    <row r="25" spans="2:22" customFormat="1" x14ac:dyDescent="0.3">
      <c r="B25" t="s">
        <v>88</v>
      </c>
      <c r="C25" t="s">
        <v>49</v>
      </c>
      <c r="D25" t="e">
        <f>'Preise Output'!#REF!</f>
        <v>#REF!</v>
      </c>
      <c r="F25" t="e">
        <f>$D25*INDEX(Produktpreise!$B$4:$S$26,MATCH(Kosten!$C25,Produktpreise!$C$4:$C$26,0),MATCH(Kosten!F$4,Produktpreise!$B$4:$S$4,0))</f>
        <v>#REF!</v>
      </c>
      <c r="G25" t="e">
        <f>$D25*INDEX(Produktpreise!$B$4:$S$26,MATCH(Kosten!$C25,Produktpreise!$C$4:$C$26,0),MATCH(Kosten!G$4,Produktpreise!$B$4:$S$4,0))</f>
        <v>#REF!</v>
      </c>
      <c r="H25" t="e">
        <f>$D25*INDEX(Produktpreise!$B$4:$S$26,MATCH(Kosten!$C25,Produktpreise!$C$4:$C$26,0),MATCH(Kosten!H$4,Produktpreise!$B$4:$S$4,0))</f>
        <v>#REF!</v>
      </c>
      <c r="I25" t="e">
        <f>$D25*INDEX(Produktpreise!$B$4:$S$26,MATCH(Kosten!$C25,Produktpreise!$C$4:$C$26,0),MATCH(Kosten!I$4,Produktpreise!$B$4:$S$4,0))</f>
        <v>#REF!</v>
      </c>
      <c r="J25" t="e">
        <f>$D25*INDEX(Produktpreise!$B$4:$S$26,MATCH(Kosten!$C25,Produktpreise!$C$4:$C$26,0),MATCH(Kosten!J$4,Produktpreise!$B$4:$S$4,0))</f>
        <v>#REF!</v>
      </c>
      <c r="L25" t="e">
        <f>$D25*INDEX(Produktpreise!$B$4:$S$26,MATCH(Kosten!$C25,Produktpreise!$C$4:$C$26,0),MATCH(Kosten!L$4,Produktpreise!$B$4:$S$4,0))</f>
        <v>#REF!</v>
      </c>
      <c r="M25" t="e">
        <f>$D25*INDEX(Produktpreise!$B$4:$S$26,MATCH(Kosten!$C25,Produktpreise!$C$4:$C$26,0),MATCH(Kosten!M$4,Produktpreise!$B$4:$S$4,0))</f>
        <v>#REF!</v>
      </c>
      <c r="N25" t="e">
        <f>$D25*INDEX(Produktpreise!$B$4:$S$26,MATCH(Kosten!$C25,Produktpreise!$C$4:$C$26,0),MATCH(Kosten!N$4,Produktpreise!$B$4:$S$4,0))</f>
        <v>#REF!</v>
      </c>
      <c r="P25" t="e">
        <f>'Preise Output'!#REF!</f>
        <v>#REF!</v>
      </c>
      <c r="Q25" t="e">
        <f t="shared" si="11"/>
        <v>#REF!</v>
      </c>
      <c r="R25" t="e">
        <f t="shared" si="10"/>
        <v>#REF!</v>
      </c>
      <c r="S25" t="e">
        <f>'Preise Output'!#REF!</f>
        <v>#REF!</v>
      </c>
      <c r="T25" t="e">
        <f t="shared" si="0"/>
        <v>#REF!</v>
      </c>
      <c r="U25" t="e">
        <f t="shared" si="1"/>
        <v>#REF!</v>
      </c>
    </row>
    <row r="26" spans="2:22" customFormat="1" x14ac:dyDescent="0.3">
      <c r="B26" t="s">
        <v>88</v>
      </c>
      <c r="C26" t="s">
        <v>49</v>
      </c>
      <c r="D26" t="e">
        <f>'Preise Output'!#REF!</f>
        <v>#REF!</v>
      </c>
      <c r="F26" t="e">
        <f>$D26*INDEX(Produktpreise!$B$4:$S$26,MATCH(Kosten!$C26,Produktpreise!$C$4:$C$26,0),MATCH(Kosten!F$4,Produktpreise!$B$4:$S$4,0))</f>
        <v>#REF!</v>
      </c>
      <c r="G26" t="e">
        <f>$D26*INDEX(Produktpreise!$B$4:$S$26,MATCH(Kosten!$C26,Produktpreise!$C$4:$C$26,0),MATCH(Kosten!G$4,Produktpreise!$B$4:$S$4,0))</f>
        <v>#REF!</v>
      </c>
      <c r="H26" t="e">
        <f>$D26*INDEX(Produktpreise!$B$4:$S$26,MATCH(Kosten!$C26,Produktpreise!$C$4:$C$26,0),MATCH(Kosten!H$4,Produktpreise!$B$4:$S$4,0))</f>
        <v>#REF!</v>
      </c>
      <c r="I26" t="e">
        <f>$D26*INDEX(Produktpreise!$B$4:$S$26,MATCH(Kosten!$C26,Produktpreise!$C$4:$C$26,0),MATCH(Kosten!I$4,Produktpreise!$B$4:$S$4,0))</f>
        <v>#REF!</v>
      </c>
      <c r="J26" t="e">
        <f>$D26*INDEX(Produktpreise!$B$4:$S$26,MATCH(Kosten!$C26,Produktpreise!$C$4:$C$26,0),MATCH(Kosten!J$4,Produktpreise!$B$4:$S$4,0))</f>
        <v>#REF!</v>
      </c>
      <c r="L26" t="e">
        <f>$D26*INDEX(Produktpreise!$B$4:$S$26,MATCH(Kosten!$C26,Produktpreise!$C$4:$C$26,0),MATCH(Kosten!L$4,Produktpreise!$B$4:$S$4,0))</f>
        <v>#REF!</v>
      </c>
      <c r="M26" t="e">
        <f>$D26*INDEX(Produktpreise!$B$4:$S$26,MATCH(Kosten!$C26,Produktpreise!$C$4:$C$26,0),MATCH(Kosten!M$4,Produktpreise!$B$4:$S$4,0))</f>
        <v>#REF!</v>
      </c>
      <c r="N26" t="e">
        <f>$D26*INDEX(Produktpreise!$B$4:$S$26,MATCH(Kosten!$C26,Produktpreise!$C$4:$C$26,0),MATCH(Kosten!N$4,Produktpreise!$B$4:$S$4,0))</f>
        <v>#REF!</v>
      </c>
      <c r="P26" t="e">
        <f>'Preise Output'!#REF!</f>
        <v>#REF!</v>
      </c>
      <c r="Q26" t="e">
        <f t="shared" si="11"/>
        <v>#REF!</v>
      </c>
      <c r="R26" t="e">
        <f t="shared" si="10"/>
        <v>#REF!</v>
      </c>
      <c r="S26" t="e">
        <f>'Preise Output'!#REF!</f>
        <v>#REF!</v>
      </c>
      <c r="T26" t="e">
        <f t="shared" si="0"/>
        <v>#REF!</v>
      </c>
      <c r="U26" t="e">
        <f t="shared" si="1"/>
        <v>#REF!</v>
      </c>
    </row>
    <row r="27" spans="2:22" customFormat="1" x14ac:dyDescent="0.3">
      <c r="P27" t="e">
        <f>SUM(P5:P26)</f>
        <v>#REF!</v>
      </c>
      <c r="Q27" t="e">
        <f>SUM(Q5:Q26)</f>
        <v>#REF!</v>
      </c>
      <c r="R27" t="e">
        <f>SUM(R5:R26)</f>
        <v>#REF!</v>
      </c>
      <c r="S27" t="e">
        <f>SUM(S5:S26)</f>
        <v>#REF!</v>
      </c>
      <c r="T27" t="e">
        <f t="shared" si="0"/>
        <v>#REF!</v>
      </c>
      <c r="U27" t="e">
        <f t="shared" si="1"/>
        <v>#REF!</v>
      </c>
      <c r="V27" t="e">
        <f>U27/P27</f>
        <v>#REF!</v>
      </c>
    </row>
    <row r="28" spans="2:22" customFormat="1" x14ac:dyDescent="0.3">
      <c r="P28" t="e">
        <f t="shared" ref="P28:U28" si="13">ROUND(P27,-3)</f>
        <v>#REF!</v>
      </c>
      <c r="Q28" t="e">
        <f t="shared" si="13"/>
        <v>#REF!</v>
      </c>
      <c r="R28" t="e">
        <f t="shared" si="13"/>
        <v>#REF!</v>
      </c>
      <c r="S28" t="e">
        <f t="shared" si="13"/>
        <v>#REF!</v>
      </c>
      <c r="T28" t="e">
        <f t="shared" si="13"/>
        <v>#REF!</v>
      </c>
      <c r="U28" t="e">
        <f t="shared" si="13"/>
        <v>#REF!</v>
      </c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4:O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style="12" customWidth="1"/>
    <col min="2" max="2" width="23.5546875" style="12" bestFit="1" customWidth="1"/>
    <col min="3" max="3" width="18.44140625" style="12" customWidth="1"/>
    <col min="4" max="5" width="17.44140625" style="12" customWidth="1"/>
    <col min="7" max="7" width="26.5546875" style="12" customWidth="1"/>
    <col min="8" max="8" width="12.5546875" style="12" customWidth="1"/>
    <col min="9" max="9" width="11.44140625" style="12" bestFit="1" customWidth="1"/>
    <col min="10" max="10" width="23.5546875" style="12" bestFit="1" customWidth="1"/>
    <col min="11" max="11" width="11.44140625" style="12" bestFit="1" customWidth="1"/>
    <col min="12" max="12" width="12.44140625" style="12" bestFit="1" customWidth="1"/>
    <col min="14" max="14" width="28.5546875" style="12" customWidth="1"/>
    <col min="15" max="15" width="12" style="12" bestFit="1" customWidth="1"/>
  </cols>
  <sheetData>
    <row r="4" spans="2:3" x14ac:dyDescent="0.3">
      <c r="B4" t="s">
        <v>154</v>
      </c>
      <c r="C4" t="s">
        <v>155</v>
      </c>
    </row>
    <row r="5" spans="2:3" x14ac:dyDescent="0.3">
      <c r="B5" t="s">
        <v>156</v>
      </c>
      <c r="C5">
        <v>0</v>
      </c>
    </row>
    <row r="6" spans="2:3" x14ac:dyDescent="0.3">
      <c r="B6" t="s">
        <v>157</v>
      </c>
      <c r="C6">
        <v>0</v>
      </c>
    </row>
    <row r="7" spans="2:3" x14ac:dyDescent="0.3">
      <c r="B7" t="s">
        <v>158</v>
      </c>
      <c r="C7">
        <v>0</v>
      </c>
    </row>
    <row r="8" spans="2:3" x14ac:dyDescent="0.3">
      <c r="B8" t="s">
        <v>159</v>
      </c>
      <c r="C8">
        <v>0</v>
      </c>
    </row>
    <row r="9" spans="2:3" x14ac:dyDescent="0.3">
      <c r="B9" t="s">
        <v>160</v>
      </c>
      <c r="C9">
        <v>0</v>
      </c>
    </row>
    <row r="11" spans="2:3" x14ac:dyDescent="0.3">
      <c r="B11" t="s">
        <v>161</v>
      </c>
      <c r="C11" t="s">
        <v>155</v>
      </c>
    </row>
    <row r="12" spans="2:3" x14ac:dyDescent="0.3">
      <c r="B12" t="s">
        <v>162</v>
      </c>
      <c r="C12">
        <v>0</v>
      </c>
    </row>
    <row r="13" spans="2:3" x14ac:dyDescent="0.3">
      <c r="B13" t="s">
        <v>163</v>
      </c>
      <c r="C13">
        <v>0</v>
      </c>
    </row>
    <row r="14" spans="2:3" x14ac:dyDescent="0.3">
      <c r="B14" t="s">
        <v>164</v>
      </c>
      <c r="C14">
        <v>0.05</v>
      </c>
    </row>
    <row r="15" spans="2:3" x14ac:dyDescent="0.3">
      <c r="B15" t="s">
        <v>165</v>
      </c>
      <c r="C15">
        <v>0.15</v>
      </c>
    </row>
    <row r="17" spans="2:12" x14ac:dyDescent="0.3">
      <c r="B17" t="s">
        <v>166</v>
      </c>
      <c r="C17"/>
      <c r="D17" t="s">
        <v>182</v>
      </c>
      <c r="E17" t="s">
        <v>262</v>
      </c>
      <c r="F17" t="s">
        <v>183</v>
      </c>
    </row>
    <row r="18" spans="2:12" x14ac:dyDescent="0.3">
      <c r="B18" t="s">
        <v>167</v>
      </c>
      <c r="C18">
        <v>15</v>
      </c>
      <c r="D18"/>
      <c r="E18"/>
      <c r="F18">
        <v>15</v>
      </c>
      <c r="H18"/>
    </row>
    <row r="19" spans="2:12" x14ac:dyDescent="0.3">
      <c r="B19" t="s">
        <v>168</v>
      </c>
      <c r="C19">
        <v>20</v>
      </c>
      <c r="D19"/>
      <c r="E19"/>
      <c r="F19">
        <v>20</v>
      </c>
      <c r="H19"/>
      <c r="I19"/>
      <c r="J19"/>
      <c r="K19"/>
      <c r="L19"/>
    </row>
    <row r="20" spans="2:12" x14ac:dyDescent="0.3">
      <c r="B20" t="s">
        <v>169</v>
      </c>
      <c r="C20">
        <v>30</v>
      </c>
      <c r="D20">
        <v>50</v>
      </c>
      <c r="E20">
        <v>30</v>
      </c>
      <c r="F20">
        <v>40</v>
      </c>
      <c r="G20">
        <v>50</v>
      </c>
      <c r="H20"/>
      <c r="I20">
        <v>45</v>
      </c>
      <c r="J20"/>
      <c r="K20"/>
      <c r="L20"/>
    </row>
    <row r="21" spans="2:12" x14ac:dyDescent="0.3">
      <c r="B21" t="s">
        <v>7</v>
      </c>
      <c r="C21">
        <v>35</v>
      </c>
      <c r="D21">
        <v>60</v>
      </c>
      <c r="E21">
        <v>35</v>
      </c>
      <c r="F21">
        <v>47.5</v>
      </c>
      <c r="G21">
        <v>60</v>
      </c>
      <c r="H21"/>
      <c r="I21">
        <v>55</v>
      </c>
    </row>
    <row r="22" spans="2:12" x14ac:dyDescent="0.3">
      <c r="B22" t="s">
        <v>170</v>
      </c>
      <c r="C22">
        <v>50</v>
      </c>
      <c r="D22">
        <v>75</v>
      </c>
      <c r="E22">
        <v>45</v>
      </c>
      <c r="F22">
        <v>65</v>
      </c>
      <c r="G22">
        <v>75</v>
      </c>
      <c r="H22"/>
      <c r="I22">
        <v>70</v>
      </c>
    </row>
    <row r="23" spans="2:12" x14ac:dyDescent="0.3">
      <c r="C23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D3412A-BDFE-4041-87B1-B82DA9610E3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2024-12-06T13:21:07Z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