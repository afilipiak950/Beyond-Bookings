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H P Stalder/"/>
    </mc:Choice>
  </mc:AlternateContent>
  <xr:revisionPtr revIDLastSave="20" documentId="8_{AB380101-EFC6-46F8-B1BF-FAB4B4830B4A}" xr6:coauthVersionLast="47" xr6:coauthVersionMax="47" xr10:uidLastSave="{9FF1C740-C444-4FEA-908F-CC9D67325E67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12" i="1"/>
  <c r="F5" i="1"/>
  <c r="F10" i="1" s="1"/>
  <c r="F6" i="1"/>
  <c r="B27" i="8"/>
  <c r="H5" i="1" l="1"/>
  <c r="C13" i="8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<sst xmlns="http://schemas.openxmlformats.org/spreadsheetml/2006/main" count="511" uniqueCount="298">
  <si>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</si>
  <si>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</si>
  <si>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</si>
  <si>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</si>
  <si>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</si>
  <si>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</si>
  <si>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</si>
  <si>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</si>
  <si>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</si>
  <si>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</si>
  <si>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</si>
  <si>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</si>
  <si>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</si>
  <si>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</si>
  <si>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</si>
  <si>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</si>
  <si>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</si>
  <si>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</si>
  <si>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</si>
  <si>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</si>
  <si>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</si>
  <si>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</si>
  <si>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</si>
  <si>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</si>
  <si>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</si>
  <si>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</si>
  <si>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</si>
  <si>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</si>
  <si>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</si>
  <si>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</si>
  <si>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</si>
  <si>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</si>
  <si>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</si>
  <si>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</si>
  <si>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</si>
  <si>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</si>
  <si>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</si>
  <si>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</si>
  <si>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</si>
  <si>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</si>
  <si>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</si>
  <si>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</si>
  <si>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</si>
  <si>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</si>
  <si>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</si>
  <si>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</si>
  <si>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</si>
  <si>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</si>
  <si>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</si>
  <si>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</si>
  <si>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</si>
  <si>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</si>
  <si>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</si>
  <si>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</si>
  <si>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</si>
  <si>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</si>
  <si>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</si>
  <si>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</si>
  <si>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</si>
  <si>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</si>
  <si>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</si>
  <si>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</si>
  <si>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</si>
  <si>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</si>
  <si>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</si>
  <si>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</si>
  <si>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</si>
  <si>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</si>
  <si>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</si>
  <si>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</si>
  <si>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</si>
  <si>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</si>
  <si>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</si>
  <si>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</si>
  <si>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</si>
  <si>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</si>
  <si>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</si>
  <si>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</si>
  <si>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</si>
  <si>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</si>
  <si>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</si>
  <si>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</si>
  <si>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</si>
  <si>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</si>
  <si>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</si>
  <si>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</si>
  <si>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</si>
  <si>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</si>
  <si>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</si>
  <si>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</si>
  <si>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</si>
  <si>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</si>
  <si>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</si>
  <si>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</si>
  <si>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</si>
  <si>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</si>
  <si>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</si>
  <si>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</si>
  <si>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</si>
  <si>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</si>
  <si>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</si>
  <si>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</si>
  <si>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</si>
  <si>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</si>
  <si>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</si>
  <si>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</si>
  <si>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</si>
  <si>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</si>
  <si>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</si>
  <si>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</si>
  <si>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</si>
  <si>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</si>
  <si>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</si>
  <si>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</si>
  <si>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</si>
  <si>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</si>
  <si>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</si>
  <si>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</si>
  <si>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</si>
  <si>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</si>
  <si>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</si>
  <si>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</si>
  <si>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</si>
  <si>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</si>
  <si>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</si>
  <si>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</si>
  <si>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</si>
  <si>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</si>
  <si>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</si>
  <si>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</si>
  <si>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</si>
  <si>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</si>
  <si>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</si>
  <si>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</si>
  <si>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</si>
  <si>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</si>
  <si>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</si>
  <si>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</si>
  <si>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</si>
  <si>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</si>
  <si>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</si>
  <si>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</si>
  <si>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</si>
  <si>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</si>
  <si>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</si>
  <si>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</si>
  <si>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</si>
  <si>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</si>
  <si>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</si>
  <si>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</si>
  <si>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</si>
  <si>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</si>
  <si>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</si>
  <si>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</si>
  <si>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</si>
  <si>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</si>
  <si>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</si>
  <si>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</si>
  <si>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</si>
  <si>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</si>
  <si>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</si>
  <si>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</si>
  <si>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</si>
  <si>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</si>
  <si>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</si>
  <si>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</si>
  <si>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</si>
  <si>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</si>
  <si>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</si>
  <si>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</si>
  <si>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</si>
  <si>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</si>
  <si>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</si>
  <si>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</si>
  <si>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</si>
  <si>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</si>
  <si>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</si>
  <si>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</si>
  <si>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</si>
  <si>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</si>
  <si>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</si>
  <si>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</si>
  <si>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</si>
  <si>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</si>
  <si>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</si>
  <si>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</si>
  <si>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</si>
  <si>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</si>
  <si>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</si>
  <si>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</si>
  <si>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</si>
  <si>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</si>
  <si>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</si>
  <si>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</si>
  <si>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</si>
  <si>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</si>
  <si>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</si>
  <si>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</si>
  <si>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</si>
  <si>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</si>
  <si>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</si>
  <si>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</si>
  <si>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</si>
  <si>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</si>
  <si>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</si>
  <si>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</si>
  <si>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</si>
  <si>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</si>
  <si>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</si>
  <si>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</si>
  <si>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</si>
  <si>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</si>
  <si>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</si>
  <si>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</si>
  <si>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</si>
  <si>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</si>
  <si>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</si>
  <si>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</si>
  <si>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</si>
  <si>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</si>
  <si>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</si>
  <si>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</si>
  <si>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</si>
  <si>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</si>
  <si>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</si>
  <si>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</si>
  <si>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</si>
  <si>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</si>
  <si>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</si>
  <si>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</si>
  <si>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</si>
  <si>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</si>
  <si>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</si>
  <si>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</si>
  <si>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</si>
  <si>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</si>
  <si>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</si>
  <si>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</si>
  <si>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</si>
  <si>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</si>
  <si>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</si>
  <si>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</si>
  <si>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</si>
  <si>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</si>
  <si>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</si>
  <si>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</si>
  <si>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</si>
  <si>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</si>
  <si>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</si>
  <si>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</si>
  <si>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</si>
  <si>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</si>
  <si>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</si>
  <si>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</si>
  <si>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</si>
  <si>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</si>
  <si>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</si>
  <si>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</si>
  <si>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</si>
  <si>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</si>
  <si>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</si>
  <si>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</si>
  <si>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</si>
  <si>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</si>
  <si>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</si>
  <si>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</si>
  <si>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</si>
  <si>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</si>
  <si>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</si>
  <si>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</si>
  <si>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</si>
  <si>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</si>
  <si>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</si>
  <si>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</si>
  <si>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</si>
  <si>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</si>
  <si>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</si>
  <si>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</si>
  <si>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</si>
  <si>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</si>
  <si>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</si>
  <si>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</si>
  <si>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</si>
  <si>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</si>
  <si>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</si>
  <si>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</si>
  <si>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</si>
  <si>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</si>
  <si>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</si>
  <si>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</si>
  <si>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</si>
  <si>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</si>
  <si>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</si>
  <si>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</si>
  <si>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</si>
  <si>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</si>
  <si>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Mehrwertsteuer 3,8%</t>
  </si>
  <si>
    <t>noch nicht bekannt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</si>
</sst>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1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45681</v>
      </c>
      <c r="E5" s="151" t="s">
        <v>5</v>
      </c>
      <c r="F5" s="227">
        <f>65*0.9497</f>
        <v>61.730499999999999</v>
      </c>
      <c r="G5" s="215"/>
      <c r="H5" s="254">
        <f>+F5*1.05</f>
        <v>64.817025000000001</v>
      </c>
    </row>
    <row r="6" spans="1:32" x14ac:dyDescent="0.4">
      <c r="B6" s="48" t="s">
        <v>4</v>
      </c>
      <c r="C6" s="143" t="s">
        <v>297</v>
      </c>
      <c r="E6" s="152" t="s">
        <v>290</v>
      </c>
      <c r="F6" s="228">
        <f>C12*0.65</f>
        <v>78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4">
      <c r="B7" s="48" t="s">
        <v>6</v>
      </c>
      <c r="C7" s="49" t="s">
        <v>169</v>
      </c>
      <c r="E7" s="153" t="s">
        <v>8</v>
      </c>
      <c r="F7" s="229">
        <v>34.19</v>
      </c>
      <c r="G7" s="253">
        <f>F7*1.05</f>
        <v>35.899499999999996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7">
        <v>50</v>
      </c>
      <c r="E8" s="216"/>
      <c r="F8" s="216"/>
      <c r="G8" s="216"/>
      <c r="H8" s="216"/>
      <c r="I8" s="216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5" t="s">
        <v>246</v>
      </c>
      <c r="F9" s="156">
        <f>IFERROR(J26,"Bitte Produkt auswählen")</f>
        <v>0.32869422019841993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5475.0000000000009</v>
      </c>
      <c r="E10" s="152" t="s">
        <v>13</v>
      </c>
      <c r="F10" s="226">
        <f>F5*0.75</f>
        <v>46.297874999999998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821.25000000000011</v>
      </c>
      <c r="E11" s="166" t="s">
        <v>14</v>
      </c>
      <c r="F11" s="236">
        <f>+I24*1.05</f>
        <v>31282.316690625004</v>
      </c>
      <c r="G11" s="251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7">
        <v>120</v>
      </c>
      <c r="D12" s="61"/>
      <c r="E12" s="154" t="s">
        <v>243</v>
      </c>
      <c r="F12" s="230">
        <v>20000</v>
      </c>
      <c r="G12" s="252">
        <f>+F12*1.05</f>
        <v>21000</v>
      </c>
      <c r="H12" s="207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9"/>
      <c r="F13" s="219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4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4">
      <c r="B24" s="75" t="s">
        <v>264</v>
      </c>
      <c r="C24" s="76" t="s">
        <v>32</v>
      </c>
      <c r="D24" s="158">
        <v>1</v>
      </c>
      <c r="E24" s="76">
        <f>ROUND(G24/F$7,0)</f>
        <v>585</v>
      </c>
      <c r="F24" s="76">
        <v>3</v>
      </c>
      <c r="G24" s="77">
        <f>F12*D24</f>
        <v>20000</v>
      </c>
      <c r="H24" s="77">
        <f>$E24*$F$10*1.1-$G24</f>
        <v>9792.6825625000019</v>
      </c>
      <c r="I24" s="77">
        <f>G24+H24</f>
        <v>29792.682562500002</v>
      </c>
      <c r="J24" s="78">
        <f t="shared" si="16"/>
        <v>0.32869422019841993</v>
      </c>
      <c r="K24" s="77">
        <v>0</v>
      </c>
      <c r="L24" s="77">
        <v>0</v>
      </c>
      <c r="M24" s="77">
        <f>G24*1.19-G24</f>
        <v>3800</v>
      </c>
      <c r="N24" s="77">
        <f t="shared" si="5"/>
        <v>1286.5022015625</v>
      </c>
      <c r="O24" s="77">
        <f>L24-M24-N24</f>
        <v>-5086.5022015625</v>
      </c>
      <c r="P24" s="79">
        <f>IFERROR($H24-L24,"")</f>
        <v>9792.6825625000019</v>
      </c>
      <c r="Q24" s="78">
        <f>IFERROR(($H24-L24)/$I24,"")</f>
        <v>0.32869422019841993</v>
      </c>
      <c r="R24" s="80">
        <f>IFERROR((1-Q24)*F24,"")</f>
        <v>2.01391733940474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585</v>
      </c>
      <c r="F26" s="89"/>
      <c r="G26" s="231">
        <f>SUBTOTAL(9,G19:G24)</f>
        <v>20000</v>
      </c>
      <c r="H26" s="231">
        <f>SUBTOTAL(9,H19:H24)</f>
        <v>9792.6825625000019</v>
      </c>
      <c r="I26" s="231">
        <f>SUBTOTAL(9,I19:I24)</f>
        <v>29792.682562500002</v>
      </c>
      <c r="J26" s="90">
        <f>H26/I26</f>
        <v>0.32869422019841993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1286.5022015625</v>
      </c>
      <c r="O26" s="89">
        <f t="shared" si="25"/>
        <v>-5086.5022015625</v>
      </c>
      <c r="P26" s="89">
        <f t="shared" si="25"/>
        <v>9792.6825625000019</v>
      </c>
      <c r="Q26" s="90">
        <f>($H26-L26)/$I26</f>
        <v>0.32869422019841993</v>
      </c>
      <c r="R26" s="91">
        <f>IFERROR((1-Q26)*F26,"")</f>
        <v>0</v>
      </c>
    </row>
    <row r="27" spans="2:32" ht="19" x14ac:dyDescent="0.5">
      <c r="E27" s="218" t="str">
        <f>"Das enspricht "&amp;TEXT(E26/(C10),"0,0%") &amp; " des Leerstands p.a. über 3 Jahre."</f>
        <v>Das enspricht 10,7% des Leerstands p.a. über 3 Jahre.</v>
      </c>
      <c r="G27" s="237">
        <f>SUBTOTAL(9,G20:G25)*1.05</f>
        <v>21000</v>
      </c>
      <c r="H27" s="237">
        <f>SUBTOTAL(9,H20:H25)*1.05</f>
        <v>10282.316690625003</v>
      </c>
      <c r="I27" s="237">
        <f>SUBTOTAL(9,I20:I25)*1.05</f>
        <v>31282.316690625004</v>
      </c>
    </row>
    <row r="28" spans="2:32" x14ac:dyDescent="0.4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 x14ac:dyDescent="0.35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5" x14ac:dyDescent="0.35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5" x14ac:dyDescent="0.35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5" x14ac:dyDescent="0.35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5" x14ac:dyDescent="0.35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5" x14ac:dyDescent="0.35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5" x14ac:dyDescent="0.35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5" x14ac:dyDescent="0.35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5" x14ac:dyDescent="0.35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5" x14ac:dyDescent="0.35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5" x14ac:dyDescent="0.35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5" x14ac:dyDescent="0.35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5" x14ac:dyDescent="0.35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5" x14ac:dyDescent="0.35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" thickBot="1" x14ac:dyDescent="0.4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" thickTop="1" x14ac:dyDescent="0.35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5" x14ac:dyDescent="0.35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5" x14ac:dyDescent="0.35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5" x14ac:dyDescent="0.35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5" x14ac:dyDescent="0.35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5" x14ac:dyDescent="0.35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zoomScale="90" zoomScaleNormal="90" workbookViewId="0">
      <selection activeCell="C5" sqref="C5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25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 x14ac:dyDescent="0.4">
      <c r="B2" s="103" t="s">
        <v>51</v>
      </c>
      <c r="C2" s="233">
        <v>23.7</v>
      </c>
    </row>
    <row r="3" spans="2:11" x14ac:dyDescent="0.4">
      <c r="B3" s="103" t="s">
        <v>52</v>
      </c>
      <c r="C3" s="233">
        <v>42.7</v>
      </c>
    </row>
    <row r="4" spans="2:11" x14ac:dyDescent="0.4">
      <c r="B4" s="103" t="s">
        <v>53</v>
      </c>
      <c r="C4" s="234">
        <f>+C3-C2</f>
        <v>19.000000000000004</v>
      </c>
    </row>
    <row r="5" spans="2:11" ht="6" customHeight="1" x14ac:dyDescent="0.4">
      <c r="C5" s="223"/>
    </row>
    <row r="6" spans="2:11" x14ac:dyDescent="0.4">
      <c r="B6" s="103" t="s">
        <v>54</v>
      </c>
      <c r="C6" s="222" t="s">
        <v>264</v>
      </c>
    </row>
    <row r="7" spans="2:11" x14ac:dyDescent="0.4">
      <c r="B7" s="103" t="s">
        <v>55</v>
      </c>
      <c r="C7" s="235">
        <f>IFERROR(INDEX('Preise Output'!$B$19:$E$24,MATCH(Preisvergleich!$C$6,'Preise Output'!$B$19:$B$24,0),4)/INDEX('Preise Output'!$B$19:$E$24,MATCH(Preisvergleich!$C$6,'Preise Output'!$B$19:$B$24,0),3),"--")</f>
        <v>585</v>
      </c>
    </row>
    <row r="9" spans="2:11" x14ac:dyDescent="0.4">
      <c r="B9" s="109" t="s">
        <v>56</v>
      </c>
      <c r="C9" s="224"/>
    </row>
    <row r="11" spans="2:11" ht="14.5" thickBot="1" x14ac:dyDescent="0.45">
      <c r="B11" s="106" t="s">
        <v>255</v>
      </c>
      <c r="C11" s="238">
        <f>C12</f>
        <v>18501.387604070307</v>
      </c>
    </row>
    <row r="12" spans="2:11" x14ac:dyDescent="0.4">
      <c r="B12" s="209" t="s">
        <v>285</v>
      </c>
      <c r="C12" s="239">
        <f>F13+F14</f>
        <v>18501.387604070307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0%</v>
      </c>
      <c r="C13" s="240">
        <f>E13*F13</f>
        <v>0</v>
      </c>
      <c r="E13" s="220"/>
      <c r="F13" s="104">
        <v>0</v>
      </c>
    </row>
    <row r="14" spans="2:11" ht="14.5" thickBot="1" x14ac:dyDescent="0.45">
      <c r="B14" s="99" t="str">
        <f>"Mehrwertsteuer " &amp; TEXT(E14,"0%")</f>
        <v>Mehrwertsteuer 8%</v>
      </c>
      <c r="C14" s="241">
        <f>F14*E14</f>
        <v>1498.6123959296949</v>
      </c>
      <c r="E14" s="232">
        <v>8.1000000000000003E-2</v>
      </c>
      <c r="F14" s="161">
        <f>(F18-F13*(1+E13))/(1+E14)</f>
        <v>18501.387604070307</v>
      </c>
    </row>
    <row r="15" spans="2:11" hidden="1" x14ac:dyDescent="0.4">
      <c r="B15" s="105" t="s">
        <v>61</v>
      </c>
      <c r="C15" s="242"/>
      <c r="K15" s="161"/>
    </row>
    <row r="16" spans="2:11" hidden="1" x14ac:dyDescent="0.4">
      <c r="B16" s="98" t="s">
        <v>179</v>
      </c>
      <c r="C16" s="243"/>
      <c r="D16" s="161"/>
    </row>
    <row r="17" spans="2:8" ht="14.5" hidden="1" thickBot="1" x14ac:dyDescent="0.45">
      <c r="B17" s="99" t="s">
        <v>62</v>
      </c>
      <c r="C17" s="244"/>
      <c r="D17" s="97" t="s">
        <v>184</v>
      </c>
    </row>
    <row r="18" spans="2:8" x14ac:dyDescent="0.4">
      <c r="B18" s="100" t="s">
        <v>180</v>
      </c>
      <c r="C18" s="245">
        <f>SUM(C12:C14)</f>
        <v>20000.000000000004</v>
      </c>
      <c r="F18" s="97">
        <f>'Preise Output'!G26</f>
        <v>20000</v>
      </c>
    </row>
    <row r="19" spans="2:8" x14ac:dyDescent="0.4">
      <c r="C19" s="243"/>
    </row>
    <row r="20" spans="2:8" x14ac:dyDescent="0.4">
      <c r="C20" s="243"/>
    </row>
    <row r="21" spans="2:8" x14ac:dyDescent="0.4">
      <c r="B21" s="109" t="s">
        <v>63</v>
      </c>
      <c r="C21" s="246"/>
    </row>
    <row r="22" spans="2:8" ht="6.75" customHeight="1" x14ac:dyDescent="0.4">
      <c r="C22" s="243"/>
    </row>
    <row r="23" spans="2:8" x14ac:dyDescent="0.4">
      <c r="B23" s="101" t="s">
        <v>258</v>
      </c>
      <c r="C23" s="243"/>
    </row>
    <row r="24" spans="2:8" x14ac:dyDescent="0.4">
      <c r="B24" s="107" t="str">
        <f>C7&amp;" "&amp;"Gutscheine"&amp;" "&amp;"x"&amp;" "&amp;ROUND('Preise Output'!F7,2)&amp;"CHF"&amp;" "&amp;"je"&amp;" "&amp;"Gutschein"</f>
        <v>585 Gutscheine x 34,19CHF je Gutschein</v>
      </c>
      <c r="C24" s="247">
        <f>IFERROR(C7*'Preise Output'!$F$7,"--")</f>
        <v>20001.149999999998</v>
      </c>
    </row>
    <row r="25" spans="2:8" x14ac:dyDescent="0.4">
      <c r="B25" s="97" t="str">
        <f>"Das enspricht "&amp;TEXT('Preise Output'!E26/('Preise Output'!C10),"0,0%") &amp; " des Leerstands p.a."</f>
        <v>Das enspricht 10,7% des Leerstands p.a.</v>
      </c>
      <c r="C25" s="240"/>
      <c r="E25" s="97" t="s">
        <v>286</v>
      </c>
      <c r="F25" s="97" t="s">
        <v>287</v>
      </c>
    </row>
    <row r="26" spans="2:8" x14ac:dyDescent="0.4">
      <c r="B26" s="98" t="s">
        <v>296</v>
      </c>
      <c r="C26" s="243">
        <f>IFERROR(F26*E26,"--")</f>
        <v>760.04369999999994</v>
      </c>
      <c r="E26" s="232">
        <v>3.7999999999999999E-2</v>
      </c>
      <c r="F26" s="161">
        <f>C24-F27</f>
        <v>20001.149999999998</v>
      </c>
    </row>
    <row r="27" spans="2:8" ht="14.5" thickBot="1" x14ac:dyDescent="0.45">
      <c r="B27" s="99" t="str">
        <f>"Mehrwertsteuer " &amp; TEXT(E27,"0%")</f>
        <v>Mehrwertsteuer 0%</v>
      </c>
      <c r="C27" s="243">
        <f>IFERROR(F27*E27,"--")</f>
        <v>0</v>
      </c>
      <c r="E27" s="232"/>
      <c r="F27" s="161">
        <f>G27*C7</f>
        <v>0</v>
      </c>
      <c r="G27" s="104"/>
      <c r="H27" s="97" t="s">
        <v>292</v>
      </c>
    </row>
    <row r="28" spans="2:8" x14ac:dyDescent="0.4">
      <c r="C28" s="243"/>
    </row>
    <row r="29" spans="2:8" x14ac:dyDescent="0.4">
      <c r="C29" s="243"/>
    </row>
    <row r="30" spans="2:8" x14ac:dyDescent="0.4">
      <c r="B30" s="96" t="s">
        <v>64</v>
      </c>
      <c r="C30" s="243"/>
    </row>
    <row r="31" spans="2:8" x14ac:dyDescent="0.4">
      <c r="B31" s="107" t="str">
        <f>C4&amp;"CHF"&amp;" "&amp;"je"&amp;" "&amp;"Gutschein"&amp;" "&amp;"x"&amp;" "&amp;C7&amp;" "&amp;"Roomnights"</f>
        <v>19CHF je Gutschein x 585 Roomnights</v>
      </c>
      <c r="C31" s="247">
        <f>C7*C4</f>
        <v>11115.000000000002</v>
      </c>
    </row>
    <row r="32" spans="2:8" x14ac:dyDescent="0.4">
      <c r="B32" s="108" t="s">
        <v>293</v>
      </c>
      <c r="C32" s="238">
        <f>C26+C27</f>
        <v>760.04369999999994</v>
      </c>
    </row>
    <row r="33" spans="2:3" ht="14.5" thickBot="1" x14ac:dyDescent="0.45">
      <c r="B33" s="115" t="s">
        <v>288</v>
      </c>
      <c r="C33" s="248">
        <f>-(C13+C14)</f>
        <v>-1498.6123959296949</v>
      </c>
    </row>
    <row r="34" spans="2:3" x14ac:dyDescent="0.4">
      <c r="B34" s="96" t="s">
        <v>271</v>
      </c>
      <c r="C34" s="245">
        <f>SUM(C31:C33)</f>
        <v>10376.431304070307</v>
      </c>
    </row>
    <row r="35" spans="2:3" x14ac:dyDescent="0.4">
      <c r="C35" s="243"/>
    </row>
    <row r="36" spans="2:3" x14ac:dyDescent="0.4">
      <c r="B36" s="102" t="s">
        <v>65</v>
      </c>
      <c r="C36" s="249">
        <f>C12-C34</f>
        <v>8124.9562999999998</v>
      </c>
    </row>
    <row r="37" spans="2:3" x14ac:dyDescent="0.4">
      <c r="B37" s="97" t="s">
        <v>289</v>
      </c>
      <c r="C37" s="250">
        <f>C36/C12</f>
        <v>0.43915388801499994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F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G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H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I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J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K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L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M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N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R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S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T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U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V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W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X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Y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Z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D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E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F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G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H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I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J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K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L7" s="129">
        <f>IF($B$6=100%,(('Preise Output'!$F$10-INDEX(Annahmen!$B$18:$C$22,MATCH('Preise Output'!$C$7,Annahmen!$B$18:$B$22,0),2))*'Preise Output'!$E$26)/10,('Preise Output'!$E$26*'Preise Output'!$F$10-$D$6)/10)</f>
        <v>953.42568749999987</v>
      </c>
      <c r="AM7" s="130"/>
      <c r="AN7" s="130">
        <f t="shared" ref="AN7:AN43" si="0">SUM(D7:AM7)</f>
        <v>28602.770624999983</v>
      </c>
      <c r="AQ7" s="130">
        <f t="shared" ref="AQ7:AQ45" si="1">SUM(D7:F7)</f>
        <v>1906.8513749999997</v>
      </c>
      <c r="AR7" s="130">
        <f t="shared" ref="AR7:AR45" si="2">SUM(G7:I7)</f>
        <v>2860.2770624999994</v>
      </c>
      <c r="AS7" s="130">
        <f t="shared" ref="AS7:AS45" si="3">SUM(J7:L7)</f>
        <v>2860.2770624999994</v>
      </c>
      <c r="AT7" s="130">
        <f t="shared" ref="AT7:AT45" si="4">SUM(M7:O7)</f>
        <v>1906.8513749999997</v>
      </c>
      <c r="AU7" s="130">
        <f t="shared" ref="AU7:AU45" si="5">SUM(P7:R7)</f>
        <v>1906.8513749999997</v>
      </c>
      <c r="AV7" s="130">
        <f t="shared" ref="AV7:AV45" si="6">SUM(S7:U7)</f>
        <v>2860.2770624999994</v>
      </c>
      <c r="AW7" s="130">
        <f t="shared" ref="AW7:AW45" si="7">SUM(V7:X7)</f>
        <v>2860.2770624999994</v>
      </c>
      <c r="AX7" s="130">
        <f t="shared" ref="AX7:AX45" si="8">SUM(Y7:AA7)</f>
        <v>1906.8513749999997</v>
      </c>
      <c r="AY7" s="130">
        <f t="shared" ref="AY7:AY45" si="9">SUM(AB7:AD7)</f>
        <v>1906.8513749999997</v>
      </c>
      <c r="AZ7" s="130">
        <f t="shared" ref="AZ7:AZ45" si="10">SUM(AE7:AG7)</f>
        <v>2860.2770624999994</v>
      </c>
      <c r="BA7" s="130">
        <f t="shared" ref="BA7:BA45" si="11">SUM(AH7:AJ7)</f>
        <v>2860.2770624999994</v>
      </c>
      <c r="BB7" s="130">
        <f t="shared" ref="BB7:BB45" si="12">SUM(AK7:AM7)</f>
        <v>1906.8513749999997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29792.682562500002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7">
        <v>50</v>
      </c>
      <c r="H20" s="164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7">
        <v>60</v>
      </c>
      <c r="H21" s="164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7">
        <v>75</v>
      </c>
      <c r="H22" s="164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3C87567E-8DD9-4392-B4F0-25E3880999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2025-01-24T16:17:50Z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