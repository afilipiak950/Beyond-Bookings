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Emden/Parkhotel Emden/"/>
    </mc:Choice>
  </mc:AlternateContent>
  <xr:revisionPtr revIDLastSave="18" documentId="8_{207F9823-9F7A-439A-86BD-E629EE244269}" xr6:coauthVersionLast="47" xr6:coauthVersionMax="47" xr10:uidLastSave="{0D2432D8-D3E3-4345-A3A0-EB761471F54E}"/>
  <bookViews>
    <workbookView xWindow="951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<sst xmlns="http://schemas.openxmlformats.org/spreadsheetml/2006/main" count="510" uniqueCount="297">
  <si>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</si>
  <si>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</si>
  <si>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</si>
  <si>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</si>
  <si>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</si>
  <si>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</si>
  <si>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</si>
  <si>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</si>
  <si>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</si>
  <si>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</si>
  <si>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</si>
  <si>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</si>
  <si>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</si>
  <si>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</si>
  <si>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</si>
  <si>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</si>
  <si>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</si>
  <si>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</si>
  <si>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</si>
  <si>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</si>
  <si>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</si>
  <si>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</si>
  <si>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</si>
  <si>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</si>
  <si>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</si>
  <si>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</si>
  <si>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</si>
  <si>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</si>
  <si>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</si>
  <si>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</si>
  <si>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</si>
  <si>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</si>
  <si>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</si>
  <si>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</si>
  <si>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</si>
  <si>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</si>
  <si>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</si>
  <si>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</si>
  <si>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</si>
  <si>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</si>
  <si>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</si>
  <si>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</si>
  <si>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</si>
  <si>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</si>
  <si>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</si>
  <si>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</si>
  <si>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</si>
  <si>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</si>
  <si>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</si>
  <si>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</si>
  <si>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</si>
  <si>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</si>
  <si>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</si>
  <si>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</si>
  <si>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</si>
  <si>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</si>
  <si>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</si>
  <si>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</si>
  <si>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</si>
  <si>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</si>
  <si>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</si>
  <si>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</si>
  <si>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</si>
  <si>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</si>
  <si>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</si>
  <si>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</si>
  <si>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</si>
  <si>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</si>
  <si>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</si>
  <si>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</si>
  <si>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</si>
  <si>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</si>
  <si>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</si>
  <si>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</si>
  <si>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</si>
  <si>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</si>
  <si>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</si>
  <si>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</si>
  <si>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</si>
  <si>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</si>
  <si>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</si>
  <si>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</si>
  <si>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</si>
  <si>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</si>
  <si>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</si>
  <si>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</si>
  <si>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</si>
  <si>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</si>
  <si>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</si>
  <si>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</si>
  <si>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</si>
  <si>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</si>
  <si>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</si>
  <si>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</si>
  <si>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</si>
  <si>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</si>
  <si>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</si>
  <si>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</si>
  <si>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</si>
  <si>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</si>
  <si>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</si>
  <si>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</si>
  <si>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</si>
  <si>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</si>
  <si>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</si>
  <si>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</si>
  <si>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</si>
  <si>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</si>
  <si>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</si>
  <si>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</si>
  <si>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</si>
  <si>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</si>
  <si>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</si>
  <si>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</si>
  <si>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</si>
  <si>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</si>
  <si>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</si>
  <si>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</si>
  <si>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</si>
  <si>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</si>
  <si>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</si>
  <si>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</si>
  <si>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</si>
  <si>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</si>
  <si>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</si>
  <si>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</si>
  <si>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</si>
  <si>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</si>
  <si>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</si>
  <si>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</si>
  <si>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</si>
  <si>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</si>
  <si>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</si>
  <si>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</si>
  <si>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</si>
  <si>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</si>
  <si>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</si>
  <si>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</si>
  <si>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</si>
  <si>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</si>
  <si>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</si>
  <si>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</si>
  <si>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</si>
  <si>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</si>
  <si>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</si>
  <si>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</si>
  <si>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</si>
  <si>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</si>
  <si>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</si>
  <si>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</si>
  <si>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</si>
  <si>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</si>
  <si>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</si>
  <si>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</si>
  <si>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</si>
  <si>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</si>
  <si>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</si>
  <si>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</si>
  <si>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</si>
  <si>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</si>
  <si>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</si>
  <si>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</si>
  <si>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</si>
  <si>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</si>
  <si>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</si>
  <si>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</si>
  <si>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</si>
  <si>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</si>
  <si>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</si>
  <si>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</si>
  <si>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</si>
  <si>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</si>
  <si>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</si>
  <si>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</si>
  <si>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</si>
  <si>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</si>
  <si>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</si>
  <si>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</si>
  <si>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</si>
  <si>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</si>
  <si>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</si>
  <si>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</si>
  <si>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</si>
  <si>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</si>
  <si>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</si>
  <si>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</si>
  <si>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</si>
  <si>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</si>
  <si>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</si>
  <si>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</si>
  <si>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</si>
  <si>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</si>
  <si>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</si>
  <si>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</si>
  <si>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</si>
  <si>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</si>
  <si>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</si>
  <si>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</si>
  <si>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</si>
  <si>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</si>
  <si>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</si>
  <si>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</si>
  <si>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</si>
  <si>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</si>
  <si>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</si>
  <si>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</si>
  <si>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</si>
  <si>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</si>
  <si>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</si>
  <si>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</si>
  <si>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</si>
  <si>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</si>
  <si>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</si>
  <si>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</si>
  <si>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</si>
  <si>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</si>
  <si>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</si>
  <si>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</si>
  <si>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</si>
  <si>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</si>
  <si>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</si>
  <si>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</si>
  <si>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</si>
  <si>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</si>
  <si>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</si>
  <si>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</si>
  <si>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</si>
  <si>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</si>
  <si>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</si>
  <si>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</si>
  <si>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</si>
  <si>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</si>
  <si>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</si>
  <si>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</si>
  <si>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</si>
  <si>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</si>
  <si>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</si>
  <si>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</si>
  <si>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</si>
  <si>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</si>
  <si>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</si>
  <si>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</si>
  <si>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</si>
  <si>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</si>
  <si>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</si>
  <si>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</si>
  <si>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</si>
  <si>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</si>
  <si>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</si>
  <si>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</si>
  <si>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</si>
  <si>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</si>
  <si>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</si>
  <si>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</si>
  <si>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</si>
  <si>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</si>
  <si>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</si>
  <si>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</si>
  <si>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</si>
  <si>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</si>
  <si>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</si>
  <si>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</si>
  <si>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</si>
  <si>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</si>
  <si>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</si>
  <si>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</si>
  <si>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</si>
  <si>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</si>
  <si>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</si>
  <si>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</si>
  <si>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</si>
  <si>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</si>
  <si>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</si>
  <si>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</si>
  <si>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</si>
  <si>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</si>
  <si>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</si>
  <si>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</si>
  <si>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</si>
  <si>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</si>
  <si>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</si>
  <si>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</si>
  <si>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</si>
  <si>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</si>
  <si>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</si>
  <si>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</si>
  <si>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</si>
  <si>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</si>
  <si>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</si>
  <si>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</si>
  <si>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</si>
  <si>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</si>
  <si>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</si>
  <si>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</si>
  <si>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</si>
  <si>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</si>
  <si>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Parkhotel Emden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</si>
</sst>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  <xf numFmtId="44" fontId="20" fillId="16" borderId="0" xfId="1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45393</v>
      </c>
      <c r="E5" s="151" t="s">
        <v>5</v>
      </c>
      <c r="F5" s="153">
        <v>69</v>
      </c>
      <c r="G5" s="217"/>
      <c r="H5" s="217"/>
    </row>
    <row r="6" spans="1:32" x14ac:dyDescent="0.4">
      <c r="B6" s="48" t="s">
        <v>4</v>
      </c>
      <c r="C6" s="49" t="s">
        <v>296</v>
      </c>
      <c r="E6" s="152" t="s">
        <v>290</v>
      </c>
      <c r="F6" s="242">
        <f>C12*0.65</f>
        <v>81.25</v>
      </c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</row>
    <row r="7" spans="1:32" x14ac:dyDescent="0.4">
      <c r="B7" s="48" t="s">
        <v>6</v>
      </c>
      <c r="C7" s="49" t="s">
        <v>7</v>
      </c>
      <c r="E7" s="154" t="s">
        <v>8</v>
      </c>
      <c r="F7" s="243">
        <v>39.65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95</v>
      </c>
      <c r="E8" s="218"/>
      <c r="F8" s="218"/>
      <c r="G8" s="218"/>
      <c r="H8" s="218"/>
      <c r="I8" s="21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0.30381872832048018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10402.500000000002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43092.225000000006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125</v>
      </c>
      <c r="D12" s="61"/>
      <c r="E12" s="155" t="s">
        <v>243</v>
      </c>
      <c r="F12" s="240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1"/>
      <c r="F13" s="221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0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757</v>
      </c>
      <c r="F24" s="76">
        <v>3</v>
      </c>
      <c r="G24" s="77">
        <f>F12*D24</f>
        <v>30000</v>
      </c>
      <c r="H24" s="77">
        <f>$E24*$F$10*1.1-$G24</f>
        <v>13092.225000000006</v>
      </c>
      <c r="I24" s="77">
        <f>G24+H24</f>
        <v>43092.225000000006</v>
      </c>
      <c r="J24" s="78">
        <f t="shared" si="16"/>
        <v>0.30381872832048018</v>
      </c>
      <c r="K24" s="77">
        <v>0</v>
      </c>
      <c r="L24" s="77">
        <v>0</v>
      </c>
      <c r="M24" s="77">
        <f>G24*1.19-G24</f>
        <v>5700</v>
      </c>
      <c r="N24" s="77">
        <f t="shared" si="5"/>
        <v>1860.8006249999999</v>
      </c>
      <c r="O24" s="77">
        <f>L24-M24-N24</f>
        <v>-7560.8006249999999</v>
      </c>
      <c r="P24" s="79">
        <f>IFERROR($H24-L24,"")</f>
        <v>13092.225000000006</v>
      </c>
      <c r="Q24" s="78">
        <f>IFERROR(($H24-L24)/$I24,"")</f>
        <v>0.30381872832048018</v>
      </c>
      <c r="R24" s="80">
        <f>IFERROR((1-Q24)*F24,"")</f>
        <v>2.0885438150385593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757</v>
      </c>
      <c r="F26" s="89"/>
      <c r="G26" s="89">
        <f>SUBTOTAL(9,G19:G24)</f>
        <v>30000</v>
      </c>
      <c r="H26" s="89">
        <f>SUBTOTAL(9,H19:H24)</f>
        <v>13092.225000000006</v>
      </c>
      <c r="I26" s="89">
        <f>SUBTOTAL(9,I19:I24)</f>
        <v>43092.225000000006</v>
      </c>
      <c r="J26" s="90">
        <f>H26/I26</f>
        <v>0.30381872832048018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1860.8006249999999</v>
      </c>
      <c r="O26" s="89">
        <f t="shared" si="25"/>
        <v>-7560.8006249999999</v>
      </c>
      <c r="P26" s="89">
        <f t="shared" si="25"/>
        <v>13092.225000000006</v>
      </c>
      <c r="Q26" s="90">
        <f>($H26-L26)/$I26</f>
        <v>0.30381872832048018</v>
      </c>
      <c r="R26" s="91">
        <f>IFERROR((1-Q26)*F26,"")</f>
        <v>0</v>
      </c>
    </row>
    <row r="27" spans="2:32" x14ac:dyDescent="0.4">
      <c r="E27" s="220" t="str">
        <f>"Das enspricht "&amp;TEXT(E26/(C10),"0,0%") &amp; " des Leerstands p.a. über 3 Jahre."</f>
        <v>Das enspricht 7,3%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3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4">
        <v>25</v>
      </c>
    </row>
    <row r="3" spans="2:11" x14ac:dyDescent="0.4">
      <c r="B3" s="103" t="s">
        <v>52</v>
      </c>
      <c r="C3" s="224">
        <v>45</v>
      </c>
    </row>
    <row r="4" spans="2:11" x14ac:dyDescent="0.4">
      <c r="B4" s="103" t="s">
        <v>53</v>
      </c>
      <c r="C4" s="225">
        <f>+C3-C2</f>
        <v>20</v>
      </c>
    </row>
    <row r="5" spans="2:11" ht="6" customHeight="1" x14ac:dyDescent="0.4">
      <c r="C5" s="226"/>
    </row>
    <row r="6" spans="2:11" x14ac:dyDescent="0.4">
      <c r="B6" s="103" t="s">
        <v>54</v>
      </c>
      <c r="C6" s="224" t="s">
        <v>264</v>
      </c>
    </row>
    <row r="7" spans="2:11" x14ac:dyDescent="0.4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757</v>
      </c>
    </row>
    <row r="9" spans="2:11" x14ac:dyDescent="0.4">
      <c r="B9" s="109" t="s">
        <v>56</v>
      </c>
      <c r="C9" s="227"/>
    </row>
    <row r="11" spans="2:11" ht="14.5" thickBot="1" x14ac:dyDescent="0.45">
      <c r="B11" s="106" t="s">
        <v>255</v>
      </c>
      <c r="C11" s="228">
        <f>C12</f>
        <v>25210.084033613446</v>
      </c>
    </row>
    <row r="12" spans="2:11" x14ac:dyDescent="0.4">
      <c r="B12" s="211" t="s">
        <v>285</v>
      </c>
      <c r="C12" s="229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1">
        <f>F14*E14</f>
        <v>4789.9159663865548</v>
      </c>
      <c r="E14" s="222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2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4"/>
      <c r="D17" s="97" t="s">
        <v>184</v>
      </c>
    </row>
    <row r="18" spans="2:8" x14ac:dyDescent="0.4">
      <c r="B18" s="100" t="s">
        <v>180</v>
      </c>
      <c r="C18" s="235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7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757 Gutscheine x 39,65€ je Gutschein</v>
      </c>
      <c r="C24" s="236">
        <f>IFERROR(C7*'Preise Output'!$F$7,"--")</f>
        <v>30015.05</v>
      </c>
    </row>
    <row r="25" spans="2:8" x14ac:dyDescent="0.4">
      <c r="B25" s="97" t="str">
        <f>"Das enspricht "&amp;TEXT('Preise Output'!E26/('Preise Output'!C10),"0,0%") &amp; " des Leerstands p.a."</f>
        <v>Das enspricht 7,3% des Leerstands p.a.</v>
      </c>
      <c r="C25" s="230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3">
        <f>IFERROR(F26*E26,"--")</f>
        <v>1836.1035000000002</v>
      </c>
      <c r="E26" s="222">
        <v>7.0000000000000007E-2</v>
      </c>
      <c r="F26" s="162">
        <f>C24-F27</f>
        <v>26230.05</v>
      </c>
    </row>
    <row r="27" spans="2:8" ht="14.5" thickBot="1" x14ac:dyDescent="0.45">
      <c r="B27" s="99" t="str">
        <f>"Mehrwertsteuer " &amp; TEXT(E27,"0%")</f>
        <v>Mehrwertsteuer 19%</v>
      </c>
      <c r="C27" s="233">
        <f>IFERROR(F27*E27,"--")</f>
        <v>719.15</v>
      </c>
      <c r="E27" s="222">
        <v>0.19</v>
      </c>
      <c r="F27" s="162">
        <f>G27*C7</f>
        <v>3785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757 Roomnights</v>
      </c>
      <c r="C31" s="236">
        <f>C7*C4</f>
        <v>15140</v>
      </c>
    </row>
    <row r="32" spans="2:8" x14ac:dyDescent="0.4">
      <c r="B32" s="108" t="s">
        <v>293</v>
      </c>
      <c r="C32" s="228">
        <f>C26+C27</f>
        <v>2555.2535000000003</v>
      </c>
    </row>
    <row r="33" spans="2:3" ht="14.5" thickBot="1" x14ac:dyDescent="0.45">
      <c r="B33" s="115" t="s">
        <v>288</v>
      </c>
      <c r="C33" s="237">
        <f>-(C13+C14)</f>
        <v>-4789.9159663865548</v>
      </c>
    </row>
    <row r="34" spans="2:3" x14ac:dyDescent="0.4">
      <c r="B34" s="96" t="s">
        <v>271</v>
      </c>
      <c r="C34" s="235">
        <f>SUM(C31:C33)</f>
        <v>12905.337533613445</v>
      </c>
    </row>
    <row r="36" spans="2:3" x14ac:dyDescent="0.4">
      <c r="B36" s="102" t="s">
        <v>65</v>
      </c>
      <c r="C36" s="238">
        <f>C12-C34</f>
        <v>12304.746500000001</v>
      </c>
    </row>
    <row r="37" spans="2:3" x14ac:dyDescent="0.4">
      <c r="B37" s="97" t="s">
        <v>289</v>
      </c>
      <c r="C37" s="239">
        <f>C36/C12</f>
        <v>0.48808827783333336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0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0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26495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26495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26495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26495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F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G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H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I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J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K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L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M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N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R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S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T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U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V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W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X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Y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Z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1267.9749999999999</v>
      </c>
      <c r="AM7" s="130"/>
      <c r="AN7" s="130">
        <f t="shared" ref="AN7:AN43" si="0">SUM(D7:AM7)</f>
        <v>38039.249999999978</v>
      </c>
      <c r="AQ7" s="130">
        <f t="shared" ref="AQ7:AQ45" si="1">SUM(D7:F7)</f>
        <v>2535.9499999999998</v>
      </c>
      <c r="AR7" s="130">
        <f t="shared" ref="AR7:AR45" si="2">SUM(G7:I7)</f>
        <v>3803.9249999999997</v>
      </c>
      <c r="AS7" s="130">
        <f t="shared" ref="AS7:AS45" si="3">SUM(J7:L7)</f>
        <v>3803.9249999999997</v>
      </c>
      <c r="AT7" s="130">
        <f t="shared" ref="AT7:AT45" si="4">SUM(M7:O7)</f>
        <v>2535.9499999999998</v>
      </c>
      <c r="AU7" s="130">
        <f t="shared" ref="AU7:AU45" si="5">SUM(P7:R7)</f>
        <v>2535.9499999999998</v>
      </c>
      <c r="AV7" s="130">
        <f t="shared" ref="AV7:AV45" si="6">SUM(S7:U7)</f>
        <v>3803.9249999999997</v>
      </c>
      <c r="AW7" s="130">
        <f t="shared" ref="AW7:AW45" si="7">SUM(V7:X7)</f>
        <v>3803.9249999999997</v>
      </c>
      <c r="AX7" s="130">
        <f t="shared" ref="AX7:AX45" si="8">SUM(Y7:AA7)</f>
        <v>2535.9499999999998</v>
      </c>
      <c r="AY7" s="130">
        <f t="shared" ref="AY7:AY45" si="9">SUM(AB7:AD7)</f>
        <v>2535.9499999999998</v>
      </c>
      <c r="AZ7" s="130">
        <f t="shared" ref="AZ7:AZ45" si="10">SUM(AE7:AG7)</f>
        <v>3803.9249999999997</v>
      </c>
      <c r="BA7" s="130">
        <f t="shared" ref="BA7:BA45" si="11">SUM(AH7:AJ7)</f>
        <v>3803.9249999999997</v>
      </c>
      <c r="BB7" s="130">
        <f t="shared" ref="BB7:BB45" si="12">SUM(AK7:AM7)</f>
        <v>2535.9499999999998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43092.225000000006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3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CECC86-73B7-4A3F-894C-FEEB7DB0F33A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2024-04-11T07:19:30Z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