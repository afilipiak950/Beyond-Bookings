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hlegel Gastronomie GmbH/Hotel Oberkirch/"/>
    </mc:Choice>
  </mc:AlternateContent>
  <xr:revisionPtr revIDLastSave="90" documentId="8_{207F9823-9F7A-439A-86BD-E629EE244269}" xr6:coauthVersionLast="47" xr6:coauthVersionMax="47" xr10:uidLastSave="{C7ECB491-088A-4662-BBEF-846AD8808B25}"/>
  <bookViews>
    <workbookView xWindow="9510" yWindow="0" windowWidth="9780" windowHeight="101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K26" i="8" l="1"/>
  <c r="L26" i="8" s="1"/>
  <c r="L27" i="8" s="1"/>
  <c r="J24" i="1"/>
  <c r="Q24" i="1"/>
  <c r="R24" i="1" s="1"/>
  <c r="U5" i="10"/>
  <c r="C32" i="8" l="1"/>
  <c r="N23" i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<sst xmlns="http://schemas.openxmlformats.org/spreadsheetml/2006/main" count="511" uniqueCount="298">
  <si>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</si>
  <si>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</si>
  <si>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</si>
  <si>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</si>
  <si>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</si>
  <si>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</si>
  <si>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</si>
  <si>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</si>
  <si>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</si>
  <si>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</si>
  <si>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</si>
  <si>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</si>
  <si>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</si>
  <si>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</si>
  <si>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</si>
  <si>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</si>
  <si>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</si>
  <si>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</si>
  <si>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</si>
  <si>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</si>
  <si>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</si>
  <si>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</si>
  <si>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</si>
  <si>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</si>
  <si>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</si>
  <si>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</si>
  <si>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</si>
  <si>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</si>
  <si>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</si>
  <si>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</si>
  <si>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</si>
  <si>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</si>
  <si>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</si>
  <si>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</si>
  <si>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</si>
  <si>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</si>
  <si>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</si>
  <si>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</si>
  <si>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</si>
  <si>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</si>
  <si>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</si>
  <si>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</si>
  <si>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</si>
  <si>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</si>
  <si>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</si>
  <si>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</si>
  <si>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</si>
  <si>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</si>
  <si>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</si>
  <si>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</si>
  <si>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</si>
  <si>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</si>
  <si>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</si>
  <si>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</si>
  <si>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</si>
  <si>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</si>
  <si>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</si>
  <si>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</si>
  <si>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</si>
  <si>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</si>
  <si>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</si>
  <si>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</si>
  <si>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</si>
  <si>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</si>
  <si>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</si>
  <si>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</si>
  <si>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</si>
  <si>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</si>
  <si>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</si>
  <si>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</si>
  <si>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</si>
  <si>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</si>
  <si>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</si>
  <si>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</si>
  <si>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</si>
  <si>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</si>
  <si>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</si>
  <si>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</si>
  <si>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</si>
  <si>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</si>
  <si>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</si>
  <si>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</si>
  <si>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</si>
  <si>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</si>
  <si>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</si>
  <si>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</si>
  <si>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</si>
  <si>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</si>
  <si>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</si>
  <si>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</si>
  <si>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</si>
  <si>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</si>
  <si>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</si>
  <si>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</si>
  <si>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</si>
  <si>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</si>
  <si>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</si>
  <si>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</si>
  <si>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</si>
  <si>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</si>
  <si>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</si>
  <si>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</si>
  <si>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</si>
  <si>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</si>
  <si>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</si>
  <si>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</si>
  <si>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</si>
  <si>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</si>
  <si>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</si>
  <si>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</si>
  <si>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</si>
  <si>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</si>
  <si>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</si>
  <si>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</si>
  <si>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</si>
  <si>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</si>
  <si>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</si>
  <si>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</si>
  <si>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</si>
  <si>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</si>
  <si>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</si>
  <si>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</si>
  <si>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</si>
  <si>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</si>
  <si>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</si>
  <si>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</si>
  <si>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</si>
  <si>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</si>
  <si>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</si>
  <si>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</si>
  <si>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</si>
  <si>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</si>
  <si>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</si>
  <si>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</si>
  <si>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</si>
  <si>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</si>
  <si>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</si>
  <si>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</si>
  <si>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</si>
  <si>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</si>
  <si>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</si>
  <si>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</si>
  <si>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</si>
  <si>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</si>
  <si>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</si>
  <si>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</si>
  <si>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</si>
  <si>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</si>
  <si>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</si>
  <si>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</si>
  <si>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</si>
  <si>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</si>
  <si>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</si>
  <si>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</si>
  <si>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</si>
  <si>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</si>
  <si>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</si>
  <si>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</si>
  <si>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</si>
  <si>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</si>
  <si>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</si>
  <si>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</si>
  <si>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</si>
  <si>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</si>
  <si>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</si>
  <si>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</si>
  <si>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</si>
  <si>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</si>
  <si>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</si>
  <si>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</si>
  <si>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</si>
  <si>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</si>
  <si>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</si>
  <si>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</si>
  <si>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</si>
  <si>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</si>
  <si>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</si>
  <si>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</si>
  <si>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</si>
  <si>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</si>
  <si>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</si>
  <si>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</si>
  <si>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</si>
  <si>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</si>
  <si>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</si>
  <si>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</si>
  <si>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</si>
  <si>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</si>
  <si>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</si>
  <si>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</si>
  <si>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</si>
  <si>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</si>
  <si>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</si>
  <si>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</si>
  <si>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</si>
  <si>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</si>
  <si>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</si>
  <si>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</si>
  <si>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</si>
  <si>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</si>
  <si>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</si>
  <si>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</si>
  <si>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</si>
  <si>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</si>
  <si>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</si>
  <si>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</si>
  <si>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</si>
  <si>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</si>
  <si>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</si>
  <si>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</si>
  <si>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</si>
  <si>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</si>
  <si>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</si>
  <si>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</si>
  <si>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</si>
  <si>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</si>
  <si>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</si>
  <si>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</si>
  <si>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</si>
  <si>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</si>
  <si>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</si>
  <si>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</si>
  <si>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</si>
  <si>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</si>
  <si>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</si>
  <si>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</si>
  <si>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</si>
  <si>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</si>
  <si>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</si>
  <si>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</si>
  <si>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</si>
  <si>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</si>
  <si>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</si>
  <si>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</si>
  <si>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</si>
  <si>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</si>
  <si>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</si>
  <si>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</si>
  <si>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</si>
  <si>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</si>
  <si>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</si>
  <si>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</si>
  <si>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</si>
  <si>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</si>
  <si>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</si>
  <si>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</si>
  <si>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</si>
  <si>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</si>
  <si>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</si>
  <si>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</si>
  <si>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</si>
  <si>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</si>
  <si>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</si>
  <si>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</si>
  <si>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</si>
  <si>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</si>
  <si>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</si>
  <si>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</si>
  <si>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</si>
  <si>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</si>
  <si>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</si>
  <si>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</si>
  <si>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</si>
  <si>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</si>
  <si>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</si>
  <si>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</si>
  <si>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</si>
  <si>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</si>
  <si>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</si>
  <si>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</si>
  <si>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</si>
  <si>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</si>
  <si>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</si>
  <si>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</si>
  <si>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</si>
  <si>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</si>
  <si>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</si>
  <si>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</si>
  <si>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</si>
  <si>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</si>
  <si>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</si>
  <si>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</si>
  <si>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</si>
  <si>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</si>
  <si>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</si>
  <si>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</si>
  <si>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</si>
  <si>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</si>
  <si>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</si>
  <si>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</si>
  <si>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</si>
  <si>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</si>
  <si>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</si>
  <si>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</si>
  <si>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</si>
  <si>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</si>
  <si>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Oberkirch</t>
  </si>
  <si>
    <t>ACHTUNG MIT ÜBERNACHTUNGSSTEUER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</si>
</sst>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b/>
      <sz val="16"/>
      <color rgb="FFFF0000"/>
      <name val="Avenir"/>
    </font>
    <font>
      <b/>
      <sz val="10"/>
      <color rgb="FFFF0000"/>
      <name val="Avenir"/>
      <family val="2"/>
    </font>
    <font>
      <b/>
      <sz val="11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6" fillId="0" borderId="0" xfId="0" applyFont="1"/>
    <xf numFmtId="0" fontId="25" fillId="0" borderId="1" xfId="0" applyFont="1" applyBorder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19" xfId="0" applyFont="1" applyBorder="1" applyAlignment="1">
      <alignment vertical="top" wrapText="1"/>
    </xf>
    <xf numFmtId="9" fontId="12" fillId="4" borderId="20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19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2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1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2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2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3" xfId="0" applyFont="1" applyBorder="1"/>
    <xf numFmtId="8" fontId="36" fillId="0" borderId="24" xfId="0" applyNumberFormat="1" applyFont="1" applyBorder="1" applyAlignment="1">
      <alignment wrapText="1"/>
    </xf>
    <xf numFmtId="8" fontId="36" fillId="15" borderId="24" xfId="0" applyNumberFormat="1" applyFont="1" applyFill="1" applyBorder="1" applyAlignment="1">
      <alignment wrapText="1"/>
    </xf>
    <xf numFmtId="8" fontId="36" fillId="0" borderId="24" xfId="0" applyNumberFormat="1" applyFont="1" applyBorder="1"/>
    <xf numFmtId="0" fontId="37" fillId="0" borderId="22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2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2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26" fillId="0" borderId="0" xfId="4" applyFont="1"/>
    <xf numFmtId="171" fontId="20" fillId="14" borderId="17" xfId="4" applyNumberFormat="1" applyFont="1" applyFill="1" applyBorder="1" applyAlignment="1"/>
    <xf numFmtId="4" fontId="0" fillId="0" borderId="27" xfId="0" applyNumberFormat="1" applyBorder="1"/>
    <xf numFmtId="0" fontId="26" fillId="8" borderId="0" xfId="0" applyFont="1" applyFill="1"/>
    <xf numFmtId="0" fontId="29" fillId="8" borderId="0" xfId="0" applyFont="1" applyFill="1"/>
    <xf numFmtId="164" fontId="30" fillId="8" borderId="0" xfId="4" applyFont="1" applyFill="1"/>
    <xf numFmtId="164" fontId="26" fillId="8" borderId="0" xfId="4" applyFont="1" applyFill="1"/>
    <xf numFmtId="0" fontId="15" fillId="8" borderId="12" xfId="0" applyFont="1" applyFill="1" applyBorder="1"/>
    <xf numFmtId="0" fontId="15" fillId="8" borderId="25" xfId="0" applyFont="1" applyFill="1" applyBorder="1"/>
    <xf numFmtId="0" fontId="15" fillId="8" borderId="0" xfId="0" applyFont="1" applyFill="1"/>
    <xf numFmtId="9" fontId="26" fillId="8" borderId="1" xfId="2" applyFont="1" applyFill="1" applyBorder="1"/>
    <xf numFmtId="0" fontId="26" fillId="8" borderId="1" xfId="0" applyFont="1" applyFill="1" applyBorder="1"/>
    <xf numFmtId="0" fontId="15" fillId="8" borderId="9" xfId="0" applyFont="1" applyFill="1" applyBorder="1"/>
    <xf numFmtId="166" fontId="26" fillId="8" borderId="0" xfId="0" applyNumberFormat="1" applyFont="1" applyFill="1"/>
    <xf numFmtId="0" fontId="15" fillId="8" borderId="10" xfId="0" applyFont="1" applyFill="1" applyBorder="1"/>
    <xf numFmtId="0" fontId="27" fillId="8" borderId="0" xfId="0" applyFont="1" applyFill="1"/>
    <xf numFmtId="0" fontId="28" fillId="8" borderId="0" xfId="0" applyFont="1" applyFill="1"/>
    <xf numFmtId="0" fontId="26" fillId="8" borderId="11" xfId="0" applyFont="1" applyFill="1" applyBorder="1"/>
    <xf numFmtId="164" fontId="26" fillId="8" borderId="0" xfId="0" applyNumberFormat="1" applyFont="1" applyFill="1"/>
    <xf numFmtId="0" fontId="25" fillId="8" borderId="0" xfId="0" applyFont="1" applyFill="1"/>
    <xf numFmtId="0" fontId="26" fillId="8" borderId="12" xfId="0" applyFont="1" applyFill="1" applyBorder="1"/>
    <xf numFmtId="0" fontId="26" fillId="8" borderId="13" xfId="0" applyFont="1" applyFill="1" applyBorder="1"/>
    <xf numFmtId="164" fontId="26" fillId="8" borderId="0" xfId="2" applyNumberFormat="1" applyFont="1" applyFill="1"/>
    <xf numFmtId="169" fontId="48" fillId="8" borderId="0" xfId="0" applyNumberFormat="1" applyFont="1" applyFill="1"/>
    <xf numFmtId="169" fontId="26" fillId="8" borderId="12" xfId="4" applyNumberFormat="1" applyFont="1" applyFill="1" applyBorder="1"/>
    <xf numFmtId="169" fontId="26" fillId="8" borderId="26" xfId="4" applyNumberFormat="1" applyFont="1" applyFill="1" applyBorder="1"/>
    <xf numFmtId="169" fontId="26" fillId="8" borderId="0" xfId="4" applyNumberFormat="1" applyFont="1" applyFill="1" applyBorder="1"/>
    <xf numFmtId="169" fontId="15" fillId="8" borderId="9" xfId="0" applyNumberFormat="1" applyFont="1" applyFill="1" applyBorder="1"/>
    <xf numFmtId="169" fontId="26" fillId="8" borderId="10" xfId="4" applyNumberFormat="1" applyFont="1" applyFill="1" applyBorder="1"/>
    <xf numFmtId="169" fontId="26" fillId="8" borderId="0" xfId="4" applyNumberFormat="1" applyFont="1" applyFill="1"/>
    <xf numFmtId="169" fontId="26" fillId="8" borderId="9" xfId="4" applyNumberFormat="1" applyFont="1" applyFill="1" applyBorder="1"/>
    <xf numFmtId="169" fontId="25" fillId="8" borderId="0" xfId="4" applyNumberFormat="1" applyFont="1" applyFill="1"/>
    <xf numFmtId="169" fontId="30" fillId="8" borderId="0" xfId="4" applyNumberFormat="1" applyFont="1" applyFill="1"/>
    <xf numFmtId="169" fontId="26" fillId="8" borderId="11" xfId="4" applyNumberFormat="1" applyFont="1" applyFill="1" applyBorder="1"/>
    <xf numFmtId="169" fontId="47" fillId="8" borderId="12" xfId="4" applyNumberFormat="1" applyFont="1" applyFill="1" applyBorder="1"/>
    <xf numFmtId="169" fontId="26" fillId="8" borderId="13" xfId="4" applyNumberFormat="1" applyFont="1" applyFill="1" applyBorder="1"/>
    <xf numFmtId="169" fontId="29" fillId="8" borderId="0" xfId="4" applyNumberFormat="1" applyFont="1" applyFill="1"/>
    <xf numFmtId="169" fontId="26" fillId="8" borderId="0" xfId="0" applyNumberFormat="1" applyFont="1" applyFill="1"/>
    <xf numFmtId="0" fontId="46" fillId="8" borderId="0" xfId="0" applyFont="1" applyFill="1" applyAlignment="1">
      <alignment horizontal="center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1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10" sqref="C10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48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08" t="s">
        <v>0</v>
      </c>
      <c r="D2" s="131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30">
        <v>45464</v>
      </c>
      <c r="E5" s="138" t="s">
        <v>5</v>
      </c>
      <c r="F5" s="140">
        <v>70</v>
      </c>
      <c r="G5" s="203"/>
      <c r="H5" s="203"/>
    </row>
    <row r="6" spans="1:32" x14ac:dyDescent="0.4">
      <c r="B6" s="48" t="s">
        <v>4</v>
      </c>
      <c r="C6" s="49" t="s">
        <v>296</v>
      </c>
      <c r="E6" s="139" t="s">
        <v>290</v>
      </c>
      <c r="F6" s="37">
        <f>C12*0.65</f>
        <v>107.25</v>
      </c>
      <c r="G6" s="202"/>
      <c r="H6" s="202"/>
      <c r="I6" s="202"/>
      <c r="J6" s="202"/>
      <c r="K6" s="202"/>
      <c r="L6" s="202"/>
      <c r="M6" s="202"/>
      <c r="N6" s="202"/>
      <c r="O6" s="202"/>
      <c r="P6" s="202"/>
      <c r="Q6" s="202"/>
      <c r="R6" s="202"/>
    </row>
    <row r="7" spans="1:32" x14ac:dyDescent="0.4">
      <c r="B7" s="48" t="s">
        <v>6</v>
      </c>
      <c r="C7" s="49" t="s">
        <v>7</v>
      </c>
      <c r="E7" s="141" t="s">
        <v>8</v>
      </c>
      <c r="F7" s="196">
        <v>36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45">
        <v>26</v>
      </c>
      <c r="E8" s="204"/>
      <c r="F8" s="204"/>
      <c r="G8" s="204"/>
      <c r="H8" s="204"/>
      <c r="I8" s="204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43" t="s">
        <v>246</v>
      </c>
      <c r="F9" s="144">
        <f>IFERROR(J26,"Bitte Produkt auswählen")</f>
        <v>0.37662337662337669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3321.5</v>
      </c>
      <c r="E10" s="139" t="s">
        <v>13</v>
      </c>
      <c r="F10" s="154">
        <f>F5*0.75</f>
        <v>52.5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498.22499999999997</v>
      </c>
      <c r="E11" s="153" t="s">
        <v>14</v>
      </c>
      <c r="F11" s="213">
        <f>+I26</f>
        <v>28875.000000000004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45">
        <v>165</v>
      </c>
      <c r="D12" s="61"/>
      <c r="E12" s="142" t="s">
        <v>243</v>
      </c>
      <c r="F12" s="214">
        <v>18000</v>
      </c>
      <c r="G12" s="152"/>
      <c r="H12" s="195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07"/>
      <c r="F13" s="207"/>
      <c r="G13" s="152"/>
      <c r="H13" s="195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37" t="s">
        <v>15</v>
      </c>
      <c r="C14" s="133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32"/>
      <c r="C15" s="133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06"/>
      <c r="AE16" s="52"/>
      <c r="AF16" s="52"/>
    </row>
    <row r="17" spans="2:32" s="69" customFormat="1" ht="30.75" customHeight="1" x14ac:dyDescent="0.4">
      <c r="B17" s="98" t="s">
        <v>18</v>
      </c>
      <c r="C17" s="98" t="s">
        <v>19</v>
      </c>
      <c r="D17" s="98" t="s">
        <v>20</v>
      </c>
      <c r="E17" s="99" t="s">
        <v>282</v>
      </c>
      <c r="F17" s="99" t="s">
        <v>21</v>
      </c>
      <c r="G17" s="100" t="s">
        <v>22</v>
      </c>
      <c r="H17" s="100" t="s">
        <v>291</v>
      </c>
      <c r="I17" s="100" t="s">
        <v>244</v>
      </c>
      <c r="J17" s="99" t="s">
        <v>245</v>
      </c>
      <c r="K17" s="100" t="s">
        <v>24</v>
      </c>
      <c r="L17" s="100" t="s">
        <v>25</v>
      </c>
      <c r="M17" s="100" t="s">
        <v>26</v>
      </c>
      <c r="N17" s="100" t="s">
        <v>27</v>
      </c>
      <c r="O17" s="100" t="s">
        <v>28</v>
      </c>
      <c r="P17" s="100" t="s">
        <v>29</v>
      </c>
      <c r="Q17" s="100" t="s">
        <v>30</v>
      </c>
      <c r="R17" s="100" t="s">
        <v>31</v>
      </c>
      <c r="S17" s="106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46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46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46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197" t="s">
        <v>252</v>
      </c>
      <c r="C22" s="76" t="s">
        <v>36</v>
      </c>
      <c r="D22" s="146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46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46">
        <v>1</v>
      </c>
      <c r="E24" s="76">
        <f>ROUND(G24/F$7,0)</f>
        <v>500</v>
      </c>
      <c r="F24" s="76">
        <v>3</v>
      </c>
      <c r="G24" s="77">
        <f>F12*D24</f>
        <v>18000</v>
      </c>
      <c r="H24" s="77">
        <f>$E24*$F$10*1.1-$G24</f>
        <v>10875.000000000004</v>
      </c>
      <c r="I24" s="77">
        <f>G24+H24</f>
        <v>28875.000000000004</v>
      </c>
      <c r="J24" s="78">
        <f t="shared" si="16"/>
        <v>0.37662337662337669</v>
      </c>
      <c r="K24" s="77">
        <v>0</v>
      </c>
      <c r="L24" s="77">
        <v>0</v>
      </c>
      <c r="M24" s="77">
        <f>G24*1.19-G24</f>
        <v>3420</v>
      </c>
      <c r="N24" s="77">
        <f t="shared" si="5"/>
        <v>1246.875</v>
      </c>
      <c r="O24" s="77">
        <f>L24-M24-N24</f>
        <v>-4666.875</v>
      </c>
      <c r="P24" s="79">
        <f>IFERROR($H24-L24,"")</f>
        <v>10875.000000000004</v>
      </c>
      <c r="Q24" s="78">
        <f>IFERROR(($H24-L24)/$I24,"")</f>
        <v>0.37662337662337669</v>
      </c>
      <c r="R24" s="80">
        <f>IFERROR((1-Q24)*F24,"")</f>
        <v>1.8701298701298701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18000</v>
      </c>
      <c r="H26" s="89">
        <f>SUBTOTAL(9,H19:H24)</f>
        <v>10875.000000000004</v>
      </c>
      <c r="I26" s="89">
        <f>SUBTOTAL(9,I19:I24)</f>
        <v>28875.000000000004</v>
      </c>
      <c r="J26" s="90">
        <f>H26/I26</f>
        <v>0.37662337662337669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3420</v>
      </c>
      <c r="N26" s="89">
        <f t="shared" si="25"/>
        <v>1246.875</v>
      </c>
      <c r="O26" s="89">
        <f t="shared" si="25"/>
        <v>-4666.875</v>
      </c>
      <c r="P26" s="89">
        <f t="shared" si="25"/>
        <v>10875.000000000004</v>
      </c>
      <c r="Q26" s="90">
        <f>($H26-L26)/$I26</f>
        <v>0.37662337662337669</v>
      </c>
      <c r="R26" s="91">
        <f>IFERROR((1-Q26)*F26,"")</f>
        <v>0</v>
      </c>
    </row>
    <row r="27" spans="2:32" x14ac:dyDescent="0.4">
      <c r="E27" s="206" t="str">
        <f>"Das enspricht "&amp;TEXT(E26/(C10),"0,0%") &amp; " des Leerstands p.a. über 3 Jahre."</f>
        <v>Das enspricht 15,1% des Leerstands p.a. über 3 Jahre.</v>
      </c>
      <c r="H27" s="194"/>
    </row>
    <row r="28" spans="2:32" x14ac:dyDescent="0.4">
      <c r="H28" s="194"/>
      <c r="I28" s="194"/>
    </row>
  </sheetData>
  <autoFilter ref="B17:M24" xr:uid="{00000000-0009-0000-0000-000000000000}"/>
  <conditionalFormatting sqref="C19:C23">
    <cfRule type="cellIs" dxfId="10" priority="39" operator="equal">
      <formula>"Verfügbar als Firmenwagen"</formula>
    </cfRule>
    <cfRule type="cellIs" dxfId="9" priority="40" operator="equal">
      <formula>"Verfügbar"</formula>
    </cfRule>
    <cfRule type="cellIs" dxfId="8" priority="41" operator="equal">
      <formula>"Nicht verfügbar"</formula>
    </cfRule>
  </conditionalFormatting>
  <conditionalFormatting sqref="F9">
    <cfRule type="containsText" dxfId="7" priority="19" operator="containsText" text="Bitte Produkt auswählen">
      <formula>NOT(ISERROR(SEARCH("Bitte Produkt auswählen",F9)))</formula>
    </cfRule>
    <cfRule type="cellIs" dxfId="6" priority="26" operator="lessThan">
      <formula>0.195</formula>
    </cfRule>
    <cfRule type="cellIs" dxfId="5" priority="27" operator="lessThan">
      <formula>0.295</formula>
    </cfRule>
    <cfRule type="cellIs" dxfId="4" priority="29" operator="greaterThanOrEqual">
      <formula>0.295</formula>
    </cfRule>
  </conditionalFormatting>
  <conditionalFormatting sqref="C24">
    <cfRule type="cellIs" dxfId="3" priority="13" operator="equal">
      <formula>"Verfügbar als Firmenwagen"</formula>
    </cfRule>
    <cfRule type="cellIs" dxfId="2" priority="14" operator="equal">
      <formula>"Verfügbar"</formula>
    </cfRule>
    <cfRule type="cellIs" dxfId="1" priority="15" operator="equal">
      <formula>"Nicht verfügbar"</formula>
    </cfRule>
  </conditionalFormatting>
  <conditionalFormatting sqref="G26">
    <cfRule type="cellIs" dxfId="0" priority="5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59" t="s">
        <v>206</v>
      </c>
      <c r="B1" s="160" t="s">
        <v>207</v>
      </c>
      <c r="C1" s="160"/>
      <c r="D1" s="161" t="s">
        <v>207</v>
      </c>
      <c r="E1" s="160" t="s">
        <v>208</v>
      </c>
      <c r="F1" s="160"/>
      <c r="G1" s="161" t="s">
        <v>208</v>
      </c>
      <c r="H1" s="160" t="s">
        <v>209</v>
      </c>
      <c r="I1" s="160"/>
      <c r="J1" s="161" t="s">
        <v>209</v>
      </c>
      <c r="K1" s="160" t="s">
        <v>210</v>
      </c>
      <c r="L1" s="160"/>
      <c r="M1" s="161" t="s">
        <v>210</v>
      </c>
      <c r="N1" s="160" t="s">
        <v>211</v>
      </c>
      <c r="O1" s="160"/>
      <c r="P1" s="161" t="s">
        <v>278</v>
      </c>
    </row>
    <row r="2" spans="1:16" ht="15.5" x14ac:dyDescent="0.35">
      <c r="A2" s="159" t="s">
        <v>212</v>
      </c>
      <c r="B2" s="160" t="s">
        <v>213</v>
      </c>
      <c r="C2" s="160"/>
      <c r="D2" s="161" t="s">
        <v>214</v>
      </c>
      <c r="E2" s="160" t="s">
        <v>213</v>
      </c>
      <c r="F2" s="160"/>
      <c r="G2" s="161" t="s">
        <v>214</v>
      </c>
      <c r="H2" s="160"/>
      <c r="I2" s="160"/>
      <c r="J2" s="161" t="s">
        <v>214</v>
      </c>
      <c r="K2" s="160" t="s">
        <v>215</v>
      </c>
      <c r="L2" s="160"/>
      <c r="M2" s="161" t="s">
        <v>214</v>
      </c>
      <c r="N2" s="160"/>
      <c r="O2" s="160"/>
      <c r="P2" s="161" t="s">
        <v>214</v>
      </c>
    </row>
    <row r="3" spans="1:16" ht="46.5" x14ac:dyDescent="0.35">
      <c r="A3" s="163" t="s">
        <v>216</v>
      </c>
      <c r="B3" s="164" t="s">
        <v>217</v>
      </c>
      <c r="C3" s="164" t="s">
        <v>238</v>
      </c>
      <c r="D3" s="165" t="s">
        <v>218</v>
      </c>
      <c r="E3" s="164" t="s">
        <v>217</v>
      </c>
      <c r="F3" s="164"/>
      <c r="G3" s="166" t="s">
        <v>219</v>
      </c>
      <c r="H3" s="164" t="s">
        <v>220</v>
      </c>
      <c r="I3" s="164"/>
      <c r="J3" s="166" t="s">
        <v>219</v>
      </c>
      <c r="K3" s="164" t="s">
        <v>221</v>
      </c>
      <c r="L3" s="164"/>
      <c r="M3" s="165" t="s">
        <v>218</v>
      </c>
      <c r="N3" s="164" t="s">
        <v>222</v>
      </c>
      <c r="O3" s="164"/>
      <c r="P3" s="165"/>
    </row>
    <row r="4" spans="1:16" ht="15.5" x14ac:dyDescent="0.35">
      <c r="A4" s="167" t="s">
        <v>223</v>
      </c>
      <c r="B4" s="168" t="s">
        <v>224</v>
      </c>
      <c r="C4" s="168"/>
      <c r="D4" s="169" t="s">
        <v>224</v>
      </c>
      <c r="E4" s="168" t="s">
        <v>224</v>
      </c>
      <c r="F4" s="168"/>
      <c r="G4" s="169" t="s">
        <v>224</v>
      </c>
      <c r="H4" s="168" t="s">
        <v>225</v>
      </c>
      <c r="I4" s="168"/>
      <c r="J4" s="169" t="s">
        <v>225</v>
      </c>
      <c r="K4" s="168" t="s">
        <v>226</v>
      </c>
      <c r="L4" s="168"/>
      <c r="M4" s="169" t="s">
        <v>226</v>
      </c>
      <c r="N4" s="168" t="s">
        <v>227</v>
      </c>
      <c r="O4" s="168"/>
      <c r="P4" s="169"/>
    </row>
    <row r="5" spans="1:16" ht="15.5" x14ac:dyDescent="0.35">
      <c r="A5" s="167" t="s">
        <v>228</v>
      </c>
      <c r="B5" s="170">
        <v>499</v>
      </c>
      <c r="C5" s="170"/>
      <c r="D5" s="171">
        <v>399</v>
      </c>
      <c r="E5" s="170">
        <v>499</v>
      </c>
      <c r="F5" s="170"/>
      <c r="G5" s="171">
        <v>499</v>
      </c>
      <c r="H5" s="170">
        <v>649</v>
      </c>
      <c r="I5" s="170"/>
      <c r="J5" s="171">
        <v>649</v>
      </c>
      <c r="K5" s="170">
        <v>899</v>
      </c>
      <c r="L5" s="170"/>
      <c r="M5" s="171">
        <v>629</v>
      </c>
      <c r="N5" s="170">
        <v>1099</v>
      </c>
      <c r="O5" s="170"/>
      <c r="P5" s="171"/>
    </row>
    <row r="6" spans="1:16" ht="15.5" x14ac:dyDescent="0.35">
      <c r="A6" s="167"/>
      <c r="B6" s="172"/>
      <c r="C6" s="172"/>
      <c r="D6" s="173"/>
      <c r="E6" s="172"/>
      <c r="F6" s="172"/>
      <c r="G6" s="173"/>
      <c r="H6" s="162"/>
      <c r="I6" s="162"/>
      <c r="J6" s="174"/>
      <c r="K6" s="162"/>
      <c r="L6" s="162"/>
      <c r="M6" s="174"/>
      <c r="N6" s="175"/>
      <c r="O6" s="162"/>
      <c r="P6" s="174"/>
    </row>
    <row r="7" spans="1:16" ht="15.5" x14ac:dyDescent="0.35">
      <c r="A7" s="167" t="s">
        <v>229</v>
      </c>
      <c r="B7" s="176">
        <v>563.99</v>
      </c>
      <c r="C7" s="146">
        <v>1</v>
      </c>
      <c r="D7" s="177">
        <v>463.98</v>
      </c>
      <c r="E7" s="176">
        <v>563.99</v>
      </c>
      <c r="F7" s="146">
        <v>1</v>
      </c>
      <c r="G7" s="177">
        <v>533.99</v>
      </c>
      <c r="H7" s="178">
        <v>713.99</v>
      </c>
      <c r="I7" s="146">
        <v>1</v>
      </c>
      <c r="J7" s="179">
        <v>613.99</v>
      </c>
      <c r="K7" s="178">
        <v>963.98</v>
      </c>
      <c r="L7" s="146">
        <v>1</v>
      </c>
      <c r="M7" s="179">
        <v>693.98</v>
      </c>
      <c r="N7" s="178">
        <v>1188.99</v>
      </c>
      <c r="O7" s="146"/>
      <c r="P7" s="179"/>
    </row>
    <row r="8" spans="1:16" ht="15.5" x14ac:dyDescent="0.35">
      <c r="A8" s="180" t="s">
        <v>230</v>
      </c>
      <c r="B8" s="181">
        <v>499</v>
      </c>
      <c r="C8" s="146"/>
      <c r="D8" s="182">
        <v>399</v>
      </c>
      <c r="E8" s="181">
        <v>499</v>
      </c>
      <c r="F8" s="146"/>
      <c r="G8" s="182">
        <v>469</v>
      </c>
      <c r="H8" s="183">
        <v>649</v>
      </c>
      <c r="I8" s="146"/>
      <c r="J8" s="184">
        <v>549</v>
      </c>
      <c r="K8" s="183">
        <v>899</v>
      </c>
      <c r="L8" s="146"/>
      <c r="M8" s="184">
        <v>629</v>
      </c>
      <c r="N8" s="183">
        <v>1099</v>
      </c>
      <c r="O8" s="146"/>
      <c r="P8" s="184"/>
    </row>
    <row r="9" spans="1:16" ht="15.5" x14ac:dyDescent="0.35">
      <c r="A9" s="180" t="s">
        <v>231</v>
      </c>
      <c r="B9" s="181">
        <v>648.99</v>
      </c>
      <c r="C9" s="146"/>
      <c r="D9" s="182">
        <v>548.98</v>
      </c>
      <c r="E9" s="181">
        <v>648.99</v>
      </c>
      <c r="F9" s="146"/>
      <c r="G9" s="182">
        <v>618.99</v>
      </c>
      <c r="H9" s="183">
        <v>798.99</v>
      </c>
      <c r="I9" s="146"/>
      <c r="J9" s="184">
        <v>698.99</v>
      </c>
      <c r="K9" s="183">
        <v>1048.99</v>
      </c>
      <c r="L9" s="146"/>
      <c r="M9" s="184">
        <v>778.99</v>
      </c>
      <c r="N9" s="183">
        <v>1278.99</v>
      </c>
      <c r="O9" s="146"/>
      <c r="P9" s="184"/>
    </row>
    <row r="10" spans="1:16" ht="15.5" x14ac:dyDescent="0.35">
      <c r="A10" s="167" t="s">
        <v>232</v>
      </c>
      <c r="B10" s="176">
        <v>89.99</v>
      </c>
      <c r="C10" s="146">
        <v>1</v>
      </c>
      <c r="D10" s="177">
        <v>89.99</v>
      </c>
      <c r="E10" s="176">
        <v>89.99</v>
      </c>
      <c r="F10" s="146">
        <v>1</v>
      </c>
      <c r="G10" s="177">
        <v>89.99</v>
      </c>
      <c r="H10" s="178">
        <v>89.99</v>
      </c>
      <c r="I10" s="146">
        <v>1</v>
      </c>
      <c r="J10" s="179">
        <v>89.99</v>
      </c>
      <c r="K10" s="178">
        <v>109.99</v>
      </c>
      <c r="L10" s="146">
        <v>1</v>
      </c>
      <c r="M10" s="179">
        <v>109.99</v>
      </c>
      <c r="N10" s="178">
        <v>129.97999999999999</v>
      </c>
      <c r="O10" s="146"/>
      <c r="P10" s="179"/>
    </row>
    <row r="11" spans="1:16" ht="15.5" x14ac:dyDescent="0.35">
      <c r="A11" s="167" t="s">
        <v>233</v>
      </c>
      <c r="B11" s="176">
        <v>29.99</v>
      </c>
      <c r="C11" s="146">
        <v>1</v>
      </c>
      <c r="D11" s="177">
        <v>29.99</v>
      </c>
      <c r="E11" s="176">
        <v>29.99</v>
      </c>
      <c r="F11" s="146">
        <v>1</v>
      </c>
      <c r="G11" s="177">
        <v>29.99</v>
      </c>
      <c r="H11" s="178">
        <v>29.99</v>
      </c>
      <c r="I11" s="146">
        <v>1</v>
      </c>
      <c r="J11" s="179">
        <v>29.99</v>
      </c>
      <c r="K11" s="178">
        <v>29.99</v>
      </c>
      <c r="L11" s="146">
        <v>1</v>
      </c>
      <c r="M11" s="179">
        <v>29.99</v>
      </c>
      <c r="N11" s="178">
        <v>29.99</v>
      </c>
      <c r="O11" s="146"/>
      <c r="P11" s="179"/>
    </row>
    <row r="12" spans="1:16" ht="15.5" x14ac:dyDescent="0.35">
      <c r="A12" s="167" t="s">
        <v>234</v>
      </c>
      <c r="B12" s="176">
        <v>9.98</v>
      </c>
      <c r="C12" s="146">
        <v>1</v>
      </c>
      <c r="D12" s="177">
        <v>9.98</v>
      </c>
      <c r="E12" s="176">
        <v>9.98</v>
      </c>
      <c r="F12" s="146">
        <v>1</v>
      </c>
      <c r="G12" s="177">
        <v>9.98</v>
      </c>
      <c r="H12" s="178">
        <v>9.98</v>
      </c>
      <c r="I12" s="146">
        <v>1</v>
      </c>
      <c r="J12" s="179">
        <v>9.98</v>
      </c>
      <c r="K12" s="178">
        <v>9.98</v>
      </c>
      <c r="L12" s="146">
        <v>1</v>
      </c>
      <c r="M12" s="179">
        <v>9.98</v>
      </c>
      <c r="N12" s="178">
        <v>9.98</v>
      </c>
      <c r="O12" s="146"/>
      <c r="P12" s="179"/>
    </row>
    <row r="13" spans="1:16" ht="15.5" x14ac:dyDescent="0.35">
      <c r="A13" s="167" t="s">
        <v>235</v>
      </c>
      <c r="B13" s="176">
        <v>29.99</v>
      </c>
      <c r="C13" s="146"/>
      <c r="D13" s="177"/>
      <c r="E13" s="176">
        <v>29.99</v>
      </c>
      <c r="F13" s="146">
        <v>1</v>
      </c>
      <c r="G13" s="177">
        <v>29.99</v>
      </c>
      <c r="H13" s="178">
        <v>29.99</v>
      </c>
      <c r="I13" s="146">
        <v>1</v>
      </c>
      <c r="J13" s="179">
        <v>29.99</v>
      </c>
      <c r="K13" s="178">
        <v>29.99</v>
      </c>
      <c r="L13" s="146"/>
      <c r="M13" s="179"/>
      <c r="N13" s="178">
        <v>29.99</v>
      </c>
      <c r="O13" s="146"/>
      <c r="P13" s="179"/>
    </row>
    <row r="14" spans="1:16" ht="15.5" x14ac:dyDescent="0.35">
      <c r="A14" s="167" t="s">
        <v>236</v>
      </c>
      <c r="B14" s="176">
        <v>14.98</v>
      </c>
      <c r="C14" s="146">
        <v>1</v>
      </c>
      <c r="D14" s="177">
        <v>15</v>
      </c>
      <c r="E14" s="176">
        <v>14.98</v>
      </c>
      <c r="F14" s="146">
        <v>1</v>
      </c>
      <c r="G14" s="177">
        <v>15</v>
      </c>
      <c r="H14" s="178">
        <v>14.98</v>
      </c>
      <c r="I14" s="146">
        <v>1</v>
      </c>
      <c r="J14" s="179">
        <v>15</v>
      </c>
      <c r="K14" s="178">
        <v>14.98</v>
      </c>
      <c r="L14" s="146">
        <v>1</v>
      </c>
      <c r="M14" s="179">
        <v>15</v>
      </c>
      <c r="N14" s="178">
        <v>14.98</v>
      </c>
      <c r="O14" s="146"/>
      <c r="P14" s="179"/>
    </row>
    <row r="15" spans="1:16" ht="16" thickBot="1" x14ac:dyDescent="0.4">
      <c r="A15" s="185" t="s">
        <v>240</v>
      </c>
      <c r="B15" s="186">
        <v>59.97</v>
      </c>
      <c r="C15" s="146">
        <v>3</v>
      </c>
      <c r="D15" s="187">
        <v>19.989999999999998</v>
      </c>
      <c r="E15" s="186">
        <v>59.97</v>
      </c>
      <c r="F15" s="146">
        <v>3</v>
      </c>
      <c r="G15" s="187">
        <v>19.989999999999998</v>
      </c>
      <c r="H15" s="188">
        <v>59.97</v>
      </c>
      <c r="I15" s="146">
        <v>3</v>
      </c>
      <c r="J15" s="187">
        <v>19.989999999999998</v>
      </c>
      <c r="K15" s="188">
        <v>59.97</v>
      </c>
      <c r="L15" s="146">
        <v>3</v>
      </c>
      <c r="M15" s="187">
        <v>19.989999999999998</v>
      </c>
      <c r="N15" s="188">
        <v>59.97</v>
      </c>
      <c r="O15" s="146"/>
      <c r="P15" s="187"/>
    </row>
    <row r="16" spans="1:16" ht="16" thickTop="1" x14ac:dyDescent="0.35">
      <c r="A16" s="167"/>
      <c r="B16" s="172"/>
      <c r="C16" s="172"/>
      <c r="D16" s="173"/>
      <c r="E16" s="172"/>
      <c r="F16" s="172"/>
      <c r="G16" s="173"/>
      <c r="H16" s="162"/>
      <c r="I16" s="162"/>
      <c r="J16" s="174"/>
      <c r="K16" s="162"/>
      <c r="L16" s="162"/>
      <c r="M16" s="174"/>
      <c r="N16" s="162"/>
      <c r="O16" s="162"/>
      <c r="P16" s="174"/>
    </row>
    <row r="17" spans="1:16" ht="15.5" x14ac:dyDescent="0.35">
      <c r="A17" s="189" t="s">
        <v>239</v>
      </c>
      <c r="B17" s="190"/>
      <c r="C17" s="190"/>
      <c r="D17" s="191">
        <f>SUMPRODUCT(C7:C15,D7:D15)</f>
        <v>668.91000000000008</v>
      </c>
      <c r="E17" s="190"/>
      <c r="F17" s="190"/>
      <c r="G17" s="191">
        <f>SUMPRODUCT(F7:F15,G7:G15)</f>
        <v>768.91000000000008</v>
      </c>
      <c r="H17" s="192"/>
      <c r="I17" s="192"/>
      <c r="J17" s="191">
        <f>SUMPRODUCT(I7:I15,J7:J15)</f>
        <v>848.91000000000008</v>
      </c>
      <c r="K17" s="192"/>
      <c r="L17" s="192"/>
      <c r="M17" s="191">
        <f>SUMPRODUCT(L7:L15,M7:M15)</f>
        <v>918.91000000000008</v>
      </c>
      <c r="N17" s="192"/>
      <c r="O17" s="162"/>
      <c r="P17" s="191">
        <f>SUMPRODUCT(O7:O15,P7:P15)</f>
        <v>0</v>
      </c>
    </row>
    <row r="18" spans="1:16" ht="15.5" x14ac:dyDescent="0.35">
      <c r="A18" s="193" t="s">
        <v>237</v>
      </c>
      <c r="B18" s="172"/>
      <c r="C18" s="172"/>
      <c r="D18" s="176"/>
      <c r="E18" s="172"/>
      <c r="F18" s="172"/>
      <c r="G18" s="172"/>
      <c r="H18" s="162"/>
      <c r="I18" s="162"/>
      <c r="J18" s="162"/>
      <c r="K18" s="162"/>
      <c r="L18" s="162"/>
      <c r="M18" s="162"/>
      <c r="N18" s="162"/>
      <c r="O18" s="162"/>
    </row>
    <row r="19" spans="1:16" ht="15.5" x14ac:dyDescent="0.35">
      <c r="A19" s="189" t="s">
        <v>241</v>
      </c>
      <c r="B19" s="172"/>
      <c r="C19" s="172"/>
      <c r="D19" s="190">
        <f>D17*12</f>
        <v>8026.920000000001</v>
      </c>
      <c r="E19" s="172"/>
      <c r="F19" s="172"/>
      <c r="G19" s="190">
        <f>G17*12</f>
        <v>9226.9200000000019</v>
      </c>
      <c r="H19" s="162"/>
      <c r="I19" s="162"/>
      <c r="J19" s="190">
        <f>J17*12</f>
        <v>10186.920000000002</v>
      </c>
      <c r="K19" s="162"/>
      <c r="L19" s="162"/>
      <c r="M19" s="190">
        <f>M17*12</f>
        <v>11026.920000000002</v>
      </c>
      <c r="N19" s="162"/>
      <c r="O19" s="162"/>
      <c r="P19" s="190">
        <f>P17*12</f>
        <v>0</v>
      </c>
    </row>
    <row r="20" spans="1:16" ht="15.5" x14ac:dyDescent="0.35">
      <c r="A20" s="189" t="s">
        <v>242</v>
      </c>
      <c r="B20" s="190"/>
      <c r="C20" s="190">
        <f>SUM(C19:O19)</f>
        <v>38467.680000000008</v>
      </c>
      <c r="D20" s="190"/>
      <c r="E20" s="172"/>
      <c r="F20" s="172"/>
      <c r="G20" s="190"/>
      <c r="H20" s="162"/>
      <c r="I20" s="162"/>
      <c r="J20" s="190"/>
      <c r="K20" s="162"/>
      <c r="L20" s="162"/>
      <c r="M20" s="190"/>
      <c r="N20" s="162"/>
      <c r="O20" s="162"/>
    </row>
    <row r="21" spans="1:16" ht="15.5" x14ac:dyDescent="0.35">
      <c r="A21" s="162"/>
      <c r="B21" s="172"/>
      <c r="C21" s="172"/>
      <c r="D21" s="172"/>
      <c r="E21" s="172"/>
      <c r="F21" s="172"/>
      <c r="G21" s="172"/>
      <c r="H21" s="162"/>
      <c r="I21" s="162"/>
      <c r="J21" s="162"/>
      <c r="K21" s="162"/>
      <c r="L21" s="162"/>
      <c r="M21" s="162"/>
      <c r="N21" s="162"/>
      <c r="O21" s="16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A2:M37"/>
  <sheetViews>
    <sheetView showGridLines="0" topLeftCell="A8" zoomScale="80" zoomScaleNormal="80" workbookViewId="0">
      <selection activeCell="L36" sqref="L36"/>
    </sheetView>
  </sheetViews>
  <sheetFormatPr baseColWidth="10" defaultColWidth="8.6328125" defaultRowHeight="14" x14ac:dyDescent="0.4"/>
  <cols>
    <col min="1" max="1" width="3" style="96" customWidth="1"/>
    <col min="2" max="2" width="41" style="96" bestFit="1" customWidth="1"/>
    <col min="3" max="3" width="37.36328125" style="212" bestFit="1" customWidth="1"/>
    <col min="4" max="5" width="8.6328125" style="96"/>
    <col min="6" max="6" width="11.81640625" style="96" bestFit="1" customWidth="1"/>
    <col min="7" max="10" width="8.6328125" style="96"/>
    <col min="11" max="11" width="12" style="96" bestFit="1" customWidth="1"/>
    <col min="12" max="12" width="11.453125" style="96" bestFit="1" customWidth="1"/>
    <col min="13" max="16384" width="8.6328125" style="96"/>
  </cols>
  <sheetData>
    <row r="2" spans="1:13" x14ac:dyDescent="0.4">
      <c r="B2" s="97" t="s">
        <v>51</v>
      </c>
      <c r="C2" s="209">
        <v>25</v>
      </c>
    </row>
    <row r="3" spans="1:13" x14ac:dyDescent="0.4">
      <c r="B3" s="97" t="s">
        <v>52</v>
      </c>
      <c r="C3" s="209">
        <v>45</v>
      </c>
    </row>
    <row r="4" spans="1:13" x14ac:dyDescent="0.4">
      <c r="B4" s="97" t="s">
        <v>53</v>
      </c>
      <c r="C4" s="210">
        <f>+C3-C2</f>
        <v>20</v>
      </c>
    </row>
    <row r="5" spans="1:13" ht="6" customHeight="1" x14ac:dyDescent="0.4">
      <c r="C5" s="211"/>
    </row>
    <row r="6" spans="1:13" x14ac:dyDescent="0.4">
      <c r="B6" s="97" t="s">
        <v>54</v>
      </c>
      <c r="C6" s="209" t="s">
        <v>264</v>
      </c>
    </row>
    <row r="7" spans="1:13" x14ac:dyDescent="0.4">
      <c r="B7" s="97" t="s">
        <v>55</v>
      </c>
      <c r="C7" s="210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1:13" x14ac:dyDescent="0.4">
      <c r="A9" s="215"/>
      <c r="B9" s="216" t="s">
        <v>56</v>
      </c>
      <c r="C9" s="217"/>
      <c r="D9" s="215"/>
      <c r="E9" s="215"/>
      <c r="F9" s="215"/>
      <c r="G9" s="215"/>
      <c r="H9" s="215"/>
      <c r="I9" s="215"/>
      <c r="J9" s="215"/>
      <c r="K9" s="215"/>
      <c r="L9" s="215"/>
      <c r="M9" s="215"/>
    </row>
    <row r="10" spans="1:13" ht="21.5" x14ac:dyDescent="0.55000000000000004">
      <c r="A10" s="215"/>
      <c r="B10" s="215"/>
      <c r="C10" s="218"/>
      <c r="D10" s="215"/>
      <c r="E10" s="215"/>
      <c r="F10" s="250" t="s">
        <v>297</v>
      </c>
      <c r="G10" s="250"/>
      <c r="H10" s="250"/>
      <c r="I10" s="250"/>
      <c r="J10" s="250"/>
      <c r="K10" s="250"/>
      <c r="L10" s="250"/>
      <c r="M10" s="250"/>
    </row>
    <row r="11" spans="1:13" ht="14.5" thickBot="1" x14ac:dyDescent="0.45">
      <c r="A11" s="215"/>
      <c r="B11" s="219" t="s">
        <v>255</v>
      </c>
      <c r="C11" s="236">
        <f>C12</f>
        <v>15126.050420168069</v>
      </c>
      <c r="D11" s="215"/>
      <c r="E11" s="215"/>
      <c r="F11" s="215"/>
      <c r="G11" s="215"/>
      <c r="H11" s="215"/>
      <c r="I11" s="215"/>
      <c r="J11" s="215"/>
      <c r="K11" s="215"/>
      <c r="L11" s="215"/>
      <c r="M11" s="215"/>
    </row>
    <row r="12" spans="1:13" x14ac:dyDescent="0.4">
      <c r="A12" s="215"/>
      <c r="B12" s="220" t="s">
        <v>285</v>
      </c>
      <c r="C12" s="237">
        <f>F13+F14</f>
        <v>15126.050420168069</v>
      </c>
      <c r="D12" s="215"/>
      <c r="E12" s="215" t="s">
        <v>286</v>
      </c>
      <c r="F12" s="215" t="s">
        <v>287</v>
      </c>
      <c r="G12" s="215"/>
      <c r="H12" s="215"/>
      <c r="I12" s="215"/>
      <c r="J12" s="215"/>
      <c r="K12" s="215"/>
      <c r="L12" s="215"/>
      <c r="M12" s="215"/>
    </row>
    <row r="13" spans="1:13" x14ac:dyDescent="0.4">
      <c r="A13" s="215"/>
      <c r="B13" s="221" t="str">
        <f>"Mehrwertsteuer " &amp; TEXT(E13,"0%")</f>
        <v>Mehrwertsteuer 7%</v>
      </c>
      <c r="C13" s="238">
        <f>E13*F13</f>
        <v>0</v>
      </c>
      <c r="D13" s="215"/>
      <c r="E13" s="222">
        <v>7.0000000000000007E-2</v>
      </c>
      <c r="F13" s="223">
        <v>0</v>
      </c>
      <c r="G13" s="215"/>
      <c r="H13" s="215"/>
      <c r="I13" s="215"/>
      <c r="J13" s="215"/>
      <c r="K13" s="215"/>
      <c r="L13" s="215"/>
      <c r="M13" s="215"/>
    </row>
    <row r="14" spans="1:13" ht="14.5" thickBot="1" x14ac:dyDescent="0.45">
      <c r="A14" s="215"/>
      <c r="B14" s="224" t="str">
        <f>"Mehrwertsteuer " &amp; TEXT(E14,"0%")</f>
        <v>Mehrwertsteuer 19%</v>
      </c>
      <c r="C14" s="239">
        <f>F14*E14</f>
        <v>2873.9495798319331</v>
      </c>
      <c r="D14" s="215"/>
      <c r="E14" s="222">
        <v>0.19</v>
      </c>
      <c r="F14" s="225">
        <f>(F18-F13*(1+E13))/(1+E14)</f>
        <v>15126.050420168069</v>
      </c>
      <c r="G14" s="215"/>
      <c r="H14" s="215"/>
      <c r="I14" s="215"/>
      <c r="J14" s="215"/>
      <c r="K14" s="215"/>
      <c r="L14" s="215"/>
      <c r="M14" s="215"/>
    </row>
    <row r="15" spans="1:13" hidden="1" x14ac:dyDescent="0.4">
      <c r="A15" s="215"/>
      <c r="B15" s="226" t="s">
        <v>61</v>
      </c>
      <c r="C15" s="240"/>
      <c r="D15" s="215"/>
      <c r="E15" s="215"/>
      <c r="F15" s="215"/>
      <c r="G15" s="215"/>
      <c r="H15" s="215"/>
      <c r="I15" s="215"/>
      <c r="J15" s="215"/>
      <c r="K15" s="225"/>
      <c r="L15" s="215"/>
      <c r="M15" s="215"/>
    </row>
    <row r="16" spans="1:13" hidden="1" x14ac:dyDescent="0.4">
      <c r="A16" s="215"/>
      <c r="B16" s="221" t="s">
        <v>179</v>
      </c>
      <c r="C16" s="241"/>
      <c r="D16" s="225"/>
      <c r="E16" s="215"/>
      <c r="F16" s="215"/>
      <c r="G16" s="215"/>
      <c r="H16" s="215"/>
      <c r="I16" s="215"/>
      <c r="J16" s="215"/>
      <c r="K16" s="215"/>
      <c r="L16" s="215"/>
      <c r="M16" s="215"/>
    </row>
    <row r="17" spans="1:13" ht="14.5" hidden="1" thickBot="1" x14ac:dyDescent="0.45">
      <c r="A17" s="215"/>
      <c r="B17" s="224" t="s">
        <v>62</v>
      </c>
      <c r="C17" s="242"/>
      <c r="D17" s="215" t="s">
        <v>184</v>
      </c>
      <c r="E17" s="215"/>
      <c r="F17" s="215"/>
      <c r="G17" s="215"/>
      <c r="H17" s="215"/>
      <c r="I17" s="215"/>
      <c r="J17" s="215"/>
      <c r="K17" s="215"/>
      <c r="L17" s="215"/>
      <c r="M17" s="215"/>
    </row>
    <row r="18" spans="1:13" x14ac:dyDescent="0.4">
      <c r="A18" s="215"/>
      <c r="B18" s="227" t="s">
        <v>180</v>
      </c>
      <c r="C18" s="243">
        <f>SUM(C12:C14)</f>
        <v>18000</v>
      </c>
      <c r="D18" s="215"/>
      <c r="E18" s="215"/>
      <c r="F18" s="215">
        <f>'Preise Output'!G26</f>
        <v>18000</v>
      </c>
      <c r="G18" s="215"/>
      <c r="H18" s="215"/>
      <c r="I18" s="215"/>
      <c r="J18" s="215"/>
      <c r="K18" s="215"/>
      <c r="L18" s="215"/>
      <c r="M18" s="215"/>
    </row>
    <row r="19" spans="1:13" x14ac:dyDescent="0.4">
      <c r="A19" s="215"/>
      <c r="B19" s="215"/>
      <c r="C19" s="241"/>
      <c r="D19" s="215"/>
      <c r="E19" s="215"/>
      <c r="F19" s="215"/>
      <c r="G19" s="215"/>
      <c r="H19" s="215"/>
      <c r="I19" s="215"/>
      <c r="J19" s="215"/>
      <c r="K19" s="215"/>
      <c r="L19" s="215"/>
      <c r="M19" s="215"/>
    </row>
    <row r="20" spans="1:13" x14ac:dyDescent="0.4">
      <c r="A20" s="215"/>
      <c r="B20" s="215"/>
      <c r="C20" s="241"/>
      <c r="D20" s="215"/>
      <c r="E20" s="215"/>
      <c r="F20" s="215"/>
      <c r="G20" s="215"/>
      <c r="H20" s="215"/>
      <c r="I20" s="215"/>
      <c r="J20" s="215"/>
      <c r="K20" s="215"/>
      <c r="L20" s="215"/>
      <c r="M20" s="215"/>
    </row>
    <row r="21" spans="1:13" x14ac:dyDescent="0.4">
      <c r="A21" s="215"/>
      <c r="B21" s="216" t="s">
        <v>63</v>
      </c>
      <c r="C21" s="244"/>
      <c r="D21" s="215"/>
      <c r="E21" s="215"/>
      <c r="F21" s="215"/>
      <c r="G21" s="215"/>
      <c r="H21" s="215"/>
      <c r="I21" s="215"/>
      <c r="J21" s="215"/>
      <c r="K21" s="215"/>
      <c r="L21" s="215"/>
      <c r="M21" s="215"/>
    </row>
    <row r="22" spans="1:13" ht="6.75" customHeight="1" x14ac:dyDescent="0.4">
      <c r="A22" s="215"/>
      <c r="B22" s="215"/>
      <c r="C22" s="241"/>
      <c r="D22" s="215"/>
      <c r="E22" s="215"/>
      <c r="F22" s="215"/>
      <c r="G22" s="215"/>
      <c r="H22" s="215"/>
      <c r="I22" s="215"/>
      <c r="J22" s="215"/>
      <c r="K22" s="215"/>
      <c r="L22" s="215"/>
      <c r="M22" s="215"/>
    </row>
    <row r="23" spans="1:13" x14ac:dyDescent="0.4">
      <c r="A23" s="215"/>
      <c r="B23" s="228" t="s">
        <v>258</v>
      </c>
      <c r="C23" s="241"/>
      <c r="D23" s="215"/>
      <c r="E23" s="215"/>
      <c r="F23" s="215"/>
      <c r="G23" s="215"/>
      <c r="H23" s="215"/>
      <c r="I23" s="215"/>
      <c r="J23" s="215"/>
      <c r="K23" s="215"/>
      <c r="L23" s="215"/>
      <c r="M23" s="215"/>
    </row>
    <row r="24" spans="1:13" x14ac:dyDescent="0.4">
      <c r="A24" s="215"/>
      <c r="B24" s="229" t="str">
        <f>C7&amp;" "&amp;"Gutscheine"&amp;" "&amp;"x"&amp;" "&amp;ROUND('Preise Output'!F7,2)&amp;"€"&amp;" "&amp;"je"&amp;" "&amp;"Gutschein"</f>
        <v>500 Gutscheine x 36€ je Gutschein</v>
      </c>
      <c r="C24" s="245">
        <f>IFERROR(C7*'Preise Output'!$F$7,"--")</f>
        <v>18000</v>
      </c>
      <c r="D24" s="215"/>
      <c r="E24" s="215"/>
      <c r="F24" s="215"/>
      <c r="G24" s="215"/>
      <c r="H24" s="215"/>
      <c r="I24" s="215"/>
      <c r="J24" s="215"/>
      <c r="K24" s="215"/>
      <c r="L24" s="215"/>
      <c r="M24" s="215"/>
    </row>
    <row r="25" spans="1:13" x14ac:dyDescent="0.4">
      <c r="A25" s="215"/>
      <c r="B25" s="215" t="str">
        <f>"Das enspricht "&amp;TEXT('Preise Output'!E26/('Preise Output'!C10),"0,0%") &amp; " des Leerstands p.a."</f>
        <v>Das enspricht 15,1% des Leerstands p.a.</v>
      </c>
      <c r="C25" s="238"/>
      <c r="D25" s="215"/>
      <c r="E25" s="215" t="s">
        <v>286</v>
      </c>
      <c r="F25" s="215" t="s">
        <v>287</v>
      </c>
      <c r="G25" s="215"/>
      <c r="H25" s="215"/>
      <c r="I25" s="215"/>
      <c r="J25" s="215"/>
      <c r="K25" s="215"/>
      <c r="L25" s="215"/>
      <c r="M25" s="215"/>
    </row>
    <row r="26" spans="1:13" ht="15" x14ac:dyDescent="0.4">
      <c r="A26" s="215"/>
      <c r="B26" s="221" t="str">
        <f>"Mehrwertsteuer " &amp; TEXT(E26,"0%")</f>
        <v>Mehrwertsteuer 7%</v>
      </c>
      <c r="C26" s="241">
        <f>IFERROR(F26*E26,"--")</f>
        <v>1085</v>
      </c>
      <c r="D26" s="215"/>
      <c r="E26" s="222">
        <v>7.0000000000000007E-2</v>
      </c>
      <c r="F26" s="225">
        <f>C24-F27</f>
        <v>15500</v>
      </c>
      <c r="G26" s="215"/>
      <c r="H26" s="215"/>
      <c r="I26" s="215"/>
      <c r="J26" s="215"/>
      <c r="K26" s="230">
        <f>+F26-C26</f>
        <v>14415</v>
      </c>
      <c r="L26" s="235">
        <f>+K26*0.05</f>
        <v>720.75</v>
      </c>
      <c r="M26" s="215"/>
    </row>
    <row r="27" spans="1:13" ht="14.5" thickBot="1" x14ac:dyDescent="0.45">
      <c r="A27" s="215"/>
      <c r="B27" s="224" t="str">
        <f>"Mehrwertsteuer " &amp; TEXT(E27,"0%")</f>
        <v>Mehrwertsteuer 19%</v>
      </c>
      <c r="C27" s="241">
        <f>IFERROR(F27*E27,"--")</f>
        <v>475</v>
      </c>
      <c r="D27" s="215"/>
      <c r="E27" s="222">
        <v>0.19</v>
      </c>
      <c r="F27" s="225">
        <f>G27*C7</f>
        <v>2500</v>
      </c>
      <c r="G27" s="223">
        <v>5</v>
      </c>
      <c r="H27" s="215" t="s">
        <v>292</v>
      </c>
      <c r="I27" s="215"/>
      <c r="J27" s="215"/>
      <c r="K27" s="215"/>
      <c r="L27" s="249">
        <f>+L26+C26</f>
        <v>1805.75</v>
      </c>
      <c r="M27" s="215"/>
    </row>
    <row r="28" spans="1:13" x14ac:dyDescent="0.4">
      <c r="A28" s="215"/>
      <c r="B28" s="215"/>
      <c r="C28" s="241"/>
      <c r="D28" s="215"/>
      <c r="E28" s="215"/>
      <c r="F28" s="215"/>
      <c r="G28" s="215"/>
      <c r="H28" s="215"/>
      <c r="I28" s="215"/>
      <c r="J28" s="215"/>
      <c r="K28" s="215"/>
      <c r="L28" s="215"/>
      <c r="M28" s="215"/>
    </row>
    <row r="29" spans="1:13" x14ac:dyDescent="0.4">
      <c r="A29" s="215"/>
      <c r="B29" s="215"/>
      <c r="C29" s="241"/>
      <c r="D29" s="215"/>
      <c r="E29" s="215"/>
      <c r="F29" s="215"/>
      <c r="G29" s="215"/>
      <c r="H29" s="215"/>
      <c r="I29" s="215"/>
      <c r="J29" s="215"/>
      <c r="K29" s="215"/>
      <c r="L29" s="215"/>
      <c r="M29" s="215"/>
    </row>
    <row r="30" spans="1:13" x14ac:dyDescent="0.4">
      <c r="B30" s="231" t="s">
        <v>64</v>
      </c>
      <c r="C30" s="241"/>
      <c r="D30" s="215"/>
      <c r="E30" s="215"/>
      <c r="F30" s="215"/>
      <c r="G30" s="215"/>
      <c r="H30" s="215"/>
      <c r="I30" s="215"/>
      <c r="J30" s="215"/>
      <c r="K30" s="215"/>
      <c r="L30" s="215"/>
      <c r="M30" s="215"/>
    </row>
    <row r="31" spans="1:13" x14ac:dyDescent="0.4">
      <c r="B31" s="229" t="str">
        <f>C4&amp;"€"&amp;" "&amp;"je"&amp;" "&amp;"Gutschein"&amp;" "&amp;"x"&amp;" "&amp;C7&amp;" "&amp;"Roomnights"</f>
        <v>20€ je Gutschein x 500 Roomnights</v>
      </c>
      <c r="C31" s="245">
        <f>C7*C4</f>
        <v>10000</v>
      </c>
      <c r="D31" s="215"/>
      <c r="E31" s="215"/>
      <c r="F31" s="215"/>
      <c r="G31" s="215"/>
      <c r="H31" s="215"/>
      <c r="I31" s="215"/>
      <c r="J31" s="215"/>
      <c r="K31" s="215"/>
      <c r="L31" s="215"/>
      <c r="M31" s="215"/>
    </row>
    <row r="32" spans="1:13" x14ac:dyDescent="0.4">
      <c r="B32" s="232" t="s">
        <v>293</v>
      </c>
      <c r="C32" s="246">
        <f>C26+C27+L26</f>
        <v>2280.75</v>
      </c>
      <c r="D32" s="215"/>
      <c r="E32" s="215"/>
      <c r="F32" s="215"/>
      <c r="G32" s="215"/>
      <c r="H32" s="215"/>
      <c r="I32" s="215"/>
      <c r="J32" s="215"/>
      <c r="K32" s="215"/>
      <c r="L32" s="215"/>
      <c r="M32" s="215"/>
    </row>
    <row r="33" spans="2:13" ht="14.5" thickBot="1" x14ac:dyDescent="0.45">
      <c r="B33" s="233" t="s">
        <v>288</v>
      </c>
      <c r="C33" s="247">
        <f>-(C13+C14)</f>
        <v>-2873.9495798319331</v>
      </c>
      <c r="D33" s="215"/>
      <c r="E33" s="215"/>
      <c r="F33" s="215"/>
      <c r="G33" s="215"/>
      <c r="H33" s="215"/>
      <c r="I33" s="215"/>
      <c r="J33" s="215"/>
      <c r="K33" s="215"/>
      <c r="L33" s="215"/>
      <c r="M33" s="215"/>
    </row>
    <row r="34" spans="2:13" x14ac:dyDescent="0.4">
      <c r="B34" s="231" t="s">
        <v>271</v>
      </c>
      <c r="C34" s="243">
        <f>SUM(C31:C33)</f>
        <v>9406.8004201680669</v>
      </c>
      <c r="D34" s="215"/>
      <c r="E34" s="215"/>
      <c r="F34" s="215"/>
      <c r="G34" s="215"/>
      <c r="H34" s="215"/>
      <c r="I34" s="215"/>
      <c r="J34" s="215"/>
      <c r="K34" s="215"/>
      <c r="L34" s="215"/>
      <c r="M34" s="215"/>
    </row>
    <row r="35" spans="2:13" x14ac:dyDescent="0.4">
      <c r="B35" s="215"/>
      <c r="C35" s="241"/>
      <c r="D35" s="215"/>
      <c r="E35" s="215"/>
      <c r="F35" s="215"/>
      <c r="G35" s="215"/>
      <c r="H35" s="215"/>
      <c r="I35" s="215"/>
      <c r="J35" s="215"/>
      <c r="K35" s="215"/>
      <c r="L35" s="215"/>
      <c r="M35" s="215"/>
    </row>
    <row r="36" spans="2:13" x14ac:dyDescent="0.4">
      <c r="B36" s="216" t="s">
        <v>65</v>
      </c>
      <c r="C36" s="248">
        <f>C12-C34</f>
        <v>5719.2500000000018</v>
      </c>
      <c r="D36" s="215"/>
      <c r="E36" s="215"/>
      <c r="F36" s="215"/>
      <c r="G36" s="215"/>
      <c r="H36" s="215"/>
      <c r="I36" s="215"/>
      <c r="J36" s="215"/>
      <c r="K36" s="215"/>
      <c r="L36" s="215"/>
      <c r="M36" s="215"/>
    </row>
    <row r="37" spans="2:13" x14ac:dyDescent="0.4">
      <c r="B37" s="215" t="s">
        <v>289</v>
      </c>
      <c r="C37" s="234">
        <f>C36/C12</f>
        <v>0.37810597222222231</v>
      </c>
      <c r="D37" s="215"/>
      <c r="E37" s="215"/>
      <c r="F37" s="215"/>
      <c r="G37" s="215"/>
      <c r="H37" s="215"/>
      <c r="I37" s="215"/>
      <c r="J37" s="215"/>
      <c r="K37" s="215"/>
      <c r="L37" s="215"/>
      <c r="M37" s="215"/>
    </row>
  </sheetData>
  <dataConsolidate/>
  <mergeCells count="1">
    <mergeCell ref="F10:M10"/>
  </mergeCells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01" t="s">
        <v>6</v>
      </c>
      <c r="C4" s="101" t="s">
        <v>54</v>
      </c>
      <c r="D4" s="101" t="s">
        <v>70</v>
      </c>
      <c r="E4" s="101" t="s">
        <v>71</v>
      </c>
      <c r="F4" s="101" t="s">
        <v>257</v>
      </c>
      <c r="G4" s="101" t="s">
        <v>255</v>
      </c>
      <c r="H4" s="101" t="s">
        <v>240</v>
      </c>
      <c r="I4" s="101" t="s">
        <v>256</v>
      </c>
      <c r="J4" s="101"/>
      <c r="K4" s="101" t="s">
        <v>236</v>
      </c>
      <c r="L4" s="101" t="s">
        <v>61</v>
      </c>
      <c r="M4" s="101" t="s">
        <v>79</v>
      </c>
      <c r="N4" s="101" t="s">
        <v>195</v>
      </c>
      <c r="O4" s="101" t="s">
        <v>176</v>
      </c>
      <c r="P4" s="101" t="s">
        <v>21</v>
      </c>
      <c r="Q4" s="102" t="s">
        <v>22</v>
      </c>
      <c r="R4" s="101" t="s">
        <v>81</v>
      </c>
      <c r="S4" s="101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49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198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00">
        <f>(Sixt!F15*Sixt!G15/SUM(Sixt!F7:F9))*12/1.19</f>
        <v>604.73949579831935</v>
      </c>
      <c r="I13" s="200">
        <f>(Sixt!F13*Sixt!G13/SUM(Sixt!F7:F9))*12/1.19</f>
        <v>302.42016806722688</v>
      </c>
      <c r="J13" s="200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197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01">
        <f>(Sixt!I15*Sixt!J15/SUM(Sixt!I7:I9))*12/1.19</f>
        <v>604.73949579831935</v>
      </c>
      <c r="I14" s="201">
        <f>(Sixt!I13*Sixt!J13/SUM(Sixt!I7:I9))*12/1.19</f>
        <v>302.42016806722688</v>
      </c>
      <c r="J14" s="201"/>
      <c r="K14" s="11"/>
      <c r="L14" s="201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01">
        <f>(Sixt!L15*Sixt!M15/SUM(Sixt!L7:L9))*12/1.19</f>
        <v>604.73949579831935</v>
      </c>
      <c r="I15" s="201">
        <f>(Sixt!L13*Sixt!M13/SUM(Sixt!L7:L9))*12/1.19</f>
        <v>0</v>
      </c>
      <c r="J15" s="201"/>
      <c r="K15" s="201"/>
      <c r="L15" s="201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15126.050420168069</v>
      </c>
      <c r="H16" s="33"/>
      <c r="I16" s="33"/>
      <c r="J16" s="33"/>
      <c r="K16" s="33"/>
      <c r="L16" s="33"/>
      <c r="M16" s="33"/>
      <c r="N16" s="33"/>
      <c r="O16" s="33"/>
      <c r="P16" s="135">
        <f>'Preise Output'!F24</f>
        <v>3</v>
      </c>
      <c r="Q16" s="134">
        <f>'Preise Output'!F12/1.19</f>
        <v>15126.050420168069</v>
      </c>
      <c r="R16" s="35">
        <f t="shared" si="4"/>
        <v>5042.0168067226896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55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55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57">
        <f>20*2+35</f>
        <v>75</v>
      </c>
      <c r="J23" s="22"/>
      <c r="K23" s="155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57">
        <f>I23*2</f>
        <v>150</v>
      </c>
      <c r="J24" s="22"/>
      <c r="K24" s="155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57">
        <f>20*2+35</f>
        <v>75</v>
      </c>
      <c r="J25" s="22"/>
      <c r="K25" s="155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57">
        <f>I25*2</f>
        <v>150</v>
      </c>
      <c r="J26" s="22"/>
      <c r="K26" s="155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58"/>
      <c r="G27" s="158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01" t="s">
        <v>6</v>
      </c>
      <c r="C32" s="101" t="s">
        <v>54</v>
      </c>
      <c r="D32" s="101" t="s">
        <v>70</v>
      </c>
      <c r="E32" s="101" t="s">
        <v>71</v>
      </c>
      <c r="F32" s="101" t="str">
        <f t="shared" ref="F32:I32" si="10">F4</f>
        <v>Anzahl Zusatzfahrer</v>
      </c>
      <c r="G32" s="101" t="str">
        <f t="shared" si="10"/>
        <v>Abo-Kosten</v>
      </c>
      <c r="H32" s="101" t="str">
        <f t="shared" si="10"/>
        <v>Zusatzfahrer</v>
      </c>
      <c r="I32" s="101" t="str">
        <f t="shared" si="10"/>
        <v>Komfortausstattung</v>
      </c>
      <c r="J32" s="101"/>
      <c r="K32" s="101" t="str">
        <f>K4</f>
        <v>Ersatzwagengarantie</v>
      </c>
      <c r="L32" s="101" t="str">
        <f>L4</f>
        <v>Versicherung</v>
      </c>
      <c r="M32" s="101" t="s">
        <v>59</v>
      </c>
      <c r="N32" s="101" t="s">
        <v>61</v>
      </c>
      <c r="O32" s="101" t="s">
        <v>176</v>
      </c>
      <c r="P32" s="101" t="s">
        <v>21</v>
      </c>
      <c r="Q32" s="102" t="s">
        <v>22</v>
      </c>
      <c r="R32" s="101" t="s">
        <v>81</v>
      </c>
      <c r="S32" s="101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50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197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36"/>
      <c r="N43" s="136"/>
      <c r="O43" s="136"/>
      <c r="P43" s="135">
        <v>1</v>
      </c>
      <c r="Q43" s="136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15126.050420168069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16566.050420168067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55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47">
        <f t="shared" ref="H50:I53" si="20">H23</f>
        <v>840</v>
      </c>
      <c r="I50" s="156">
        <f t="shared" si="20"/>
        <v>75</v>
      </c>
      <c r="J50" s="147">
        <f t="shared" ref="J50:L51" si="21">J23*1.19</f>
        <v>0</v>
      </c>
      <c r="K50" s="156">
        <f>K23</f>
        <v>0</v>
      </c>
      <c r="L50" s="147">
        <f t="shared" si="21"/>
        <v>0</v>
      </c>
      <c r="M50" s="147">
        <f>19.95*12</f>
        <v>239.39999999999998</v>
      </c>
      <c r="N50" s="147">
        <f t="shared" ref="N50:O51" si="22">N23</f>
        <v>0</v>
      </c>
      <c r="O50" s="147">
        <f t="shared" si="22"/>
        <v>0</v>
      </c>
      <c r="P50" s="19">
        <v>3</v>
      </c>
      <c r="Q50" s="24">
        <f>G50+H50+I50*(P50-1)+M50*(P50-1)+L50*P50</f>
        <v>6268.7</v>
      </c>
      <c r="R50" s="147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47">
        <f t="shared" si="20"/>
        <v>1680</v>
      </c>
      <c r="I51" s="156">
        <f t="shared" si="20"/>
        <v>150</v>
      </c>
      <c r="J51" s="147">
        <f t="shared" si="21"/>
        <v>0</v>
      </c>
      <c r="K51" s="156">
        <f>K24</f>
        <v>0</v>
      </c>
      <c r="L51" s="147">
        <f t="shared" si="21"/>
        <v>0</v>
      </c>
      <c r="M51" s="147">
        <f>19.95*12*2</f>
        <v>478.79999999999995</v>
      </c>
      <c r="N51" s="147">
        <f t="shared" si="22"/>
        <v>0</v>
      </c>
      <c r="O51" s="147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47">
        <f t="shared" ref="R51:R53" si="24">Q51/P51</f>
        <v>3512.5</v>
      </c>
      <c r="S51" s="19"/>
      <c r="T51" s="151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47">
        <f t="shared" si="20"/>
        <v>840</v>
      </c>
      <c r="I52" s="156">
        <f t="shared" si="20"/>
        <v>75</v>
      </c>
      <c r="J52" s="27"/>
      <c r="K52" s="156">
        <f>K25</f>
        <v>0</v>
      </c>
      <c r="L52" s="27"/>
      <c r="M52" s="147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47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47">
        <f t="shared" si="20"/>
        <v>1680</v>
      </c>
      <c r="I53" s="156">
        <f t="shared" si="20"/>
        <v>150</v>
      </c>
      <c r="J53" s="27"/>
      <c r="K53" s="156">
        <f>K26</f>
        <v>0</v>
      </c>
      <c r="L53" s="27"/>
      <c r="M53" s="147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47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14" customWidth="1"/>
    <col min="5" max="5" width="11.36328125" style="113" bestFit="1" customWidth="1"/>
    <col min="6" max="6" width="11.6328125" style="113" bestFit="1" customWidth="1"/>
    <col min="7" max="7" width="11.36328125" style="113" bestFit="1" customWidth="1"/>
    <col min="8" max="8" width="14.453125" style="113" customWidth="1"/>
    <col min="9" max="15" width="11.36328125" style="113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05" customFormat="1" x14ac:dyDescent="0.35">
      <c r="D2" s="109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</row>
    <row r="4" spans="2:54" x14ac:dyDescent="0.35">
      <c r="D4" s="111" t="s">
        <v>90</v>
      </c>
      <c r="E4" s="112" t="s">
        <v>91</v>
      </c>
      <c r="F4" s="111" t="s">
        <v>92</v>
      </c>
      <c r="G4" s="112" t="s">
        <v>93</v>
      </c>
      <c r="H4" s="111" t="s">
        <v>94</v>
      </c>
      <c r="I4" s="112" t="s">
        <v>95</v>
      </c>
      <c r="J4" s="111" t="s">
        <v>96</v>
      </c>
      <c r="K4" s="112" t="s">
        <v>97</v>
      </c>
      <c r="L4" s="111" t="s">
        <v>98</v>
      </c>
      <c r="M4" s="112" t="s">
        <v>99</v>
      </c>
      <c r="N4" s="111" t="s">
        <v>100</v>
      </c>
      <c r="O4" s="112" t="s">
        <v>101</v>
      </c>
      <c r="P4" s="111" t="s">
        <v>102</v>
      </c>
      <c r="Q4" s="112" t="s">
        <v>103</v>
      </c>
      <c r="R4" s="111" t="s">
        <v>104</v>
      </c>
      <c r="S4" s="112" t="s">
        <v>105</v>
      </c>
      <c r="T4" s="111" t="s">
        <v>106</v>
      </c>
      <c r="U4" s="112" t="s">
        <v>107</v>
      </c>
      <c r="V4" s="111" t="s">
        <v>108</v>
      </c>
      <c r="W4" s="112" t="s">
        <v>109</v>
      </c>
      <c r="X4" s="111" t="s">
        <v>110</v>
      </c>
      <c r="Y4" s="112" t="s">
        <v>111</v>
      </c>
      <c r="Z4" s="111" t="s">
        <v>112</v>
      </c>
      <c r="AA4" s="112" t="s">
        <v>113</v>
      </c>
      <c r="AB4" s="111" t="s">
        <v>114</v>
      </c>
      <c r="AC4" s="112" t="s">
        <v>115</v>
      </c>
      <c r="AD4" s="111" t="s">
        <v>116</v>
      </c>
      <c r="AE4" s="112" t="s">
        <v>117</v>
      </c>
      <c r="AF4" s="111" t="s">
        <v>118</v>
      </c>
      <c r="AG4" s="112" t="s">
        <v>119</v>
      </c>
      <c r="AH4" s="111" t="s">
        <v>120</v>
      </c>
      <c r="AI4" s="112" t="s">
        <v>121</v>
      </c>
      <c r="AJ4" s="111" t="s">
        <v>122</v>
      </c>
      <c r="AK4" s="112" t="s">
        <v>123</v>
      </c>
      <c r="AL4" s="111" t="s">
        <v>124</v>
      </c>
      <c r="AM4" s="112" t="s">
        <v>125</v>
      </c>
      <c r="AN4" s="111" t="s">
        <v>126</v>
      </c>
      <c r="AQ4" s="103" t="s">
        <v>127</v>
      </c>
      <c r="AR4" s="103" t="s">
        <v>128</v>
      </c>
      <c r="AS4" s="103" t="s">
        <v>129</v>
      </c>
      <c r="AT4" s="103" t="s">
        <v>130</v>
      </c>
      <c r="AU4" s="103" t="s">
        <v>131</v>
      </c>
      <c r="AV4" s="103" t="s">
        <v>132</v>
      </c>
      <c r="AW4" s="103" t="s">
        <v>133</v>
      </c>
      <c r="AX4" s="103" t="s">
        <v>134</v>
      </c>
      <c r="AY4" s="103" t="s">
        <v>135</v>
      </c>
      <c r="AZ4" s="103" t="s">
        <v>136</v>
      </c>
      <c r="BA4" s="103" t="s">
        <v>137</v>
      </c>
      <c r="BB4" s="103" t="s">
        <v>138</v>
      </c>
    </row>
    <row r="5" spans="2:54" x14ac:dyDescent="0.35">
      <c r="C5" s="103" t="s">
        <v>139</v>
      </c>
      <c r="D5" s="111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AN5" s="121" t="e">
        <f>SUM(AN6:AN7)</f>
        <v>#REF!</v>
      </c>
    </row>
    <row r="6" spans="2:54" x14ac:dyDescent="0.35">
      <c r="B6" s="122">
        <v>1</v>
      </c>
      <c r="C6" s="104" t="s">
        <v>72</v>
      </c>
      <c r="D6" s="115" t="e">
        <f>'Preise Output'!$E$26*B6*'Preise Output'!#REF!</f>
        <v>#REF!</v>
      </c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5"/>
      <c r="P6" s="115">
        <f>'Preise Output'!$E$26*B6*INDEX(Annahmen!$B$19:$C$22,MATCH('Preise Output'!$C$7,Annahmen!$B$19:$B$22,0),2)</f>
        <v>17500</v>
      </c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7"/>
      <c r="AB6" s="115">
        <f>'Preise Output'!$E$26*B6*INDEX(Annahmen!$B$19:$C$22,MATCH('Preise Output'!$C$7,Annahmen!$B$19:$B$22,0),2)</f>
        <v>17500</v>
      </c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7"/>
      <c r="AN6" s="117" t="e">
        <f>SUM(D6:AM6)</f>
        <v>#REF!</v>
      </c>
      <c r="AQ6" s="117" t="e">
        <f>SUM(D6:F6)</f>
        <v>#REF!</v>
      </c>
      <c r="AR6" s="117">
        <f>SUM(G6:I6)</f>
        <v>0</v>
      </c>
      <c r="AS6" s="117">
        <f>SUM(J6:L6)</f>
        <v>0</v>
      </c>
      <c r="AT6" s="117">
        <f>SUM(M6:O6)</f>
        <v>0</v>
      </c>
      <c r="AU6" s="117">
        <f>SUM(P6:R6)</f>
        <v>17500</v>
      </c>
      <c r="AV6" s="117">
        <f>SUM(S6:U6)</f>
        <v>0</v>
      </c>
      <c r="AW6" s="117">
        <f>SUM(V6:X6)</f>
        <v>0</v>
      </c>
      <c r="AX6" s="117">
        <f>SUM(Y6:AA6)</f>
        <v>0</v>
      </c>
      <c r="AY6" s="117">
        <f>SUM(AB6:AD6)</f>
        <v>17500</v>
      </c>
      <c r="AZ6" s="117">
        <f>SUM(AE6:AG6)</f>
        <v>0</v>
      </c>
      <c r="BA6" s="117">
        <f>SUM(AH6:AJ6)</f>
        <v>0</v>
      </c>
      <c r="BB6" s="117">
        <f>SUM(AK6:AM6)</f>
        <v>0</v>
      </c>
    </row>
    <row r="7" spans="2:54" x14ac:dyDescent="0.35">
      <c r="C7" s="104" t="s">
        <v>140</v>
      </c>
      <c r="D7" s="116"/>
      <c r="E7" s="116">
        <f>IF($B$6=100%,(('Preise Output'!$F$10-INDEX(Annahmen!$B$18:$C$22,MATCH('Preise Output'!$C$7,Annahmen!$B$18:$B$22,0),2))*'Preise Output'!$E$26)/10,('Preise Output'!$E$26*'Preise Output'!$F$10-$D$6)/10)</f>
        <v>875</v>
      </c>
      <c r="F7" s="116">
        <f>IF($B$6=100%,(('Preise Output'!$F$10-INDEX(Annahmen!$B$18:$C$22,MATCH('Preise Output'!$C$7,Annahmen!$B$18:$B$22,0),2))*'Preise Output'!$E$26)/10,('Preise Output'!$E$26*'Preise Output'!$F$10-$D$6)/10)</f>
        <v>875</v>
      </c>
      <c r="G7" s="116">
        <f>IF($B$6=100%,(('Preise Output'!$F$10-INDEX(Annahmen!$B$18:$C$22,MATCH('Preise Output'!$C$7,Annahmen!$B$18:$B$22,0),2))*'Preise Output'!$E$26)/10,('Preise Output'!$E$26*'Preise Output'!$F$10-$D$6)/10)</f>
        <v>875</v>
      </c>
      <c r="H7" s="116">
        <f>IF($B$6=100%,(('Preise Output'!$F$10-INDEX(Annahmen!$B$18:$C$22,MATCH('Preise Output'!$C$7,Annahmen!$B$18:$B$22,0),2))*'Preise Output'!$E$26)/10,('Preise Output'!$E$26*'Preise Output'!$F$10-$D$6)/10)</f>
        <v>875</v>
      </c>
      <c r="I7" s="116">
        <f>IF($B$6=100%,(('Preise Output'!$F$10-INDEX(Annahmen!$B$18:$C$22,MATCH('Preise Output'!$C$7,Annahmen!$B$18:$B$22,0),2))*'Preise Output'!$E$26)/10,('Preise Output'!$E$26*'Preise Output'!$F$10-$D$6)/10)</f>
        <v>875</v>
      </c>
      <c r="J7" s="116">
        <f>IF($B$6=100%,(('Preise Output'!$F$10-INDEX(Annahmen!$B$18:$C$22,MATCH('Preise Output'!$C$7,Annahmen!$B$18:$B$22,0),2))*'Preise Output'!$E$26)/10,('Preise Output'!$E$26*'Preise Output'!$F$10-$D$6)/10)</f>
        <v>875</v>
      </c>
      <c r="K7" s="116">
        <f>IF($B$6=100%,(('Preise Output'!$F$10-INDEX(Annahmen!$B$18:$C$22,MATCH('Preise Output'!$C$7,Annahmen!$B$18:$B$22,0),2))*'Preise Output'!$E$26)/10,('Preise Output'!$E$26*'Preise Output'!$F$10-$D$6)/10)</f>
        <v>875</v>
      </c>
      <c r="L7" s="116">
        <f>IF($B$6=100%,(('Preise Output'!$F$10-INDEX(Annahmen!$B$18:$C$22,MATCH('Preise Output'!$C$7,Annahmen!$B$18:$B$22,0),2))*'Preise Output'!$E$26)/10,('Preise Output'!$E$26*'Preise Output'!$F$10-$D$6)/10)</f>
        <v>875</v>
      </c>
      <c r="M7" s="116">
        <f>IF($B$6=100%,(('Preise Output'!$F$10-INDEX(Annahmen!$B$18:$C$22,MATCH('Preise Output'!$C$7,Annahmen!$B$18:$B$22,0),2))*'Preise Output'!$E$26)/10,('Preise Output'!$E$26*'Preise Output'!$F$10-$D$6)/10)</f>
        <v>875</v>
      </c>
      <c r="N7" s="116">
        <f>IF($B$6=100%,(('Preise Output'!$F$10-INDEX(Annahmen!$B$18:$C$22,MATCH('Preise Output'!$C$7,Annahmen!$B$18:$B$22,0),2))*'Preise Output'!$E$26)/10,('Preise Output'!$E$26*'Preise Output'!$F$10-$D$6)/10)</f>
        <v>875</v>
      </c>
      <c r="O7" s="115"/>
      <c r="P7" s="116"/>
      <c r="Q7" s="116">
        <f>IF($B$6=100%,(('Preise Output'!$F$10-INDEX(Annahmen!$B$18:$C$22,MATCH('Preise Output'!$C$7,Annahmen!$B$18:$B$22,0),2))*'Preise Output'!$E$26)/10,('Preise Output'!$E$26*'Preise Output'!$F$10-$D$6)/10)</f>
        <v>875</v>
      </c>
      <c r="R7" s="116">
        <f>IF($B$6=100%,(('Preise Output'!$F$10-INDEX(Annahmen!$B$18:$C$22,MATCH('Preise Output'!$C$7,Annahmen!$B$18:$B$22,0),2))*'Preise Output'!$E$26)/10,('Preise Output'!$E$26*'Preise Output'!$F$10-$D$6)/10)</f>
        <v>875</v>
      </c>
      <c r="S7" s="116">
        <f>IF($B$6=100%,(('Preise Output'!$F$10-INDEX(Annahmen!$B$18:$C$22,MATCH('Preise Output'!$C$7,Annahmen!$B$18:$B$22,0),2))*'Preise Output'!$E$26)/10,('Preise Output'!$E$26*'Preise Output'!$F$10-$D$6)/10)</f>
        <v>875</v>
      </c>
      <c r="T7" s="116">
        <f>IF($B$6=100%,(('Preise Output'!$F$10-INDEX(Annahmen!$B$18:$C$22,MATCH('Preise Output'!$C$7,Annahmen!$B$18:$B$22,0),2))*'Preise Output'!$E$26)/10,('Preise Output'!$E$26*'Preise Output'!$F$10-$D$6)/10)</f>
        <v>875</v>
      </c>
      <c r="U7" s="116">
        <f>IF($B$6=100%,(('Preise Output'!$F$10-INDEX(Annahmen!$B$18:$C$22,MATCH('Preise Output'!$C$7,Annahmen!$B$18:$B$22,0),2))*'Preise Output'!$E$26)/10,('Preise Output'!$E$26*'Preise Output'!$F$10-$D$6)/10)</f>
        <v>875</v>
      </c>
      <c r="V7" s="116">
        <f>IF($B$6=100%,(('Preise Output'!$F$10-INDEX(Annahmen!$B$18:$C$22,MATCH('Preise Output'!$C$7,Annahmen!$B$18:$B$22,0),2))*'Preise Output'!$E$26)/10,('Preise Output'!$E$26*'Preise Output'!$F$10-$D$6)/10)</f>
        <v>875</v>
      </c>
      <c r="W7" s="116">
        <f>IF($B$6=100%,(('Preise Output'!$F$10-INDEX(Annahmen!$B$18:$C$22,MATCH('Preise Output'!$C$7,Annahmen!$B$18:$B$22,0),2))*'Preise Output'!$E$26)/10,('Preise Output'!$E$26*'Preise Output'!$F$10-$D$6)/10)</f>
        <v>875</v>
      </c>
      <c r="X7" s="116">
        <f>IF($B$6=100%,(('Preise Output'!$F$10-INDEX(Annahmen!$B$18:$C$22,MATCH('Preise Output'!$C$7,Annahmen!$B$18:$B$22,0),2))*'Preise Output'!$E$26)/10,('Preise Output'!$E$26*'Preise Output'!$F$10-$D$6)/10)</f>
        <v>875</v>
      </c>
      <c r="Y7" s="116">
        <f>IF($B$6=100%,(('Preise Output'!$F$10-INDEX(Annahmen!$B$18:$C$22,MATCH('Preise Output'!$C$7,Annahmen!$B$18:$B$22,0),2))*'Preise Output'!$E$26)/10,('Preise Output'!$E$26*'Preise Output'!$F$10-$D$6)/10)</f>
        <v>875</v>
      </c>
      <c r="Z7" s="116">
        <f>IF($B$6=100%,(('Preise Output'!$F$10-INDEX(Annahmen!$B$18:$C$22,MATCH('Preise Output'!$C$7,Annahmen!$B$18:$B$22,0),2))*'Preise Output'!$E$26)/10,('Preise Output'!$E$26*'Preise Output'!$F$10-$D$6)/10)</f>
        <v>875</v>
      </c>
      <c r="AA7" s="117"/>
      <c r="AB7" s="116"/>
      <c r="AC7" s="116">
        <f>IF($B$6=100%,(('Preise Output'!$F$10-INDEX(Annahmen!$B$18:$C$22,MATCH('Preise Output'!$C$7,Annahmen!$B$18:$B$22,0),2))*'Preise Output'!$E$26)/10,('Preise Output'!$E$26*'Preise Output'!$F$10-$D$6)/10)</f>
        <v>875</v>
      </c>
      <c r="AD7" s="116">
        <f>IF($B$6=100%,(('Preise Output'!$F$10-INDEX(Annahmen!$B$18:$C$22,MATCH('Preise Output'!$C$7,Annahmen!$B$18:$B$22,0),2))*'Preise Output'!$E$26)/10,('Preise Output'!$E$26*'Preise Output'!$F$10-$D$6)/10)</f>
        <v>875</v>
      </c>
      <c r="AE7" s="116">
        <f>IF($B$6=100%,(('Preise Output'!$F$10-INDEX(Annahmen!$B$18:$C$22,MATCH('Preise Output'!$C$7,Annahmen!$B$18:$B$22,0),2))*'Preise Output'!$E$26)/10,('Preise Output'!$E$26*'Preise Output'!$F$10-$D$6)/10)</f>
        <v>875</v>
      </c>
      <c r="AF7" s="116">
        <f>IF($B$6=100%,(('Preise Output'!$F$10-INDEX(Annahmen!$B$18:$C$22,MATCH('Preise Output'!$C$7,Annahmen!$B$18:$B$22,0),2))*'Preise Output'!$E$26)/10,('Preise Output'!$E$26*'Preise Output'!$F$10-$D$6)/10)</f>
        <v>875</v>
      </c>
      <c r="AG7" s="116">
        <f>IF($B$6=100%,(('Preise Output'!$F$10-INDEX(Annahmen!$B$18:$C$22,MATCH('Preise Output'!$C$7,Annahmen!$B$18:$B$22,0),2))*'Preise Output'!$E$26)/10,('Preise Output'!$E$26*'Preise Output'!$F$10-$D$6)/10)</f>
        <v>875</v>
      </c>
      <c r="AH7" s="116">
        <f>IF($B$6=100%,(('Preise Output'!$F$10-INDEX(Annahmen!$B$18:$C$22,MATCH('Preise Output'!$C$7,Annahmen!$B$18:$B$22,0),2))*'Preise Output'!$E$26)/10,('Preise Output'!$E$26*'Preise Output'!$F$10-$D$6)/10)</f>
        <v>875</v>
      </c>
      <c r="AI7" s="116">
        <f>IF($B$6=100%,(('Preise Output'!$F$10-INDEX(Annahmen!$B$18:$C$22,MATCH('Preise Output'!$C$7,Annahmen!$B$18:$B$22,0),2))*'Preise Output'!$E$26)/10,('Preise Output'!$E$26*'Preise Output'!$F$10-$D$6)/10)</f>
        <v>875</v>
      </c>
      <c r="AJ7" s="116">
        <f>IF($B$6=100%,(('Preise Output'!$F$10-INDEX(Annahmen!$B$18:$C$22,MATCH('Preise Output'!$C$7,Annahmen!$B$18:$B$22,0),2))*'Preise Output'!$E$26)/10,('Preise Output'!$E$26*'Preise Output'!$F$10-$D$6)/10)</f>
        <v>875</v>
      </c>
      <c r="AK7" s="116">
        <f>IF($B$6=100%,(('Preise Output'!$F$10-INDEX(Annahmen!$B$18:$C$22,MATCH('Preise Output'!$C$7,Annahmen!$B$18:$B$22,0),2))*'Preise Output'!$E$26)/10,('Preise Output'!$E$26*'Preise Output'!$F$10-$D$6)/10)</f>
        <v>875</v>
      </c>
      <c r="AL7" s="116">
        <f>IF($B$6=100%,(('Preise Output'!$F$10-INDEX(Annahmen!$B$18:$C$22,MATCH('Preise Output'!$C$7,Annahmen!$B$18:$B$22,0),2))*'Preise Output'!$E$26)/10,('Preise Output'!$E$26*'Preise Output'!$F$10-$D$6)/10)</f>
        <v>875</v>
      </c>
      <c r="AM7" s="117"/>
      <c r="AN7" s="117">
        <f t="shared" ref="AN7:AN43" si="0">SUM(D7:AM7)</f>
        <v>26250</v>
      </c>
      <c r="AQ7" s="117">
        <f t="shared" ref="AQ7:AQ45" si="1">SUM(D7:F7)</f>
        <v>1750</v>
      </c>
      <c r="AR7" s="117">
        <f t="shared" ref="AR7:AR45" si="2">SUM(G7:I7)</f>
        <v>2625</v>
      </c>
      <c r="AS7" s="117">
        <f t="shared" ref="AS7:AS45" si="3">SUM(J7:L7)</f>
        <v>2625</v>
      </c>
      <c r="AT7" s="117">
        <f t="shared" ref="AT7:AT45" si="4">SUM(M7:O7)</f>
        <v>1750</v>
      </c>
      <c r="AU7" s="117">
        <f t="shared" ref="AU7:AU45" si="5">SUM(P7:R7)</f>
        <v>1750</v>
      </c>
      <c r="AV7" s="117">
        <f t="shared" ref="AV7:AV45" si="6">SUM(S7:U7)</f>
        <v>2625</v>
      </c>
      <c r="AW7" s="117">
        <f t="shared" ref="AW7:AW45" si="7">SUM(V7:X7)</f>
        <v>2625</v>
      </c>
      <c r="AX7" s="117">
        <f t="shared" ref="AX7:AX45" si="8">SUM(Y7:AA7)</f>
        <v>1750</v>
      </c>
      <c r="AY7" s="117">
        <f t="shared" ref="AY7:AY45" si="9">SUM(AB7:AD7)</f>
        <v>1750</v>
      </c>
      <c r="AZ7" s="117">
        <f t="shared" ref="AZ7:AZ45" si="10">SUM(AE7:AG7)</f>
        <v>2625</v>
      </c>
      <c r="BA7" s="117">
        <f t="shared" ref="BA7:BA45" si="11">SUM(AH7:AJ7)</f>
        <v>2625</v>
      </c>
      <c r="BB7" s="117">
        <f t="shared" ref="BB7:BB45" si="12">SUM(AK7:AM7)</f>
        <v>1750</v>
      </c>
    </row>
    <row r="8" spans="2:54" x14ac:dyDescent="0.35">
      <c r="C8" s="103" t="s">
        <v>141</v>
      </c>
      <c r="D8" s="115" t="e">
        <f t="shared" ref="D8:AN8" si="13">D9+D18+D25+D33+D38+D42+D43</f>
        <v>#REF!</v>
      </c>
      <c r="E8" s="115" t="e">
        <f t="shared" si="13"/>
        <v>#N/A</v>
      </c>
      <c r="F8" s="115" t="e">
        <f t="shared" si="13"/>
        <v>#N/A</v>
      </c>
      <c r="G8" s="115" t="e">
        <f t="shared" si="13"/>
        <v>#REF!</v>
      </c>
      <c r="H8" s="115" t="e">
        <f t="shared" si="13"/>
        <v>#N/A</v>
      </c>
      <c r="I8" s="115" t="e">
        <f t="shared" si="13"/>
        <v>#N/A</v>
      </c>
      <c r="J8" s="115" t="e">
        <f t="shared" si="13"/>
        <v>#REF!</v>
      </c>
      <c r="K8" s="115" t="e">
        <f t="shared" si="13"/>
        <v>#N/A</v>
      </c>
      <c r="L8" s="115" t="e">
        <f t="shared" si="13"/>
        <v>#N/A</v>
      </c>
      <c r="M8" s="115" t="e">
        <f t="shared" si="13"/>
        <v>#REF!</v>
      </c>
      <c r="N8" s="115" t="e">
        <f t="shared" si="13"/>
        <v>#N/A</v>
      </c>
      <c r="O8" s="115" t="e">
        <f t="shared" si="13"/>
        <v>#REF!</v>
      </c>
      <c r="P8" s="115" t="e">
        <f t="shared" si="13"/>
        <v>#REF!</v>
      </c>
      <c r="Q8" s="115" t="e">
        <f t="shared" si="13"/>
        <v>#N/A</v>
      </c>
      <c r="R8" s="115" t="e">
        <f t="shared" si="13"/>
        <v>#N/A</v>
      </c>
      <c r="S8" s="115" t="e">
        <f t="shared" si="13"/>
        <v>#REF!</v>
      </c>
      <c r="T8" s="115" t="e">
        <f t="shared" si="13"/>
        <v>#N/A</v>
      </c>
      <c r="U8" s="115" t="e">
        <f t="shared" si="13"/>
        <v>#N/A</v>
      </c>
      <c r="V8" s="115" t="e">
        <f t="shared" si="13"/>
        <v>#REF!</v>
      </c>
      <c r="W8" s="115" t="e">
        <f t="shared" si="13"/>
        <v>#N/A</v>
      </c>
      <c r="X8" s="115" t="e">
        <f t="shared" si="13"/>
        <v>#N/A</v>
      </c>
      <c r="Y8" s="115" t="e">
        <f t="shared" si="13"/>
        <v>#REF!</v>
      </c>
      <c r="Z8" s="115" t="e">
        <f t="shared" si="13"/>
        <v>#N/A</v>
      </c>
      <c r="AA8" s="115" t="e">
        <f t="shared" si="13"/>
        <v>#REF!</v>
      </c>
      <c r="AB8" s="115" t="e">
        <f t="shared" si="13"/>
        <v>#REF!</v>
      </c>
      <c r="AC8" s="115" t="e">
        <f t="shared" si="13"/>
        <v>#N/A</v>
      </c>
      <c r="AD8" s="115" t="e">
        <f t="shared" si="13"/>
        <v>#N/A</v>
      </c>
      <c r="AE8" s="115" t="e">
        <f t="shared" si="13"/>
        <v>#REF!</v>
      </c>
      <c r="AF8" s="115" t="e">
        <f t="shared" si="13"/>
        <v>#N/A</v>
      </c>
      <c r="AG8" s="115" t="e">
        <f t="shared" si="13"/>
        <v>#N/A</v>
      </c>
      <c r="AH8" s="115" t="e">
        <f t="shared" si="13"/>
        <v>#REF!</v>
      </c>
      <c r="AI8" s="115" t="e">
        <f t="shared" si="13"/>
        <v>#N/A</v>
      </c>
      <c r="AJ8" s="115" t="e">
        <f t="shared" si="13"/>
        <v>#N/A</v>
      </c>
      <c r="AK8" s="115" t="e">
        <f t="shared" si="13"/>
        <v>#REF!</v>
      </c>
      <c r="AL8" s="115" t="e">
        <f t="shared" si="13"/>
        <v>#N/A</v>
      </c>
      <c r="AM8" s="115" t="e">
        <f t="shared" si="13"/>
        <v>#REF!</v>
      </c>
      <c r="AN8" s="121" t="e">
        <f t="shared" si="13"/>
        <v>#REF!</v>
      </c>
      <c r="AQ8" s="117" t="e">
        <f t="shared" si="1"/>
        <v>#REF!</v>
      </c>
      <c r="AR8" s="117" t="e">
        <f t="shared" si="2"/>
        <v>#REF!</v>
      </c>
      <c r="AS8" s="117" t="e">
        <f t="shared" si="3"/>
        <v>#REF!</v>
      </c>
      <c r="AT8" s="117" t="e">
        <f t="shared" si="4"/>
        <v>#REF!</v>
      </c>
      <c r="AU8" s="117" t="e">
        <f t="shared" si="5"/>
        <v>#REF!</v>
      </c>
      <c r="AV8" s="117" t="e">
        <f t="shared" si="6"/>
        <v>#REF!</v>
      </c>
      <c r="AW8" s="117" t="e">
        <f t="shared" si="7"/>
        <v>#REF!</v>
      </c>
      <c r="AX8" s="117" t="e">
        <f t="shared" si="8"/>
        <v>#REF!</v>
      </c>
      <c r="AY8" s="117" t="e">
        <f t="shared" si="9"/>
        <v>#REF!</v>
      </c>
      <c r="AZ8" s="117" t="e">
        <f t="shared" si="10"/>
        <v>#REF!</v>
      </c>
      <c r="BA8" s="117" t="e">
        <f t="shared" si="11"/>
        <v>#REF!</v>
      </c>
      <c r="BB8" s="117" t="e">
        <f t="shared" si="12"/>
        <v>#REF!</v>
      </c>
    </row>
    <row r="9" spans="2:54" s="103" customFormat="1" x14ac:dyDescent="0.35">
      <c r="C9" s="103" t="s">
        <v>142</v>
      </c>
      <c r="D9" s="116" t="e">
        <f>SUM(D10:D17)</f>
        <v>#REF!</v>
      </c>
      <c r="E9" s="116">
        <f t="shared" ref="E9:AM9" si="14">SUM(E10:E17)</f>
        <v>0</v>
      </c>
      <c r="F9" s="116">
        <f t="shared" si="14"/>
        <v>0</v>
      </c>
      <c r="G9" s="116" t="e">
        <f t="shared" si="14"/>
        <v>#REF!</v>
      </c>
      <c r="H9" s="116">
        <f t="shared" si="14"/>
        <v>0</v>
      </c>
      <c r="I9" s="116">
        <f t="shared" si="14"/>
        <v>0</v>
      </c>
      <c r="J9" s="116" t="e">
        <f t="shared" si="14"/>
        <v>#REF!</v>
      </c>
      <c r="K9" s="116">
        <f t="shared" si="14"/>
        <v>0</v>
      </c>
      <c r="L9" s="116">
        <f t="shared" si="14"/>
        <v>0</v>
      </c>
      <c r="M9" s="116" t="e">
        <f t="shared" si="14"/>
        <v>#REF!</v>
      </c>
      <c r="N9" s="116">
        <f t="shared" si="14"/>
        <v>0</v>
      </c>
      <c r="O9" s="116">
        <f t="shared" si="14"/>
        <v>0</v>
      </c>
      <c r="P9" s="116" t="e">
        <f t="shared" si="14"/>
        <v>#REF!</v>
      </c>
      <c r="Q9" s="116">
        <f t="shared" si="14"/>
        <v>0</v>
      </c>
      <c r="R9" s="116">
        <f t="shared" si="14"/>
        <v>0</v>
      </c>
      <c r="S9" s="116" t="e">
        <f t="shared" si="14"/>
        <v>#REF!</v>
      </c>
      <c r="T9" s="116">
        <f t="shared" si="14"/>
        <v>0</v>
      </c>
      <c r="U9" s="116">
        <f t="shared" si="14"/>
        <v>0</v>
      </c>
      <c r="V9" s="116" t="e">
        <f t="shared" si="14"/>
        <v>#REF!</v>
      </c>
      <c r="W9" s="116">
        <f t="shared" si="14"/>
        <v>0</v>
      </c>
      <c r="X9" s="116">
        <f t="shared" si="14"/>
        <v>0</v>
      </c>
      <c r="Y9" s="116" t="e">
        <f t="shared" si="14"/>
        <v>#REF!</v>
      </c>
      <c r="Z9" s="116">
        <f t="shared" si="14"/>
        <v>0</v>
      </c>
      <c r="AA9" s="116">
        <f t="shared" si="14"/>
        <v>0</v>
      </c>
      <c r="AB9" s="116" t="e">
        <f t="shared" si="14"/>
        <v>#REF!</v>
      </c>
      <c r="AC9" s="116">
        <f t="shared" si="14"/>
        <v>0</v>
      </c>
      <c r="AD9" s="116">
        <f t="shared" si="14"/>
        <v>0</v>
      </c>
      <c r="AE9" s="116" t="e">
        <f t="shared" si="14"/>
        <v>#REF!</v>
      </c>
      <c r="AF9" s="116">
        <f t="shared" si="14"/>
        <v>0</v>
      </c>
      <c r="AG9" s="116">
        <f t="shared" si="14"/>
        <v>0</v>
      </c>
      <c r="AH9" s="116" t="e">
        <f t="shared" si="14"/>
        <v>#REF!</v>
      </c>
      <c r="AI9" s="116">
        <f t="shared" si="14"/>
        <v>0</v>
      </c>
      <c r="AJ9" s="116">
        <f t="shared" si="14"/>
        <v>0</v>
      </c>
      <c r="AK9" s="116" t="e">
        <f t="shared" si="14"/>
        <v>#REF!</v>
      </c>
      <c r="AL9" s="116">
        <f t="shared" si="14"/>
        <v>0</v>
      </c>
      <c r="AM9" s="116" t="e">
        <f t="shared" si="14"/>
        <v>#REF!</v>
      </c>
      <c r="AN9" s="121" t="e">
        <f>SUM(AN10:AN17)</f>
        <v>#REF!</v>
      </c>
      <c r="AQ9" s="121"/>
      <c r="AR9" s="121"/>
      <c r="AS9" s="121"/>
      <c r="AT9" s="121"/>
      <c r="AU9" s="121"/>
      <c r="AV9" s="121"/>
      <c r="AW9" s="121"/>
      <c r="AX9" s="121"/>
      <c r="AY9" s="121"/>
      <c r="AZ9" s="121"/>
      <c r="BA9" s="121"/>
      <c r="BB9" s="121"/>
    </row>
    <row r="10" spans="2:54" outlineLevel="1" x14ac:dyDescent="0.35">
      <c r="C10" s="104" t="s">
        <v>57</v>
      </c>
      <c r="D10" s="115" t="e">
        <f>-SUM(Kosten!F5:F7)</f>
        <v>#REF!</v>
      </c>
      <c r="E10" s="118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 t="e">
        <f t="shared" si="0"/>
        <v>#REF!</v>
      </c>
      <c r="AQ10" s="117" t="e">
        <f t="shared" si="1"/>
        <v>#REF!</v>
      </c>
      <c r="AR10" s="117">
        <f t="shared" si="2"/>
        <v>0</v>
      </c>
      <c r="AS10" s="117">
        <f t="shared" si="3"/>
        <v>0</v>
      </c>
      <c r="AT10" s="117">
        <f t="shared" si="4"/>
        <v>0</v>
      </c>
      <c r="AU10" s="117">
        <f t="shared" si="5"/>
        <v>0</v>
      </c>
      <c r="AV10" s="117">
        <f t="shared" si="6"/>
        <v>0</v>
      </c>
      <c r="AW10" s="117">
        <f t="shared" si="7"/>
        <v>0</v>
      </c>
      <c r="AX10" s="117">
        <f t="shared" si="8"/>
        <v>0</v>
      </c>
      <c r="AY10" s="117">
        <f t="shared" si="9"/>
        <v>0</v>
      </c>
      <c r="AZ10" s="117">
        <f t="shared" si="10"/>
        <v>0</v>
      </c>
      <c r="BA10" s="117">
        <f t="shared" si="11"/>
        <v>0</v>
      </c>
      <c r="BB10" s="117">
        <f t="shared" si="12"/>
        <v>0</v>
      </c>
    </row>
    <row r="11" spans="2:54" outlineLevel="1" x14ac:dyDescent="0.35">
      <c r="C11" s="104" t="s">
        <v>58</v>
      </c>
      <c r="D11" s="115" t="e">
        <f>-SUM(Kosten!G5:G7)</f>
        <v>#REF!</v>
      </c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  <c r="AK11" s="117"/>
      <c r="AL11" s="117"/>
      <c r="AM11" s="117"/>
      <c r="AN11" s="117" t="e">
        <f t="shared" si="0"/>
        <v>#REF!</v>
      </c>
      <c r="AQ11" s="117" t="e">
        <f t="shared" si="1"/>
        <v>#REF!</v>
      </c>
      <c r="AR11" s="117">
        <f t="shared" si="2"/>
        <v>0</v>
      </c>
      <c r="AS11" s="117">
        <f t="shared" si="3"/>
        <v>0</v>
      </c>
      <c r="AT11" s="117">
        <f t="shared" si="4"/>
        <v>0</v>
      </c>
      <c r="AU11" s="117">
        <f t="shared" si="5"/>
        <v>0</v>
      </c>
      <c r="AV11" s="117">
        <f t="shared" si="6"/>
        <v>0</v>
      </c>
      <c r="AW11" s="117">
        <f t="shared" si="7"/>
        <v>0</v>
      </c>
      <c r="AX11" s="117">
        <f t="shared" si="8"/>
        <v>0</v>
      </c>
      <c r="AY11" s="117">
        <f t="shared" si="9"/>
        <v>0</v>
      </c>
      <c r="AZ11" s="117">
        <f t="shared" si="10"/>
        <v>0</v>
      </c>
      <c r="BA11" s="117">
        <f t="shared" si="11"/>
        <v>0</v>
      </c>
      <c r="BB11" s="117">
        <f t="shared" si="12"/>
        <v>0</v>
      </c>
    </row>
    <row r="12" spans="2:54" outlineLevel="1" x14ac:dyDescent="0.35">
      <c r="C12" s="104" t="s">
        <v>61</v>
      </c>
      <c r="D12" s="115" t="e">
        <f>-SUM(Kosten!$M$5:$M$7)</f>
        <v>#REF!</v>
      </c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 t="e">
        <f>-SUM(Kosten!$M$5:$M$7)</f>
        <v>#REF!</v>
      </c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5" t="e">
        <f>-SUM(Kosten!$M$5:$M$7)</f>
        <v>#REF!</v>
      </c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  <c r="AM12" s="117"/>
      <c r="AN12" s="117" t="e">
        <f t="shared" si="0"/>
        <v>#REF!</v>
      </c>
      <c r="AQ12" s="117" t="e">
        <f t="shared" si="1"/>
        <v>#REF!</v>
      </c>
      <c r="AR12" s="117">
        <f t="shared" si="2"/>
        <v>0</v>
      </c>
      <c r="AS12" s="117">
        <f t="shared" si="3"/>
        <v>0</v>
      </c>
      <c r="AT12" s="117">
        <f t="shared" si="4"/>
        <v>0</v>
      </c>
      <c r="AU12" s="117" t="e">
        <f t="shared" si="5"/>
        <v>#REF!</v>
      </c>
      <c r="AV12" s="117">
        <f t="shared" si="6"/>
        <v>0</v>
      </c>
      <c r="AW12" s="117">
        <f t="shared" si="7"/>
        <v>0</v>
      </c>
      <c r="AX12" s="117">
        <f t="shared" si="8"/>
        <v>0</v>
      </c>
      <c r="AY12" s="117" t="e">
        <f t="shared" si="9"/>
        <v>#REF!</v>
      </c>
      <c r="AZ12" s="117">
        <f t="shared" si="10"/>
        <v>0</v>
      </c>
      <c r="BA12" s="117">
        <f t="shared" si="11"/>
        <v>0</v>
      </c>
      <c r="BB12" s="117">
        <f t="shared" si="12"/>
        <v>0</v>
      </c>
    </row>
    <row r="13" spans="2:54" outlineLevel="1" x14ac:dyDescent="0.35">
      <c r="C13" s="104" t="s">
        <v>67</v>
      </c>
      <c r="D13" s="115" t="e">
        <f>-SUM(Kosten!H5:H7)</f>
        <v>#REF!</v>
      </c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17"/>
      <c r="AD13" s="117"/>
      <c r="AE13" s="117"/>
      <c r="AF13" s="117"/>
      <c r="AG13" s="117"/>
      <c r="AH13" s="117"/>
      <c r="AI13" s="117"/>
      <c r="AJ13" s="117"/>
      <c r="AK13" s="117"/>
      <c r="AL13" s="117"/>
      <c r="AM13" s="117"/>
      <c r="AN13" s="117" t="e">
        <f t="shared" si="0"/>
        <v>#REF!</v>
      </c>
      <c r="AQ13" s="117" t="e">
        <f t="shared" si="1"/>
        <v>#REF!</v>
      </c>
      <c r="AR13" s="117">
        <f t="shared" si="2"/>
        <v>0</v>
      </c>
      <c r="AS13" s="117">
        <f t="shared" si="3"/>
        <v>0</v>
      </c>
      <c r="AT13" s="117">
        <f t="shared" si="4"/>
        <v>0</v>
      </c>
      <c r="AU13" s="117">
        <f t="shared" si="5"/>
        <v>0</v>
      </c>
      <c r="AV13" s="117">
        <f t="shared" si="6"/>
        <v>0</v>
      </c>
      <c r="AW13" s="117">
        <f t="shared" si="7"/>
        <v>0</v>
      </c>
      <c r="AX13" s="117">
        <f t="shared" si="8"/>
        <v>0</v>
      </c>
      <c r="AY13" s="117">
        <f t="shared" si="9"/>
        <v>0</v>
      </c>
      <c r="AZ13" s="117">
        <f t="shared" si="10"/>
        <v>0</v>
      </c>
      <c r="BA13" s="117">
        <f t="shared" si="11"/>
        <v>0</v>
      </c>
      <c r="BB13" s="117">
        <f t="shared" si="12"/>
        <v>0</v>
      </c>
    </row>
    <row r="14" spans="2:54" outlineLevel="1" x14ac:dyDescent="0.35">
      <c r="C14" s="104" t="s">
        <v>143</v>
      </c>
      <c r="D14" s="115" t="e">
        <f>-Kosten!F8-Kosten!H8</f>
        <v>#REF!</v>
      </c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  <c r="BA14" s="117"/>
      <c r="BB14" s="117"/>
    </row>
    <row r="15" spans="2:54" outlineLevel="1" x14ac:dyDescent="0.35">
      <c r="C15" s="104" t="s">
        <v>69</v>
      </c>
      <c r="D15" s="115"/>
      <c r="E15" s="115"/>
      <c r="F15" s="115"/>
      <c r="G15" s="115" t="e">
        <f>-SUM(Kosten!$J$5:$J$7)/3</f>
        <v>#REF!</v>
      </c>
      <c r="H15" s="115"/>
      <c r="I15" s="115"/>
      <c r="J15" s="115" t="e">
        <f>-SUM(Kosten!$J$5:$J$7)/3</f>
        <v>#REF!</v>
      </c>
      <c r="K15" s="115"/>
      <c r="L15" s="115"/>
      <c r="M15" s="115" t="e">
        <f>-SUM(Kosten!$J$5:$J$7)/3</f>
        <v>#REF!</v>
      </c>
      <c r="N15" s="115"/>
      <c r="O15" s="115"/>
      <c r="Q15" s="117"/>
      <c r="R15" s="117"/>
      <c r="S15" s="115" t="e">
        <f>-SUM(Kosten!$J$5:$J$7)/3</f>
        <v>#REF!</v>
      </c>
      <c r="T15" s="117"/>
      <c r="U15" s="117"/>
      <c r="V15" s="115" t="e">
        <f>-SUM(Kosten!$J$5:$J$7)/3</f>
        <v>#REF!</v>
      </c>
      <c r="W15" s="117"/>
      <c r="X15" s="117"/>
      <c r="Y15" s="115" t="e">
        <f>-SUM(Kosten!$J$5:$J$7)/3</f>
        <v>#REF!</v>
      </c>
      <c r="Z15" s="117"/>
      <c r="AA15" s="117"/>
      <c r="AB15" s="115"/>
      <c r="AC15" s="117"/>
      <c r="AD15" s="117"/>
      <c r="AE15" s="115" t="e">
        <f>-SUM(Kosten!$J$5:$J$7)/3</f>
        <v>#REF!</v>
      </c>
      <c r="AF15" s="117"/>
      <c r="AG15" s="117"/>
      <c r="AH15" s="115" t="e">
        <f>-SUM(Kosten!$J$5:$J$7)/3</f>
        <v>#REF!</v>
      </c>
      <c r="AI15" s="117"/>
      <c r="AJ15" s="117"/>
      <c r="AK15" s="115" t="e">
        <f>-SUM(Kosten!$J$5:$J$7)/3</f>
        <v>#REF!</v>
      </c>
      <c r="AL15" s="117"/>
      <c r="AM15" s="117"/>
      <c r="AN15" s="117" t="e">
        <f t="shared" si="0"/>
        <v>#REF!</v>
      </c>
      <c r="AQ15" s="117">
        <f t="shared" si="1"/>
        <v>0</v>
      </c>
      <c r="AR15" s="117" t="e">
        <f t="shared" si="2"/>
        <v>#REF!</v>
      </c>
      <c r="AS15" s="117" t="e">
        <f t="shared" si="3"/>
        <v>#REF!</v>
      </c>
      <c r="AT15" s="117" t="e">
        <f>SUM(M15:O15)</f>
        <v>#REF!</v>
      </c>
      <c r="AU15" s="117" t="e">
        <f>SUM(M15:R15)</f>
        <v>#REF!</v>
      </c>
      <c r="AV15" s="117" t="e">
        <f t="shared" si="6"/>
        <v>#REF!</v>
      </c>
      <c r="AW15" s="117" t="e">
        <f t="shared" si="7"/>
        <v>#REF!</v>
      </c>
      <c r="AX15" s="117" t="e">
        <f t="shared" si="8"/>
        <v>#REF!</v>
      </c>
      <c r="AY15" s="117">
        <f t="shared" si="9"/>
        <v>0</v>
      </c>
      <c r="AZ15" s="117" t="e">
        <f t="shared" si="10"/>
        <v>#REF!</v>
      </c>
      <c r="BA15" s="117" t="e">
        <f t="shared" si="11"/>
        <v>#REF!</v>
      </c>
      <c r="BB15" s="117" t="e">
        <f t="shared" si="12"/>
        <v>#REF!</v>
      </c>
    </row>
    <row r="16" spans="2:54" outlineLevel="1" x14ac:dyDescent="0.35">
      <c r="C16" s="104" t="s">
        <v>68</v>
      </c>
      <c r="D16" s="115"/>
      <c r="E16" s="115"/>
      <c r="F16" s="115"/>
      <c r="G16" s="115"/>
      <c r="H16" s="115"/>
      <c r="I16" s="115"/>
      <c r="J16" s="115"/>
      <c r="K16" s="115"/>
      <c r="L16" s="115"/>
      <c r="N16" s="115"/>
      <c r="O16" s="115"/>
      <c r="P16" s="115" t="e">
        <f>-SUM(Kosten!$I$5:$I$7)</f>
        <v>#REF!</v>
      </c>
      <c r="Q16" s="117"/>
      <c r="R16" s="117"/>
      <c r="S16" s="117"/>
      <c r="T16" s="117"/>
      <c r="U16" s="117"/>
      <c r="V16" s="117"/>
      <c r="W16" s="117"/>
      <c r="X16" s="117"/>
      <c r="Z16" s="117"/>
      <c r="AA16" s="117"/>
      <c r="AB16" s="115" t="e">
        <f>-SUM(Kosten!$I$5:$I$7)</f>
        <v>#REF!</v>
      </c>
      <c r="AC16" s="117"/>
      <c r="AD16" s="117"/>
      <c r="AE16" s="117"/>
      <c r="AF16" s="117"/>
      <c r="AG16" s="117"/>
      <c r="AH16" s="117"/>
      <c r="AI16" s="117"/>
      <c r="AJ16" s="117"/>
      <c r="AK16" s="117"/>
      <c r="AL16" s="117"/>
      <c r="AM16" s="117"/>
      <c r="AN16" s="117" t="e">
        <f t="shared" si="0"/>
        <v>#REF!</v>
      </c>
      <c r="AQ16" s="117">
        <f t="shared" si="1"/>
        <v>0</v>
      </c>
      <c r="AR16" s="117">
        <f t="shared" si="2"/>
        <v>0</v>
      </c>
      <c r="AS16" s="117">
        <f t="shared" si="3"/>
        <v>0</v>
      </c>
      <c r="AT16" s="117">
        <f t="shared" si="4"/>
        <v>0</v>
      </c>
      <c r="AU16" s="117" t="e">
        <f>SUM(P16:R16)</f>
        <v>#REF!</v>
      </c>
      <c r="AV16" s="117">
        <f t="shared" si="6"/>
        <v>0</v>
      </c>
      <c r="AW16" s="117">
        <f t="shared" si="7"/>
        <v>0</v>
      </c>
      <c r="AX16" s="117">
        <f t="shared" si="8"/>
        <v>0</v>
      </c>
      <c r="AY16" s="117" t="e">
        <f>SUM(AB16:AD16)</f>
        <v>#REF!</v>
      </c>
      <c r="AZ16" s="117">
        <f t="shared" si="10"/>
        <v>0</v>
      </c>
      <c r="BA16" s="117">
        <f t="shared" si="11"/>
        <v>0</v>
      </c>
      <c r="BB16" s="117">
        <f t="shared" si="12"/>
        <v>0</v>
      </c>
    </row>
    <row r="17" spans="3:54" outlineLevel="1" x14ac:dyDescent="0.35">
      <c r="C17" s="104" t="s">
        <v>60</v>
      </c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7"/>
      <c r="Q17" s="117"/>
      <c r="R17" s="117"/>
      <c r="S17" s="117"/>
      <c r="T17" s="117"/>
      <c r="U17" s="117"/>
      <c r="V17" s="117"/>
      <c r="W17" s="117"/>
      <c r="X17" s="117"/>
      <c r="Y17" s="115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 t="e">
        <f>-SUM(Kosten!$N$5:$N$7)</f>
        <v>#REF!</v>
      </c>
      <c r="AN17" s="117" t="e">
        <f t="shared" si="0"/>
        <v>#REF!</v>
      </c>
      <c r="AQ17" s="117">
        <f t="shared" si="1"/>
        <v>0</v>
      </c>
      <c r="AR17" s="117">
        <f t="shared" si="2"/>
        <v>0</v>
      </c>
      <c r="AS17" s="117">
        <f t="shared" si="3"/>
        <v>0</v>
      </c>
      <c r="AT17" s="117">
        <f t="shared" si="4"/>
        <v>0</v>
      </c>
      <c r="AU17" s="117">
        <f t="shared" si="5"/>
        <v>0</v>
      </c>
      <c r="AV17" s="117">
        <f t="shared" si="6"/>
        <v>0</v>
      </c>
      <c r="AW17" s="117">
        <f t="shared" si="7"/>
        <v>0</v>
      </c>
      <c r="AX17" s="117">
        <f t="shared" si="8"/>
        <v>0</v>
      </c>
      <c r="AY17" s="117">
        <f t="shared" si="9"/>
        <v>0</v>
      </c>
      <c r="AZ17" s="117">
        <f t="shared" si="10"/>
        <v>0</v>
      </c>
      <c r="BA17" s="117">
        <f t="shared" si="11"/>
        <v>0</v>
      </c>
      <c r="BB17" s="117" t="e">
        <f t="shared" si="12"/>
        <v>#REF!</v>
      </c>
    </row>
    <row r="18" spans="3:54" s="103" customFormat="1" x14ac:dyDescent="0.35">
      <c r="C18" s="103" t="s">
        <v>85</v>
      </c>
      <c r="D18" s="116" t="e">
        <f>SUM(D19:D24)</f>
        <v>#REF!</v>
      </c>
      <c r="E18" s="116">
        <f t="shared" ref="E18:AM18" si="15">SUM(E19:E24)</f>
        <v>0</v>
      </c>
      <c r="F18" s="116">
        <f t="shared" si="15"/>
        <v>0</v>
      </c>
      <c r="G18" s="116">
        <f t="shared" si="15"/>
        <v>0</v>
      </c>
      <c r="H18" s="116">
        <f t="shared" si="15"/>
        <v>0</v>
      </c>
      <c r="I18" s="116">
        <f t="shared" si="15"/>
        <v>0</v>
      </c>
      <c r="J18" s="116">
        <f t="shared" si="15"/>
        <v>0</v>
      </c>
      <c r="K18" s="116">
        <f t="shared" si="15"/>
        <v>0</v>
      </c>
      <c r="L18" s="116">
        <f t="shared" si="15"/>
        <v>0</v>
      </c>
      <c r="M18" s="116">
        <f t="shared" si="15"/>
        <v>0</v>
      </c>
      <c r="N18" s="116">
        <f t="shared" si="15"/>
        <v>0</v>
      </c>
      <c r="O18" s="116" t="e">
        <f t="shared" si="15"/>
        <v>#REF!</v>
      </c>
      <c r="P18" s="116" t="e">
        <f t="shared" si="15"/>
        <v>#REF!</v>
      </c>
      <c r="Q18" s="116">
        <f t="shared" si="15"/>
        <v>0</v>
      </c>
      <c r="R18" s="116">
        <f t="shared" si="15"/>
        <v>0</v>
      </c>
      <c r="S18" s="116">
        <f t="shared" si="15"/>
        <v>0</v>
      </c>
      <c r="T18" s="116">
        <f t="shared" si="15"/>
        <v>0</v>
      </c>
      <c r="U18" s="116">
        <f t="shared" si="15"/>
        <v>0</v>
      </c>
      <c r="V18" s="116">
        <f t="shared" si="15"/>
        <v>0</v>
      </c>
      <c r="W18" s="116">
        <f t="shared" si="15"/>
        <v>0</v>
      </c>
      <c r="X18" s="116">
        <f t="shared" si="15"/>
        <v>0</v>
      </c>
      <c r="Y18" s="116">
        <f t="shared" si="15"/>
        <v>0</v>
      </c>
      <c r="Z18" s="116">
        <f t="shared" si="15"/>
        <v>0</v>
      </c>
      <c r="AA18" s="116" t="e">
        <f t="shared" si="15"/>
        <v>#REF!</v>
      </c>
      <c r="AB18" s="116" t="e">
        <f t="shared" si="15"/>
        <v>#REF!</v>
      </c>
      <c r="AC18" s="116">
        <f t="shared" si="15"/>
        <v>0</v>
      </c>
      <c r="AD18" s="116">
        <f t="shared" si="15"/>
        <v>0</v>
      </c>
      <c r="AE18" s="116">
        <f t="shared" si="15"/>
        <v>0</v>
      </c>
      <c r="AF18" s="116">
        <f t="shared" si="15"/>
        <v>0</v>
      </c>
      <c r="AG18" s="116">
        <f t="shared" si="15"/>
        <v>0</v>
      </c>
      <c r="AH18" s="116">
        <f t="shared" si="15"/>
        <v>0</v>
      </c>
      <c r="AI18" s="116">
        <f t="shared" si="15"/>
        <v>0</v>
      </c>
      <c r="AJ18" s="116">
        <f t="shared" si="15"/>
        <v>0</v>
      </c>
      <c r="AK18" s="116">
        <f t="shared" si="15"/>
        <v>0</v>
      </c>
      <c r="AL18" s="116">
        <f t="shared" si="15"/>
        <v>0</v>
      </c>
      <c r="AM18" s="116" t="e">
        <f t="shared" si="15"/>
        <v>#REF!</v>
      </c>
      <c r="AN18" s="121" t="e">
        <f>SUM(AN19:AN24)</f>
        <v>#REF!</v>
      </c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</row>
    <row r="19" spans="3:54" hidden="1" outlineLevel="1" x14ac:dyDescent="0.35">
      <c r="C19" s="104" t="s">
        <v>57</v>
      </c>
      <c r="D19" s="115" t="e">
        <f>-SUM(Kosten!$F$10:$F$11)</f>
        <v>#REF!</v>
      </c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  <c r="AM19" s="117"/>
      <c r="AN19" s="117" t="e">
        <f t="shared" si="0"/>
        <v>#REF!</v>
      </c>
      <c r="AQ19" s="117" t="e">
        <f t="shared" si="1"/>
        <v>#REF!</v>
      </c>
      <c r="AR19" s="117">
        <f t="shared" si="2"/>
        <v>0</v>
      </c>
      <c r="AS19" s="117">
        <f t="shared" si="3"/>
        <v>0</v>
      </c>
      <c r="AT19" s="117">
        <f t="shared" si="4"/>
        <v>0</v>
      </c>
      <c r="AU19" s="117">
        <f t="shared" si="5"/>
        <v>0</v>
      </c>
      <c r="AV19" s="117">
        <f t="shared" si="6"/>
        <v>0</v>
      </c>
      <c r="AW19" s="117">
        <f t="shared" si="7"/>
        <v>0</v>
      </c>
      <c r="AX19" s="117">
        <f t="shared" si="8"/>
        <v>0</v>
      </c>
      <c r="AY19" s="117">
        <f t="shared" si="9"/>
        <v>0</v>
      </c>
      <c r="AZ19" s="117">
        <f t="shared" si="10"/>
        <v>0</v>
      </c>
      <c r="BA19" s="117">
        <f t="shared" si="11"/>
        <v>0</v>
      </c>
      <c r="BB19" s="117">
        <f t="shared" si="12"/>
        <v>0</v>
      </c>
    </row>
    <row r="20" spans="3:54" hidden="1" outlineLevel="1" x14ac:dyDescent="0.35">
      <c r="C20" s="104" t="s">
        <v>58</v>
      </c>
      <c r="D20" s="115" t="e">
        <f>-SUM(Kosten!$G$10:$G$11)</f>
        <v>#REF!</v>
      </c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 t="e">
        <f t="shared" si="0"/>
        <v>#REF!</v>
      </c>
      <c r="AQ20" s="117" t="e">
        <f t="shared" si="1"/>
        <v>#REF!</v>
      </c>
      <c r="AR20" s="117">
        <f t="shared" si="2"/>
        <v>0</v>
      </c>
      <c r="AS20" s="117">
        <f t="shared" si="3"/>
        <v>0</v>
      </c>
      <c r="AT20" s="117">
        <f t="shared" si="4"/>
        <v>0</v>
      </c>
      <c r="AU20" s="117">
        <f t="shared" si="5"/>
        <v>0</v>
      </c>
      <c r="AV20" s="117">
        <f t="shared" si="6"/>
        <v>0</v>
      </c>
      <c r="AW20" s="117">
        <f t="shared" si="7"/>
        <v>0</v>
      </c>
      <c r="AX20" s="117">
        <f t="shared" si="8"/>
        <v>0</v>
      </c>
      <c r="AY20" s="117">
        <f t="shared" si="9"/>
        <v>0</v>
      </c>
      <c r="AZ20" s="117">
        <f t="shared" si="10"/>
        <v>0</v>
      </c>
      <c r="BA20" s="117">
        <f t="shared" si="11"/>
        <v>0</v>
      </c>
      <c r="BB20" s="117">
        <f t="shared" si="12"/>
        <v>0</v>
      </c>
    </row>
    <row r="21" spans="3:54" hidden="1" outlineLevel="1" x14ac:dyDescent="0.35">
      <c r="C21" s="104" t="s">
        <v>61</v>
      </c>
      <c r="D21" s="115" t="e">
        <f>-SUM(Kosten!$M$10:$M$11)</f>
        <v>#REF!</v>
      </c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 t="e">
        <f>-SUM(Kosten!$M$10:$M$11)</f>
        <v>#REF!</v>
      </c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5" t="e">
        <f>-SUM(Kosten!$M$10:$M$11)</f>
        <v>#REF!</v>
      </c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  <c r="AN21" s="117" t="e">
        <f t="shared" si="0"/>
        <v>#REF!</v>
      </c>
      <c r="AQ21" s="117" t="e">
        <f t="shared" si="1"/>
        <v>#REF!</v>
      </c>
      <c r="AR21" s="117">
        <f t="shared" si="2"/>
        <v>0</v>
      </c>
      <c r="AS21" s="117">
        <f t="shared" si="3"/>
        <v>0</v>
      </c>
      <c r="AT21" s="117">
        <f t="shared" si="4"/>
        <v>0</v>
      </c>
      <c r="AU21" s="117" t="e">
        <f t="shared" si="5"/>
        <v>#REF!</v>
      </c>
      <c r="AV21" s="117">
        <f t="shared" si="6"/>
        <v>0</v>
      </c>
      <c r="AW21" s="117">
        <f t="shared" si="7"/>
        <v>0</v>
      </c>
      <c r="AX21" s="117">
        <f t="shared" si="8"/>
        <v>0</v>
      </c>
      <c r="AY21" s="117" t="e">
        <f t="shared" si="9"/>
        <v>#REF!</v>
      </c>
      <c r="AZ21" s="117">
        <f t="shared" si="10"/>
        <v>0</v>
      </c>
      <c r="BA21" s="117">
        <f t="shared" si="11"/>
        <v>0</v>
      </c>
      <c r="BB21" s="117">
        <f t="shared" si="12"/>
        <v>0</v>
      </c>
    </row>
    <row r="22" spans="3:54" hidden="1" outlineLevel="1" x14ac:dyDescent="0.35">
      <c r="C22" s="104" t="s">
        <v>67</v>
      </c>
      <c r="D22" s="115" t="e">
        <f>-SUM(Kosten!$H$10:$H$11)</f>
        <v>#REF!</v>
      </c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  <c r="AN22" s="117" t="e">
        <f t="shared" si="0"/>
        <v>#REF!</v>
      </c>
      <c r="AQ22" s="117" t="e">
        <f t="shared" si="1"/>
        <v>#REF!</v>
      </c>
      <c r="AR22" s="117">
        <f t="shared" si="2"/>
        <v>0</v>
      </c>
      <c r="AS22" s="117">
        <f t="shared" si="3"/>
        <v>0</v>
      </c>
      <c r="AT22" s="117">
        <f t="shared" si="4"/>
        <v>0</v>
      </c>
      <c r="AU22" s="117">
        <f t="shared" si="5"/>
        <v>0</v>
      </c>
      <c r="AV22" s="117">
        <f t="shared" si="6"/>
        <v>0</v>
      </c>
      <c r="AW22" s="117">
        <f t="shared" si="7"/>
        <v>0</v>
      </c>
      <c r="AX22" s="117">
        <f t="shared" si="8"/>
        <v>0</v>
      </c>
      <c r="AY22" s="117">
        <f t="shared" si="9"/>
        <v>0</v>
      </c>
      <c r="AZ22" s="117">
        <f t="shared" si="10"/>
        <v>0</v>
      </c>
      <c r="BA22" s="117">
        <f t="shared" si="11"/>
        <v>0</v>
      </c>
      <c r="BB22" s="117">
        <f t="shared" si="12"/>
        <v>0</v>
      </c>
    </row>
    <row r="23" spans="3:54" hidden="1" outlineLevel="1" x14ac:dyDescent="0.35">
      <c r="C23" s="104" t="s">
        <v>68</v>
      </c>
      <c r="D23" s="115"/>
      <c r="E23" s="115"/>
      <c r="F23" s="115"/>
      <c r="G23" s="115"/>
      <c r="H23" s="115"/>
      <c r="I23" s="115"/>
      <c r="J23" s="115"/>
      <c r="K23" s="115"/>
      <c r="L23" s="115"/>
      <c r="N23" s="115"/>
      <c r="O23" s="115" t="e">
        <f>-SUM(Kosten!$I$10:$I$11)</f>
        <v>#REF!</v>
      </c>
      <c r="P23" s="117"/>
      <c r="Q23" s="117"/>
      <c r="R23" s="117"/>
      <c r="S23" s="117"/>
      <c r="T23" s="117"/>
      <c r="U23" s="117"/>
      <c r="V23" s="117"/>
      <c r="W23" s="117"/>
      <c r="X23" s="117"/>
      <c r="Z23" s="117"/>
      <c r="AA23" s="115" t="e">
        <f>-SUM(Kosten!$I$10:$I$11)</f>
        <v>#REF!</v>
      </c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 t="e">
        <f t="shared" si="0"/>
        <v>#REF!</v>
      </c>
      <c r="AQ23" s="117">
        <f t="shared" si="1"/>
        <v>0</v>
      </c>
      <c r="AR23" s="117">
        <f t="shared" si="2"/>
        <v>0</v>
      </c>
      <c r="AS23" s="117">
        <f t="shared" si="3"/>
        <v>0</v>
      </c>
      <c r="AT23" s="117" t="e">
        <f>SUM(N23:O23)</f>
        <v>#REF!</v>
      </c>
      <c r="AU23" s="117">
        <f t="shared" si="5"/>
        <v>0</v>
      </c>
      <c r="AV23" s="117">
        <f t="shared" si="6"/>
        <v>0</v>
      </c>
      <c r="AW23" s="117">
        <f t="shared" si="7"/>
        <v>0</v>
      </c>
      <c r="AX23" s="117" t="e">
        <f>SUM(Z23:AA23)</f>
        <v>#REF!</v>
      </c>
      <c r="AY23" s="117">
        <f t="shared" si="9"/>
        <v>0</v>
      </c>
      <c r="AZ23" s="117">
        <f t="shared" si="10"/>
        <v>0</v>
      </c>
      <c r="BA23" s="117">
        <f t="shared" si="11"/>
        <v>0</v>
      </c>
      <c r="BB23" s="117">
        <f t="shared" si="12"/>
        <v>0</v>
      </c>
    </row>
    <row r="24" spans="3:54" hidden="1" outlineLevel="1" x14ac:dyDescent="0.35">
      <c r="C24" s="104" t="s">
        <v>60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7"/>
      <c r="Q24" s="117"/>
      <c r="R24" s="117"/>
      <c r="S24" s="117"/>
      <c r="T24" s="117"/>
      <c r="U24" s="117"/>
      <c r="V24" s="117"/>
      <c r="W24" s="117"/>
      <c r="X24" s="117"/>
      <c r="Y24" s="115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 t="e">
        <f>-SUM(Kosten!$N$10:$N$11)</f>
        <v>#REF!</v>
      </c>
      <c r="AN24" s="117" t="e">
        <f t="shared" si="0"/>
        <v>#REF!</v>
      </c>
      <c r="AQ24" s="117">
        <f t="shared" si="1"/>
        <v>0</v>
      </c>
      <c r="AR24" s="117">
        <f t="shared" si="2"/>
        <v>0</v>
      </c>
      <c r="AS24" s="117">
        <f t="shared" si="3"/>
        <v>0</v>
      </c>
      <c r="AT24" s="117">
        <f t="shared" si="4"/>
        <v>0</v>
      </c>
      <c r="AU24" s="117">
        <f t="shared" si="5"/>
        <v>0</v>
      </c>
      <c r="AV24" s="117">
        <f t="shared" si="6"/>
        <v>0</v>
      </c>
      <c r="AW24" s="117">
        <f t="shared" si="7"/>
        <v>0</v>
      </c>
      <c r="AX24" s="117">
        <f t="shared" si="8"/>
        <v>0</v>
      </c>
      <c r="AY24" s="117">
        <f t="shared" si="9"/>
        <v>0</v>
      </c>
      <c r="AZ24" s="117">
        <f t="shared" si="10"/>
        <v>0</v>
      </c>
      <c r="BA24" s="117">
        <f t="shared" si="11"/>
        <v>0</v>
      </c>
      <c r="BB24" s="117" t="e">
        <f t="shared" si="12"/>
        <v>#REF!</v>
      </c>
    </row>
    <row r="25" spans="3:54" s="103" customFormat="1" collapsed="1" x14ac:dyDescent="0.35">
      <c r="C25" s="103" t="s">
        <v>39</v>
      </c>
      <c r="D25" s="116" t="e">
        <f>SUM(D26:D32)</f>
        <v>#N/A</v>
      </c>
      <c r="E25" s="116" t="e">
        <f t="shared" ref="E25:AM25" si="16">SUM(E26:E32)</f>
        <v>#N/A</v>
      </c>
      <c r="F25" s="116" t="e">
        <f t="shared" si="16"/>
        <v>#N/A</v>
      </c>
      <c r="G25" s="116" t="e">
        <f t="shared" si="16"/>
        <v>#N/A</v>
      </c>
      <c r="H25" s="116" t="e">
        <f t="shared" si="16"/>
        <v>#N/A</v>
      </c>
      <c r="I25" s="116" t="e">
        <f t="shared" si="16"/>
        <v>#N/A</v>
      </c>
      <c r="J25" s="116" t="e">
        <f t="shared" si="16"/>
        <v>#N/A</v>
      </c>
      <c r="K25" s="116" t="e">
        <f t="shared" si="16"/>
        <v>#N/A</v>
      </c>
      <c r="L25" s="116" t="e">
        <f t="shared" si="16"/>
        <v>#N/A</v>
      </c>
      <c r="M25" s="116" t="e">
        <f t="shared" si="16"/>
        <v>#N/A</v>
      </c>
      <c r="N25" s="116" t="e">
        <f t="shared" si="16"/>
        <v>#N/A</v>
      </c>
      <c r="O25" s="116" t="e">
        <f t="shared" si="16"/>
        <v>#N/A</v>
      </c>
      <c r="P25" s="116" t="e">
        <f t="shared" si="16"/>
        <v>#N/A</v>
      </c>
      <c r="Q25" s="116" t="e">
        <f t="shared" si="16"/>
        <v>#N/A</v>
      </c>
      <c r="R25" s="116" t="e">
        <f t="shared" si="16"/>
        <v>#N/A</v>
      </c>
      <c r="S25" s="116" t="e">
        <f t="shared" si="16"/>
        <v>#N/A</v>
      </c>
      <c r="T25" s="116" t="e">
        <f t="shared" si="16"/>
        <v>#N/A</v>
      </c>
      <c r="U25" s="116" t="e">
        <f t="shared" si="16"/>
        <v>#N/A</v>
      </c>
      <c r="V25" s="116" t="e">
        <f t="shared" si="16"/>
        <v>#N/A</v>
      </c>
      <c r="W25" s="116" t="e">
        <f t="shared" si="16"/>
        <v>#N/A</v>
      </c>
      <c r="X25" s="116" t="e">
        <f t="shared" si="16"/>
        <v>#N/A</v>
      </c>
      <c r="Y25" s="116" t="e">
        <f t="shared" si="16"/>
        <v>#N/A</v>
      </c>
      <c r="Z25" s="116" t="e">
        <f t="shared" si="16"/>
        <v>#N/A</v>
      </c>
      <c r="AA25" s="116" t="e">
        <f t="shared" si="16"/>
        <v>#N/A</v>
      </c>
      <c r="AB25" s="116" t="e">
        <f t="shared" si="16"/>
        <v>#N/A</v>
      </c>
      <c r="AC25" s="116" t="e">
        <f t="shared" si="16"/>
        <v>#N/A</v>
      </c>
      <c r="AD25" s="116" t="e">
        <f t="shared" si="16"/>
        <v>#N/A</v>
      </c>
      <c r="AE25" s="116" t="e">
        <f t="shared" si="16"/>
        <v>#N/A</v>
      </c>
      <c r="AF25" s="116" t="e">
        <f t="shared" si="16"/>
        <v>#N/A</v>
      </c>
      <c r="AG25" s="116" t="e">
        <f t="shared" si="16"/>
        <v>#N/A</v>
      </c>
      <c r="AH25" s="116" t="e">
        <f t="shared" si="16"/>
        <v>#N/A</v>
      </c>
      <c r="AI25" s="116" t="e">
        <f t="shared" si="16"/>
        <v>#N/A</v>
      </c>
      <c r="AJ25" s="116" t="e">
        <f t="shared" si="16"/>
        <v>#N/A</v>
      </c>
      <c r="AK25" s="116" t="e">
        <f t="shared" si="16"/>
        <v>#N/A</v>
      </c>
      <c r="AL25" s="116" t="e">
        <f t="shared" si="16"/>
        <v>#N/A</v>
      </c>
      <c r="AM25" s="116" t="e">
        <f t="shared" si="16"/>
        <v>#N/A</v>
      </c>
      <c r="AN25" s="121" t="e">
        <f>SUM(AN26:AN32)</f>
        <v>#N/A</v>
      </c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</row>
    <row r="26" spans="3:54" hidden="1" outlineLevel="1" x14ac:dyDescent="0.35">
      <c r="C26" s="104" t="s">
        <v>89</v>
      </c>
      <c r="D26" s="115" t="e">
        <f>-Kosten!$F$15</f>
        <v>#N/A</v>
      </c>
      <c r="E26" s="115" t="e">
        <f>-Kosten!$F$15</f>
        <v>#N/A</v>
      </c>
      <c r="F26" s="115" t="e">
        <f>-Kosten!$F$15</f>
        <v>#N/A</v>
      </c>
      <c r="G26" s="115" t="e">
        <f>-Kosten!$F$15</f>
        <v>#N/A</v>
      </c>
      <c r="H26" s="115" t="e">
        <f>-Kosten!$F$15</f>
        <v>#N/A</v>
      </c>
      <c r="I26" s="115" t="e">
        <f>-Kosten!$F$15</f>
        <v>#N/A</v>
      </c>
      <c r="J26" s="115" t="e">
        <f>-Kosten!$F$15</f>
        <v>#N/A</v>
      </c>
      <c r="K26" s="115" t="e">
        <f>-Kosten!$F$15</f>
        <v>#N/A</v>
      </c>
      <c r="L26" s="115" t="e">
        <f>-Kosten!$F$15</f>
        <v>#N/A</v>
      </c>
      <c r="M26" s="115" t="e">
        <f>-Kosten!$F$15</f>
        <v>#N/A</v>
      </c>
      <c r="N26" s="115" t="e">
        <f>-Kosten!$F$15</f>
        <v>#N/A</v>
      </c>
      <c r="O26" s="115" t="e">
        <f>-Kosten!$F$15</f>
        <v>#N/A</v>
      </c>
      <c r="P26" s="115" t="e">
        <f>-Kosten!$F$15</f>
        <v>#N/A</v>
      </c>
      <c r="Q26" s="115" t="e">
        <f>-Kosten!$F$15</f>
        <v>#N/A</v>
      </c>
      <c r="R26" s="115" t="e">
        <f>-Kosten!$F$15</f>
        <v>#N/A</v>
      </c>
      <c r="S26" s="115" t="e">
        <f>-Kosten!$F$15</f>
        <v>#N/A</v>
      </c>
      <c r="T26" s="115" t="e">
        <f>-Kosten!$F$15</f>
        <v>#N/A</v>
      </c>
      <c r="U26" s="115" t="e">
        <f>-Kosten!$F$15</f>
        <v>#N/A</v>
      </c>
      <c r="V26" s="115" t="e">
        <f>-Kosten!$F$15</f>
        <v>#N/A</v>
      </c>
      <c r="W26" s="115" t="e">
        <f>-Kosten!$F$15</f>
        <v>#N/A</v>
      </c>
      <c r="X26" s="115" t="e">
        <f>-Kosten!$F$15</f>
        <v>#N/A</v>
      </c>
      <c r="Y26" s="115" t="e">
        <f>-Kosten!$F$15</f>
        <v>#N/A</v>
      </c>
      <c r="Z26" s="115" t="e">
        <f>-Kosten!$F$15</f>
        <v>#N/A</v>
      </c>
      <c r="AA26" s="115" t="e">
        <f>-Kosten!$F$15</f>
        <v>#N/A</v>
      </c>
      <c r="AB26" s="115" t="e">
        <f>-Kosten!$F$15</f>
        <v>#N/A</v>
      </c>
      <c r="AC26" s="115" t="e">
        <f>-Kosten!$F$15</f>
        <v>#N/A</v>
      </c>
      <c r="AD26" s="115" t="e">
        <f>-Kosten!$F$15</f>
        <v>#N/A</v>
      </c>
      <c r="AE26" s="115" t="e">
        <f>-Kosten!$F$15</f>
        <v>#N/A</v>
      </c>
      <c r="AF26" s="115" t="e">
        <f>-Kosten!$F$15</f>
        <v>#N/A</v>
      </c>
      <c r="AG26" s="115" t="e">
        <f>-Kosten!$F$15</f>
        <v>#N/A</v>
      </c>
      <c r="AH26" s="115" t="e">
        <f>-Kosten!$F$15</f>
        <v>#N/A</v>
      </c>
      <c r="AI26" s="115" t="e">
        <f>-Kosten!$F$15</f>
        <v>#N/A</v>
      </c>
      <c r="AJ26" s="115" t="e">
        <f>-Kosten!$F$15</f>
        <v>#N/A</v>
      </c>
      <c r="AK26" s="115" t="e">
        <f>-Kosten!$F$15</f>
        <v>#N/A</v>
      </c>
      <c r="AL26" s="115" t="e">
        <f>-Kosten!$F$15</f>
        <v>#N/A</v>
      </c>
      <c r="AM26" s="115" t="e">
        <f>-Kosten!$F$15</f>
        <v>#N/A</v>
      </c>
      <c r="AN26" s="117" t="e">
        <f t="shared" si="0"/>
        <v>#N/A</v>
      </c>
      <c r="AQ26" s="117" t="e">
        <f t="shared" si="1"/>
        <v>#N/A</v>
      </c>
      <c r="AR26" s="117" t="e">
        <f t="shared" si="2"/>
        <v>#N/A</v>
      </c>
      <c r="AS26" s="117" t="e">
        <f t="shared" si="3"/>
        <v>#N/A</v>
      </c>
      <c r="AT26" s="117" t="e">
        <f t="shared" si="4"/>
        <v>#N/A</v>
      </c>
      <c r="AU26" s="117" t="e">
        <f t="shared" si="5"/>
        <v>#N/A</v>
      </c>
      <c r="AV26" s="117" t="e">
        <f t="shared" si="6"/>
        <v>#N/A</v>
      </c>
      <c r="AW26" s="117" t="e">
        <f t="shared" si="7"/>
        <v>#N/A</v>
      </c>
      <c r="AX26" s="117" t="e">
        <f t="shared" si="8"/>
        <v>#N/A</v>
      </c>
      <c r="AY26" s="117" t="e">
        <f t="shared" si="9"/>
        <v>#N/A</v>
      </c>
      <c r="AZ26" s="117" t="e">
        <f t="shared" si="10"/>
        <v>#N/A</v>
      </c>
      <c r="BA26" s="117" t="e">
        <f t="shared" si="11"/>
        <v>#N/A</v>
      </c>
      <c r="BB26" s="117" t="e">
        <f t="shared" si="12"/>
        <v>#N/A</v>
      </c>
    </row>
    <row r="27" spans="3:54" hidden="1" outlineLevel="1" x14ac:dyDescent="0.35">
      <c r="C27" s="104" t="s">
        <v>72</v>
      </c>
      <c r="D27" s="115" t="e">
        <f>-Kosten!E15</f>
        <v>#N/A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7" t="e">
        <f t="shared" si="0"/>
        <v>#N/A</v>
      </c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</row>
    <row r="28" spans="3:54" hidden="1" outlineLevel="1" x14ac:dyDescent="0.35">
      <c r="C28" s="104" t="s">
        <v>58</v>
      </c>
      <c r="D28" s="115" t="e">
        <f>-Kosten!G15</f>
        <v>#N/A</v>
      </c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7" t="e">
        <f t="shared" si="0"/>
        <v>#N/A</v>
      </c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</row>
    <row r="29" spans="3:54" hidden="1" outlineLevel="1" x14ac:dyDescent="0.35">
      <c r="C29" s="104" t="s">
        <v>61</v>
      </c>
      <c r="D29" s="115" t="e">
        <f>-Kosten!$M$15</f>
        <v>#N/A</v>
      </c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 t="e">
        <f>-Kosten!$M$15</f>
        <v>#N/A</v>
      </c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 t="e">
        <f>-Kosten!$M$15</f>
        <v>#N/A</v>
      </c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7" t="e">
        <f t="shared" si="0"/>
        <v>#N/A</v>
      </c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</row>
    <row r="30" spans="3:54" hidden="1" outlineLevel="1" x14ac:dyDescent="0.35">
      <c r="C30" s="104" t="s">
        <v>69</v>
      </c>
      <c r="D30" s="115"/>
      <c r="E30" s="115"/>
      <c r="F30" s="115"/>
      <c r="G30" s="115"/>
      <c r="H30" s="115"/>
      <c r="I30" s="115" t="e">
        <f>-Kosten!$J$15</f>
        <v>#N/A</v>
      </c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 t="e">
        <f>-Kosten!$J$15</f>
        <v>#N/A</v>
      </c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 t="e">
        <f>-Kosten!$J$15</f>
        <v>#N/A</v>
      </c>
      <c r="AH30" s="115"/>
      <c r="AI30" s="115"/>
      <c r="AJ30" s="115"/>
      <c r="AK30" s="115"/>
      <c r="AL30" s="115"/>
      <c r="AM30" s="115"/>
      <c r="AN30" s="117" t="e">
        <f t="shared" si="0"/>
        <v>#N/A</v>
      </c>
      <c r="AQ30" s="117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</row>
    <row r="31" spans="3:54" hidden="1" outlineLevel="1" x14ac:dyDescent="0.35">
      <c r="C31" s="104" t="s">
        <v>68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 t="e">
        <f>-Kosten!$I$15</f>
        <v>#N/A</v>
      </c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 t="e">
        <f>-Kosten!$I$15</f>
        <v>#N/A</v>
      </c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7" t="e">
        <f t="shared" si="0"/>
        <v>#N/A</v>
      </c>
      <c r="AQ31" s="117"/>
      <c r="AR31" s="117"/>
      <c r="AS31" s="117"/>
      <c r="AT31" s="117"/>
      <c r="AU31" s="117"/>
      <c r="AV31" s="117"/>
      <c r="AW31" s="117"/>
      <c r="AX31" s="117"/>
      <c r="AY31" s="117"/>
      <c r="AZ31" s="117"/>
      <c r="BA31" s="117"/>
      <c r="BB31" s="117"/>
    </row>
    <row r="32" spans="3:54" hidden="1" outlineLevel="1" x14ac:dyDescent="0.35">
      <c r="C32" s="104" t="s">
        <v>60</v>
      </c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 t="e">
        <f>-Kosten!$N$15</f>
        <v>#N/A</v>
      </c>
      <c r="AN32" s="117" t="e">
        <f t="shared" si="0"/>
        <v>#N/A</v>
      </c>
      <c r="AQ32" s="117">
        <f t="shared" si="1"/>
        <v>0</v>
      </c>
      <c r="AR32" s="117">
        <f t="shared" si="2"/>
        <v>0</v>
      </c>
      <c r="AS32" s="117">
        <f t="shared" si="3"/>
        <v>0</v>
      </c>
      <c r="AT32" s="117">
        <f t="shared" si="4"/>
        <v>0</v>
      </c>
      <c r="AU32" s="117">
        <f t="shared" si="5"/>
        <v>0</v>
      </c>
      <c r="AV32" s="117">
        <f t="shared" si="6"/>
        <v>0</v>
      </c>
      <c r="AW32" s="117">
        <f t="shared" si="7"/>
        <v>0</v>
      </c>
      <c r="AX32" s="117">
        <f t="shared" si="8"/>
        <v>0</v>
      </c>
      <c r="AY32" s="117">
        <f t="shared" si="9"/>
        <v>0</v>
      </c>
      <c r="AZ32" s="117">
        <f t="shared" si="10"/>
        <v>0</v>
      </c>
      <c r="BA32" s="117">
        <f t="shared" si="11"/>
        <v>0</v>
      </c>
      <c r="BB32" s="117" t="e">
        <f t="shared" si="12"/>
        <v>#N/A</v>
      </c>
    </row>
    <row r="33" spans="3:54" s="103" customFormat="1" collapsed="1" x14ac:dyDescent="0.35">
      <c r="C33" s="103" t="s">
        <v>86</v>
      </c>
      <c r="D33" s="116" t="e">
        <f t="shared" ref="D33:AN33" si="17">SUM(D34:D37)</f>
        <v>#N/A</v>
      </c>
      <c r="E33" s="116" t="e">
        <f t="shared" si="17"/>
        <v>#N/A</v>
      </c>
      <c r="F33" s="116" t="e">
        <f t="shared" si="17"/>
        <v>#N/A</v>
      </c>
      <c r="G33" s="116" t="e">
        <f t="shared" si="17"/>
        <v>#N/A</v>
      </c>
      <c r="H33" s="116" t="e">
        <f t="shared" si="17"/>
        <v>#N/A</v>
      </c>
      <c r="I33" s="116" t="e">
        <f t="shared" si="17"/>
        <v>#N/A</v>
      </c>
      <c r="J33" s="116" t="e">
        <f t="shared" si="17"/>
        <v>#N/A</v>
      </c>
      <c r="K33" s="116" t="e">
        <f t="shared" si="17"/>
        <v>#N/A</v>
      </c>
      <c r="L33" s="116" t="e">
        <f t="shared" si="17"/>
        <v>#N/A</v>
      </c>
      <c r="M33" s="116" t="e">
        <f t="shared" si="17"/>
        <v>#N/A</v>
      </c>
      <c r="N33" s="116" t="e">
        <f t="shared" si="17"/>
        <v>#N/A</v>
      </c>
      <c r="O33" s="116" t="e">
        <f t="shared" si="17"/>
        <v>#N/A</v>
      </c>
      <c r="P33" s="116" t="e">
        <f t="shared" si="17"/>
        <v>#N/A</v>
      </c>
      <c r="Q33" s="116" t="e">
        <f t="shared" si="17"/>
        <v>#N/A</v>
      </c>
      <c r="R33" s="116" t="e">
        <f t="shared" si="17"/>
        <v>#N/A</v>
      </c>
      <c r="S33" s="116" t="e">
        <f t="shared" si="17"/>
        <v>#N/A</v>
      </c>
      <c r="T33" s="116" t="e">
        <f t="shared" si="17"/>
        <v>#N/A</v>
      </c>
      <c r="U33" s="116" t="e">
        <f t="shared" si="17"/>
        <v>#N/A</v>
      </c>
      <c r="V33" s="116" t="e">
        <f t="shared" si="17"/>
        <v>#N/A</v>
      </c>
      <c r="W33" s="116" t="e">
        <f t="shared" si="17"/>
        <v>#N/A</v>
      </c>
      <c r="X33" s="116" t="e">
        <f t="shared" si="17"/>
        <v>#N/A</v>
      </c>
      <c r="Y33" s="116" t="e">
        <f t="shared" si="17"/>
        <v>#N/A</v>
      </c>
      <c r="Z33" s="116" t="e">
        <f t="shared" si="17"/>
        <v>#N/A</v>
      </c>
      <c r="AA33" s="116" t="e">
        <f t="shared" si="17"/>
        <v>#N/A</v>
      </c>
      <c r="AB33" s="116" t="e">
        <f t="shared" si="17"/>
        <v>#N/A</v>
      </c>
      <c r="AC33" s="116" t="e">
        <f t="shared" si="17"/>
        <v>#N/A</v>
      </c>
      <c r="AD33" s="116" t="e">
        <f t="shared" si="17"/>
        <v>#N/A</v>
      </c>
      <c r="AE33" s="116" t="e">
        <f t="shared" si="17"/>
        <v>#N/A</v>
      </c>
      <c r="AF33" s="116" t="e">
        <f t="shared" si="17"/>
        <v>#N/A</v>
      </c>
      <c r="AG33" s="116" t="e">
        <f t="shared" si="17"/>
        <v>#N/A</v>
      </c>
      <c r="AH33" s="116" t="e">
        <f t="shared" si="17"/>
        <v>#N/A</v>
      </c>
      <c r="AI33" s="116" t="e">
        <f t="shared" si="17"/>
        <v>#N/A</v>
      </c>
      <c r="AJ33" s="116" t="e">
        <f t="shared" si="17"/>
        <v>#N/A</v>
      </c>
      <c r="AK33" s="116" t="e">
        <f t="shared" si="17"/>
        <v>#N/A</v>
      </c>
      <c r="AL33" s="116" t="e">
        <f t="shared" si="17"/>
        <v>#N/A</v>
      </c>
      <c r="AM33" s="116" t="e">
        <f t="shared" si="17"/>
        <v>#N/A</v>
      </c>
      <c r="AN33" s="121" t="e">
        <f t="shared" si="17"/>
        <v>#N/A</v>
      </c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</row>
    <row r="34" spans="3:54" hidden="1" outlineLevel="1" x14ac:dyDescent="0.35">
      <c r="C34" s="104" t="s">
        <v>57</v>
      </c>
      <c r="D34" s="115"/>
      <c r="E34" s="115"/>
      <c r="F34" s="115" t="e">
        <f>-SUMIFS(Kosten!$F$4:$F$26,Kosten!$B$4:$B$26,'Cash Flow'!$C$33)-SUMIFS(Kosten!$G$4:$G$26,Kosten!$B$4:$B$26,'Cash Flow'!$C$33)</f>
        <v>#N/A</v>
      </c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7" t="e">
        <f t="shared" si="0"/>
        <v>#N/A</v>
      </c>
      <c r="AQ34" s="117" t="e">
        <f>SUM(D34:F34)</f>
        <v>#N/A</v>
      </c>
      <c r="AR34" s="117" t="e">
        <f>SUM(E34:I34)</f>
        <v>#N/A</v>
      </c>
      <c r="AS34" s="117">
        <f t="shared" si="3"/>
        <v>0</v>
      </c>
      <c r="AT34" s="117">
        <f t="shared" si="4"/>
        <v>0</v>
      </c>
      <c r="AU34" s="117">
        <f t="shared" si="5"/>
        <v>0</v>
      </c>
      <c r="AV34" s="117">
        <f t="shared" si="6"/>
        <v>0</v>
      </c>
      <c r="AW34" s="117">
        <f t="shared" si="7"/>
        <v>0</v>
      </c>
      <c r="AX34" s="117">
        <f t="shared" si="8"/>
        <v>0</v>
      </c>
      <c r="AY34" s="117">
        <f t="shared" si="9"/>
        <v>0</v>
      </c>
      <c r="AZ34" s="117">
        <f t="shared" si="10"/>
        <v>0</v>
      </c>
      <c r="BA34" s="117">
        <f t="shared" si="11"/>
        <v>0</v>
      </c>
      <c r="BB34" s="117">
        <f t="shared" si="12"/>
        <v>0</v>
      </c>
    </row>
    <row r="35" spans="3:54" hidden="1" outlineLevel="1" x14ac:dyDescent="0.35">
      <c r="C35" s="104" t="s">
        <v>145</v>
      </c>
      <c r="D35" s="115"/>
      <c r="E35" s="115" t="e">
        <f>-SUMIFS(Kosten!$H$4:$H$26,Kosten!$B$4:$B$26,'Cash Flow'!$C$33)</f>
        <v>#N/A</v>
      </c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7" t="e">
        <f t="shared" si="0"/>
        <v>#N/A</v>
      </c>
      <c r="AQ35" s="117" t="e">
        <f>SUM(D35:F35)</f>
        <v>#N/A</v>
      </c>
      <c r="AR35" s="117" t="e">
        <f>SUM(E35:I35)</f>
        <v>#N/A</v>
      </c>
      <c r="AS35" s="117">
        <f t="shared" si="3"/>
        <v>0</v>
      </c>
      <c r="AT35" s="117">
        <f t="shared" si="4"/>
        <v>0</v>
      </c>
      <c r="AU35" s="117">
        <f t="shared" si="5"/>
        <v>0</v>
      </c>
      <c r="AV35" s="117">
        <f t="shared" si="6"/>
        <v>0</v>
      </c>
      <c r="AW35" s="117">
        <f t="shared" si="7"/>
        <v>0</v>
      </c>
      <c r="AX35" s="117">
        <f t="shared" si="8"/>
        <v>0</v>
      </c>
      <c r="AY35" s="117">
        <f t="shared" si="9"/>
        <v>0</v>
      </c>
      <c r="AZ35" s="117">
        <f t="shared" si="10"/>
        <v>0</v>
      </c>
      <c r="BA35" s="117">
        <f t="shared" si="11"/>
        <v>0</v>
      </c>
      <c r="BB35" s="117">
        <f t="shared" si="12"/>
        <v>0</v>
      </c>
    </row>
    <row r="36" spans="3:54" hidden="1" outlineLevel="1" x14ac:dyDescent="0.35">
      <c r="C36" s="104" t="s">
        <v>68</v>
      </c>
      <c r="D36" s="115"/>
      <c r="E36" s="115"/>
      <c r="F36" s="115"/>
      <c r="G36" s="115"/>
      <c r="H36" s="115"/>
      <c r="I36" s="115"/>
      <c r="J36" s="115"/>
      <c r="K36" s="115"/>
      <c r="L36" s="115"/>
      <c r="N36" s="115"/>
      <c r="O36" s="115" t="e">
        <f>-SUMIFS(Kosten!$I$4:$I$26,Kosten!$B$4:$B$26,'Cash Flow'!$C$33)</f>
        <v>#N/A</v>
      </c>
      <c r="P36" s="115"/>
      <c r="Q36" s="115"/>
      <c r="R36" s="115"/>
      <c r="S36" s="115"/>
      <c r="T36" s="115"/>
      <c r="U36" s="115"/>
      <c r="V36" s="115"/>
      <c r="W36" s="115"/>
      <c r="X36" s="115"/>
      <c r="Z36" s="115"/>
      <c r="AA36" s="115" t="e">
        <f>-SUMIFS(Kosten!$I$4:$I$26,Kosten!$B$4:$B$26,'Cash Flow'!$C$33)</f>
        <v>#N/A</v>
      </c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7" t="e">
        <f t="shared" si="0"/>
        <v>#N/A</v>
      </c>
      <c r="AQ36" s="117">
        <f t="shared" si="1"/>
        <v>0</v>
      </c>
      <c r="AR36" s="117">
        <f t="shared" si="2"/>
        <v>0</v>
      </c>
      <c r="AS36" s="117">
        <f t="shared" si="3"/>
        <v>0</v>
      </c>
      <c r="AT36" s="117" t="e">
        <f>SUM(N36:O36)</f>
        <v>#N/A</v>
      </c>
      <c r="AU36" s="117">
        <f t="shared" si="5"/>
        <v>0</v>
      </c>
      <c r="AV36" s="117">
        <f t="shared" si="6"/>
        <v>0</v>
      </c>
      <c r="AW36" s="117">
        <f t="shared" si="7"/>
        <v>0</v>
      </c>
      <c r="AX36" s="117" t="e">
        <f>SUM(Z36:AA36)</f>
        <v>#N/A</v>
      </c>
      <c r="AY36" s="117">
        <f t="shared" si="9"/>
        <v>0</v>
      </c>
      <c r="AZ36" s="117">
        <f t="shared" si="10"/>
        <v>0</v>
      </c>
      <c r="BA36" s="117">
        <f t="shared" si="11"/>
        <v>0</v>
      </c>
      <c r="BB36" s="117">
        <f t="shared" si="12"/>
        <v>0</v>
      </c>
    </row>
    <row r="37" spans="3:54" hidden="1" outlineLevel="1" x14ac:dyDescent="0.35">
      <c r="C37" s="104" t="s">
        <v>146</v>
      </c>
      <c r="D37" s="115" t="e">
        <f>(-SUMIFS(Kosten!$K$4:$K26,Kosten!$B$4:$B$26,'Cash Flow'!$C$33)-SUMIFS(Kosten!$L$4:$L26,Kosten!$B$4:$B$26,'Cash Flow'!$C$33))/12</f>
        <v>#N/A</v>
      </c>
      <c r="E37" s="115" t="e">
        <f>(-SUMIFS(Kosten!$K$4:$K26,Kosten!$B$4:$B$26,'Cash Flow'!$C$33)-SUMIFS(Kosten!$L$4:$L26,Kosten!$B$4:$B$26,'Cash Flow'!$C$33))/12</f>
        <v>#N/A</v>
      </c>
      <c r="F37" s="115" t="e">
        <f>(-SUMIFS(Kosten!$K$4:$K26,Kosten!$B$4:$B$26,'Cash Flow'!$C$33)-SUMIFS(Kosten!$L$4:$L26,Kosten!$B$4:$B$26,'Cash Flow'!$C$33))/12</f>
        <v>#N/A</v>
      </c>
      <c r="G37" s="115" t="e">
        <f>(-SUMIFS(Kosten!$K$4:$K26,Kosten!$B$4:$B$26,'Cash Flow'!$C$33)-SUMIFS(Kosten!$L$4:$L26,Kosten!$B$4:$B$26,'Cash Flow'!$C$33))/12</f>
        <v>#N/A</v>
      </c>
      <c r="H37" s="115" t="e">
        <f>(-SUMIFS(Kosten!$K$4:$K26,Kosten!$B$4:$B$26,'Cash Flow'!$C$33)-SUMIFS(Kosten!$L$4:$L26,Kosten!$B$4:$B$26,'Cash Flow'!$C$33))/12</f>
        <v>#N/A</v>
      </c>
      <c r="I37" s="115" t="e">
        <f>(-SUMIFS(Kosten!$K$4:$K26,Kosten!$B$4:$B$26,'Cash Flow'!$C$33)-SUMIFS(Kosten!$L$4:$L26,Kosten!$B$4:$B$26,'Cash Flow'!$C$33))/12</f>
        <v>#N/A</v>
      </c>
      <c r="J37" s="115" t="e">
        <f>(-SUMIFS(Kosten!$K$4:$K26,Kosten!$B$4:$B$26,'Cash Flow'!$C$33)-SUMIFS(Kosten!$L$4:$L26,Kosten!$B$4:$B$26,'Cash Flow'!$C$33))/12</f>
        <v>#N/A</v>
      </c>
      <c r="K37" s="115" t="e">
        <f>(-SUMIFS(Kosten!$K$4:$K26,Kosten!$B$4:$B$26,'Cash Flow'!$C$33)-SUMIFS(Kosten!$L$4:$L26,Kosten!$B$4:$B$26,'Cash Flow'!$C$33))/12</f>
        <v>#N/A</v>
      </c>
      <c r="L37" s="115" t="e">
        <f>(-SUMIFS(Kosten!$K$4:$K26,Kosten!$B$4:$B$26,'Cash Flow'!$C$33)-SUMIFS(Kosten!$L$4:$L26,Kosten!$B$4:$B$26,'Cash Flow'!$C$33))/12</f>
        <v>#N/A</v>
      </c>
      <c r="M37" s="115" t="e">
        <f>(-SUMIFS(Kosten!$K$4:$K26,Kosten!$B$4:$B$26,'Cash Flow'!$C$33)-SUMIFS(Kosten!$L$4:$L26,Kosten!$B$4:$B$26,'Cash Flow'!$C$33))/12</f>
        <v>#N/A</v>
      </c>
      <c r="N37" s="115" t="e">
        <f>(-SUMIFS(Kosten!$K$4:$K26,Kosten!$B$4:$B$26,'Cash Flow'!$C$33)-SUMIFS(Kosten!$L$4:$L26,Kosten!$B$4:$B$26,'Cash Flow'!$C$33))/12</f>
        <v>#N/A</v>
      </c>
      <c r="O37" s="115" t="e">
        <f>(-SUMIFS(Kosten!$K$4:$K26,Kosten!$B$4:$B$26,'Cash Flow'!$C$33)-SUMIFS(Kosten!$L$4:$L26,Kosten!$B$4:$B$26,'Cash Flow'!$C$33))/12</f>
        <v>#N/A</v>
      </c>
      <c r="P37" s="115" t="e">
        <f>(-SUMIFS(Kosten!$K$4:$K26,Kosten!$B$4:$B$26,'Cash Flow'!$C$33)-SUMIFS(Kosten!$L$4:$L26,Kosten!$B$4:$B$26,'Cash Flow'!$C$33))/12</f>
        <v>#N/A</v>
      </c>
      <c r="Q37" s="115" t="e">
        <f>(-SUMIFS(Kosten!$K$4:$K26,Kosten!$B$4:$B$26,'Cash Flow'!$C$33)-SUMIFS(Kosten!$L$4:$L26,Kosten!$B$4:$B$26,'Cash Flow'!$C$33))/12</f>
        <v>#N/A</v>
      </c>
      <c r="R37" s="115" t="e">
        <f>(-SUMIFS(Kosten!$K$4:$K26,Kosten!$B$4:$B$26,'Cash Flow'!$C$33)-SUMIFS(Kosten!$L$4:$L26,Kosten!$B$4:$B$26,'Cash Flow'!$C$33))/12</f>
        <v>#N/A</v>
      </c>
      <c r="S37" s="115" t="e">
        <f>(-SUMIFS(Kosten!$K$4:$K26,Kosten!$B$4:$B$26,'Cash Flow'!$C$33)-SUMIFS(Kosten!$L$4:$L26,Kosten!$B$4:$B$26,'Cash Flow'!$C$33))/12</f>
        <v>#N/A</v>
      </c>
      <c r="T37" s="115" t="e">
        <f>(-SUMIFS(Kosten!$K$4:$K26,Kosten!$B$4:$B$26,'Cash Flow'!$C$33)-SUMIFS(Kosten!$L$4:$L26,Kosten!$B$4:$B$26,'Cash Flow'!$C$33))/12</f>
        <v>#N/A</v>
      </c>
      <c r="U37" s="115" t="e">
        <f>(-SUMIFS(Kosten!$K$4:$K26,Kosten!$B$4:$B$26,'Cash Flow'!$C$33)-SUMIFS(Kosten!$L$4:$L26,Kosten!$B$4:$B$26,'Cash Flow'!$C$33))/12</f>
        <v>#N/A</v>
      </c>
      <c r="V37" s="115" t="e">
        <f>(-SUMIFS(Kosten!$K$4:$K26,Kosten!$B$4:$B$26,'Cash Flow'!$C$33)-SUMIFS(Kosten!$L$4:$L26,Kosten!$B$4:$B$26,'Cash Flow'!$C$33))/12</f>
        <v>#N/A</v>
      </c>
      <c r="W37" s="115" t="e">
        <f>(-SUMIFS(Kosten!$K$4:$K26,Kosten!$B$4:$B$26,'Cash Flow'!$C$33)-SUMIFS(Kosten!$L$4:$L26,Kosten!$B$4:$B$26,'Cash Flow'!$C$33))/12</f>
        <v>#N/A</v>
      </c>
      <c r="X37" s="115" t="e">
        <f>(-SUMIFS(Kosten!$K$4:$K26,Kosten!$B$4:$B$26,'Cash Flow'!$C$33)-SUMIFS(Kosten!$L$4:$L26,Kosten!$B$4:$B$26,'Cash Flow'!$C$33))/12</f>
        <v>#N/A</v>
      </c>
      <c r="Y37" s="115" t="e">
        <f>(-SUMIFS(Kosten!$K$4:$K26,Kosten!$B$4:$B$26,'Cash Flow'!$C$33)-SUMIFS(Kosten!$L$4:$L26,Kosten!$B$4:$B$26,'Cash Flow'!$C$33))/12</f>
        <v>#N/A</v>
      </c>
      <c r="Z37" s="115" t="e">
        <f>(-SUMIFS(Kosten!$K$4:$K26,Kosten!$B$4:$B$26,'Cash Flow'!$C$33)-SUMIFS(Kosten!$L$4:$L26,Kosten!$B$4:$B$26,'Cash Flow'!$C$33))/12</f>
        <v>#N/A</v>
      </c>
      <c r="AA37" s="115" t="e">
        <f>(-SUMIFS(Kosten!$K$4:$K26,Kosten!$B$4:$B$26,'Cash Flow'!$C$33)-SUMIFS(Kosten!$L$4:$L26,Kosten!$B$4:$B$26,'Cash Flow'!$C$33))/12</f>
        <v>#N/A</v>
      </c>
      <c r="AB37" s="115" t="e">
        <f>(-SUMIFS(Kosten!$K$4:$K26,Kosten!$B$4:$B$26,'Cash Flow'!$C$33)-SUMIFS(Kosten!$L$4:$L26,Kosten!$B$4:$B$26,'Cash Flow'!$C$33))/12</f>
        <v>#N/A</v>
      </c>
      <c r="AC37" s="115" t="e">
        <f>(-SUMIFS(Kosten!$K$4:$K26,Kosten!$B$4:$B$26,'Cash Flow'!$C$33)-SUMIFS(Kosten!$L$4:$L26,Kosten!$B$4:$B$26,'Cash Flow'!$C$33))/12</f>
        <v>#N/A</v>
      </c>
      <c r="AD37" s="115" t="e">
        <f>(-SUMIFS(Kosten!$K$4:$K26,Kosten!$B$4:$B$26,'Cash Flow'!$C$33)-SUMIFS(Kosten!$L$4:$L26,Kosten!$B$4:$B$26,'Cash Flow'!$C$33))/12</f>
        <v>#N/A</v>
      </c>
      <c r="AE37" s="115" t="e">
        <f>(-SUMIFS(Kosten!$K$4:$K26,Kosten!$B$4:$B$26,'Cash Flow'!$C$33)-SUMIFS(Kosten!$L$4:$L26,Kosten!$B$4:$B$26,'Cash Flow'!$C$33))/12</f>
        <v>#N/A</v>
      </c>
      <c r="AF37" s="115" t="e">
        <f>(-SUMIFS(Kosten!$K$4:$K26,Kosten!$B$4:$B$26,'Cash Flow'!$C$33)-SUMIFS(Kosten!$L$4:$L26,Kosten!$B$4:$B$26,'Cash Flow'!$C$33))/12</f>
        <v>#N/A</v>
      </c>
      <c r="AG37" s="115" t="e">
        <f>(-SUMIFS(Kosten!$K$4:$K26,Kosten!$B$4:$B$26,'Cash Flow'!$C$33)-SUMIFS(Kosten!$L$4:$L26,Kosten!$B$4:$B$26,'Cash Flow'!$C$33))/12</f>
        <v>#N/A</v>
      </c>
      <c r="AH37" s="115" t="e">
        <f>(-SUMIFS(Kosten!$K$4:$K26,Kosten!$B$4:$B$26,'Cash Flow'!$C$33)-SUMIFS(Kosten!$L$4:$L26,Kosten!$B$4:$B$26,'Cash Flow'!$C$33))/12</f>
        <v>#N/A</v>
      </c>
      <c r="AI37" s="115" t="e">
        <f>(-SUMIFS(Kosten!$K$4:$K26,Kosten!$B$4:$B$26,'Cash Flow'!$C$33)-SUMIFS(Kosten!$L$4:$L26,Kosten!$B$4:$B$26,'Cash Flow'!$C$33))/12</f>
        <v>#N/A</v>
      </c>
      <c r="AJ37" s="115" t="e">
        <f>(-SUMIFS(Kosten!$K$4:$K26,Kosten!$B$4:$B$26,'Cash Flow'!$C$33)-SUMIFS(Kosten!$L$4:$L26,Kosten!$B$4:$B$26,'Cash Flow'!$C$33))/12</f>
        <v>#N/A</v>
      </c>
      <c r="AK37" s="115" t="e">
        <f>(-SUMIFS(Kosten!$K$4:$K26,Kosten!$B$4:$B$26,'Cash Flow'!$C$33)-SUMIFS(Kosten!$L$4:$L26,Kosten!$B$4:$B$26,'Cash Flow'!$C$33))/12</f>
        <v>#N/A</v>
      </c>
      <c r="AL37" s="115" t="e">
        <f>(-SUMIFS(Kosten!$K$4:$K26,Kosten!$B$4:$B$26,'Cash Flow'!$C$33)-SUMIFS(Kosten!$L$4:$L26,Kosten!$B$4:$B$26,'Cash Flow'!$C$33))/12</f>
        <v>#N/A</v>
      </c>
      <c r="AM37" s="115" t="e">
        <f>(-SUMIFS(Kosten!$K$4:$K26,Kosten!$B$4:$B$26,'Cash Flow'!$C$33)-SUMIFS(Kosten!$L$4:$L26,Kosten!$B$4:$B$26,'Cash Flow'!$C$33))/12</f>
        <v>#N/A</v>
      </c>
      <c r="AN37" s="117" t="e">
        <f t="shared" si="0"/>
        <v>#N/A</v>
      </c>
      <c r="AQ37" s="117" t="e">
        <f t="shared" si="1"/>
        <v>#N/A</v>
      </c>
      <c r="AR37" s="117" t="e">
        <f t="shared" si="2"/>
        <v>#N/A</v>
      </c>
      <c r="AS37" s="117" t="e">
        <f t="shared" si="3"/>
        <v>#N/A</v>
      </c>
      <c r="AT37" s="117" t="e">
        <f t="shared" si="4"/>
        <v>#N/A</v>
      </c>
      <c r="AU37" s="117" t="e">
        <f t="shared" si="5"/>
        <v>#N/A</v>
      </c>
      <c r="AV37" s="117" t="e">
        <f t="shared" si="6"/>
        <v>#N/A</v>
      </c>
      <c r="AW37" s="117" t="e">
        <f t="shared" si="7"/>
        <v>#N/A</v>
      </c>
      <c r="AX37" s="117" t="e">
        <f t="shared" si="8"/>
        <v>#N/A</v>
      </c>
      <c r="AY37" s="117" t="e">
        <f t="shared" si="9"/>
        <v>#N/A</v>
      </c>
      <c r="AZ37" s="117" t="e">
        <f t="shared" si="10"/>
        <v>#N/A</v>
      </c>
      <c r="BA37" s="117" t="e">
        <f t="shared" si="11"/>
        <v>#N/A</v>
      </c>
      <c r="BB37" s="117" t="e">
        <f t="shared" si="12"/>
        <v>#N/A</v>
      </c>
    </row>
    <row r="38" spans="3:54" s="103" customFormat="1" collapsed="1" x14ac:dyDescent="0.35">
      <c r="C38" s="103" t="s">
        <v>88</v>
      </c>
      <c r="D38" s="116" t="e">
        <f>SUM(D39:D41)</f>
        <v>#REF!</v>
      </c>
      <c r="E38" s="116" t="e">
        <f t="shared" ref="E38:AM38" si="18">SUM(E39:E41)</f>
        <v>#REF!</v>
      </c>
      <c r="F38" s="116" t="e">
        <f t="shared" si="18"/>
        <v>#REF!</v>
      </c>
      <c r="G38" s="116" t="e">
        <f t="shared" si="18"/>
        <v>#REF!</v>
      </c>
      <c r="H38" s="116" t="e">
        <f t="shared" si="18"/>
        <v>#REF!</v>
      </c>
      <c r="I38" s="116" t="e">
        <f t="shared" si="18"/>
        <v>#REF!</v>
      </c>
      <c r="J38" s="116" t="e">
        <f t="shared" si="18"/>
        <v>#REF!</v>
      </c>
      <c r="K38" s="116" t="e">
        <f t="shared" si="18"/>
        <v>#REF!</v>
      </c>
      <c r="L38" s="116" t="e">
        <f t="shared" si="18"/>
        <v>#REF!</v>
      </c>
      <c r="M38" s="116" t="e">
        <f t="shared" si="18"/>
        <v>#REF!</v>
      </c>
      <c r="N38" s="116" t="e">
        <f t="shared" si="18"/>
        <v>#REF!</v>
      </c>
      <c r="O38" s="116" t="e">
        <f t="shared" si="18"/>
        <v>#REF!</v>
      </c>
      <c r="P38" s="116" t="e">
        <f t="shared" si="18"/>
        <v>#REF!</v>
      </c>
      <c r="Q38" s="116" t="e">
        <f t="shared" si="18"/>
        <v>#REF!</v>
      </c>
      <c r="R38" s="116" t="e">
        <f t="shared" si="18"/>
        <v>#REF!</v>
      </c>
      <c r="S38" s="116" t="e">
        <f t="shared" si="18"/>
        <v>#REF!</v>
      </c>
      <c r="T38" s="116" t="e">
        <f t="shared" si="18"/>
        <v>#REF!</v>
      </c>
      <c r="U38" s="116" t="e">
        <f t="shared" si="18"/>
        <v>#REF!</v>
      </c>
      <c r="V38" s="116" t="e">
        <f t="shared" si="18"/>
        <v>#REF!</v>
      </c>
      <c r="W38" s="116" t="e">
        <f t="shared" si="18"/>
        <v>#REF!</v>
      </c>
      <c r="X38" s="116" t="e">
        <f t="shared" si="18"/>
        <v>#REF!</v>
      </c>
      <c r="Y38" s="116" t="e">
        <f t="shared" si="18"/>
        <v>#REF!</v>
      </c>
      <c r="Z38" s="116" t="e">
        <f t="shared" si="18"/>
        <v>#REF!</v>
      </c>
      <c r="AA38" s="116" t="e">
        <f t="shared" si="18"/>
        <v>#REF!</v>
      </c>
      <c r="AB38" s="116" t="e">
        <f t="shared" si="18"/>
        <v>#REF!</v>
      </c>
      <c r="AC38" s="116" t="e">
        <f t="shared" si="18"/>
        <v>#REF!</v>
      </c>
      <c r="AD38" s="116" t="e">
        <f t="shared" si="18"/>
        <v>#REF!</v>
      </c>
      <c r="AE38" s="116" t="e">
        <f t="shared" si="18"/>
        <v>#REF!</v>
      </c>
      <c r="AF38" s="116" t="e">
        <f t="shared" si="18"/>
        <v>#REF!</v>
      </c>
      <c r="AG38" s="116" t="e">
        <f t="shared" si="18"/>
        <v>#REF!</v>
      </c>
      <c r="AH38" s="116" t="e">
        <f t="shared" si="18"/>
        <v>#REF!</v>
      </c>
      <c r="AI38" s="116" t="e">
        <f t="shared" si="18"/>
        <v>#REF!</v>
      </c>
      <c r="AJ38" s="116" t="e">
        <f t="shared" si="18"/>
        <v>#REF!</v>
      </c>
      <c r="AK38" s="116" t="e">
        <f t="shared" si="18"/>
        <v>#REF!</v>
      </c>
      <c r="AL38" s="116" t="e">
        <f t="shared" si="18"/>
        <v>#REF!</v>
      </c>
      <c r="AM38" s="116" t="e">
        <f t="shared" si="18"/>
        <v>#REF!</v>
      </c>
      <c r="AN38" s="121" t="e">
        <f>SUM(AN39:AN41)</f>
        <v>#REF!</v>
      </c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</row>
    <row r="39" spans="3:54" hidden="1" outlineLevel="1" x14ac:dyDescent="0.35">
      <c r="C39" s="104" t="s">
        <v>89</v>
      </c>
      <c r="D39" s="120" t="e">
        <f>-SUM(Kosten!$F$17:$F$22)</f>
        <v>#REF!</v>
      </c>
      <c r="E39" s="120" t="e">
        <f>-SUM(Kosten!$F$17:$F$22)</f>
        <v>#REF!</v>
      </c>
      <c r="F39" s="120" t="e">
        <f>-SUM(Kosten!$F$17:$F$22)</f>
        <v>#REF!</v>
      </c>
      <c r="G39" s="120" t="e">
        <f>-SUM(Kosten!$F$17:$F$22)</f>
        <v>#REF!</v>
      </c>
      <c r="H39" s="120" t="e">
        <f>-SUM(Kosten!$F$17:$F$22)</f>
        <v>#REF!</v>
      </c>
      <c r="I39" s="120" t="e">
        <f>-SUM(Kosten!$F$17:$F$22)</f>
        <v>#REF!</v>
      </c>
      <c r="J39" s="120" t="e">
        <f>-SUM(Kosten!$F$17:$F$22)</f>
        <v>#REF!</v>
      </c>
      <c r="K39" s="120" t="e">
        <f>-SUM(Kosten!$F$17:$F$22)</f>
        <v>#REF!</v>
      </c>
      <c r="L39" s="120" t="e">
        <f>-SUM(Kosten!$F$17:$F$22)</f>
        <v>#REF!</v>
      </c>
      <c r="M39" s="120" t="e">
        <f>-SUM(Kosten!$F$17:$F$22)</f>
        <v>#REF!</v>
      </c>
      <c r="N39" s="120" t="e">
        <f>-SUM(Kosten!$F$17:$F$22)</f>
        <v>#REF!</v>
      </c>
      <c r="O39" s="120" t="e">
        <f>-SUM(Kosten!$F$17:$F$22)</f>
        <v>#REF!</v>
      </c>
      <c r="P39" s="120" t="e">
        <f>-SUM(Kosten!$F$17:$F$22)</f>
        <v>#REF!</v>
      </c>
      <c r="Q39" s="120" t="e">
        <f>-SUM(Kosten!$F$17:$F$22)</f>
        <v>#REF!</v>
      </c>
      <c r="R39" s="120" t="e">
        <f>-SUM(Kosten!$F$17:$F$22)</f>
        <v>#REF!</v>
      </c>
      <c r="S39" s="120" t="e">
        <f>-SUM(Kosten!$F$17:$F$22)</f>
        <v>#REF!</v>
      </c>
      <c r="T39" s="120" t="e">
        <f>-SUM(Kosten!$F$17:$F$22)</f>
        <v>#REF!</v>
      </c>
      <c r="U39" s="120" t="e">
        <f>-SUM(Kosten!$F$17:$F$22)</f>
        <v>#REF!</v>
      </c>
      <c r="V39" s="120" t="e">
        <f>-SUM(Kosten!$F$17:$F$22)</f>
        <v>#REF!</v>
      </c>
      <c r="W39" s="120" t="e">
        <f>-SUM(Kosten!$F$17:$F$22)</f>
        <v>#REF!</v>
      </c>
      <c r="X39" s="120" t="e">
        <f>-SUM(Kosten!$F$17:$F$22)</f>
        <v>#REF!</v>
      </c>
      <c r="Y39" s="120" t="e">
        <f>-SUM(Kosten!$F$17:$F$22)</f>
        <v>#REF!</v>
      </c>
      <c r="Z39" s="120" t="e">
        <f>-SUM(Kosten!$F$17:$F$22)</f>
        <v>#REF!</v>
      </c>
      <c r="AA39" s="120" t="e">
        <f>-SUM(Kosten!$F$17:$F$22)</f>
        <v>#REF!</v>
      </c>
      <c r="AB39" s="120" t="e">
        <f>-SUM(Kosten!$F$17:$F$22)</f>
        <v>#REF!</v>
      </c>
      <c r="AC39" s="120" t="e">
        <f>-SUM(Kosten!$F$17:$F$22)</f>
        <v>#REF!</v>
      </c>
      <c r="AD39" s="120" t="e">
        <f>-SUM(Kosten!$F$17:$F$22)</f>
        <v>#REF!</v>
      </c>
      <c r="AE39" s="120" t="e">
        <f>-SUM(Kosten!$F$17:$F$22)</f>
        <v>#REF!</v>
      </c>
      <c r="AF39" s="120" t="e">
        <f>-SUM(Kosten!$F$17:$F$22)</f>
        <v>#REF!</v>
      </c>
      <c r="AG39" s="120" t="e">
        <f>-SUM(Kosten!$F$17:$F$22)</f>
        <v>#REF!</v>
      </c>
      <c r="AH39" s="120" t="e">
        <f>-SUM(Kosten!$F$17:$F$22)</f>
        <v>#REF!</v>
      </c>
      <c r="AI39" s="120" t="e">
        <f>-SUM(Kosten!$F$17:$F$22)</f>
        <v>#REF!</v>
      </c>
      <c r="AJ39" s="120" t="e">
        <f>-SUM(Kosten!$F$17:$F$22)</f>
        <v>#REF!</v>
      </c>
      <c r="AK39" s="120" t="e">
        <f>-SUM(Kosten!$F$17:$F$22)</f>
        <v>#REF!</v>
      </c>
      <c r="AL39" s="120" t="e">
        <f>-SUM(Kosten!$F$17:$F$22)</f>
        <v>#REF!</v>
      </c>
      <c r="AM39" s="120" t="e">
        <f>-SUM(Kosten!$F$17:$F$22)</f>
        <v>#REF!</v>
      </c>
      <c r="AN39" s="117" t="e">
        <f t="shared" si="0"/>
        <v>#REF!</v>
      </c>
      <c r="AQ39" s="117" t="e">
        <f t="shared" si="1"/>
        <v>#REF!</v>
      </c>
      <c r="AR39" s="117" t="e">
        <f t="shared" si="2"/>
        <v>#REF!</v>
      </c>
      <c r="AS39" s="117" t="e">
        <f t="shared" si="3"/>
        <v>#REF!</v>
      </c>
      <c r="AT39" s="117" t="e">
        <f t="shared" si="4"/>
        <v>#REF!</v>
      </c>
      <c r="AU39" s="117" t="e">
        <f t="shared" si="5"/>
        <v>#REF!</v>
      </c>
      <c r="AV39" s="117" t="e">
        <f t="shared" si="6"/>
        <v>#REF!</v>
      </c>
      <c r="AW39" s="117" t="e">
        <f t="shared" si="7"/>
        <v>#REF!</v>
      </c>
      <c r="AX39" s="117" t="e">
        <f t="shared" si="8"/>
        <v>#REF!</v>
      </c>
      <c r="AY39" s="117" t="e">
        <f t="shared" si="9"/>
        <v>#REF!</v>
      </c>
      <c r="AZ39" s="117" t="e">
        <f t="shared" si="10"/>
        <v>#REF!</v>
      </c>
      <c r="BA39" s="117" t="e">
        <f t="shared" si="11"/>
        <v>#REF!</v>
      </c>
      <c r="BB39" s="117" t="e">
        <f t="shared" si="12"/>
        <v>#REF!</v>
      </c>
    </row>
    <row r="40" spans="3:54" hidden="1" outlineLevel="1" x14ac:dyDescent="0.35">
      <c r="C40" s="104" t="s">
        <v>58</v>
      </c>
      <c r="D40" s="120" t="e">
        <f>-SUM(Kosten!$G$17:$G$22)</f>
        <v>#REF!</v>
      </c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7" t="e">
        <f t="shared" si="0"/>
        <v>#REF!</v>
      </c>
      <c r="AQ40" s="117" t="e">
        <f t="shared" si="1"/>
        <v>#REF!</v>
      </c>
      <c r="AR40" s="117">
        <f t="shared" si="2"/>
        <v>0</v>
      </c>
      <c r="AS40" s="117">
        <f t="shared" si="3"/>
        <v>0</v>
      </c>
      <c r="AT40" s="117">
        <f t="shared" si="4"/>
        <v>0</v>
      </c>
      <c r="AU40" s="117">
        <f t="shared" si="5"/>
        <v>0</v>
      </c>
      <c r="AV40" s="117">
        <f t="shared" si="6"/>
        <v>0</v>
      </c>
      <c r="AW40" s="117">
        <f t="shared" si="7"/>
        <v>0</v>
      </c>
      <c r="AX40" s="117">
        <f t="shared" si="8"/>
        <v>0</v>
      </c>
      <c r="AY40" s="117">
        <f t="shared" si="9"/>
        <v>0</v>
      </c>
      <c r="AZ40" s="117">
        <f t="shared" si="10"/>
        <v>0</v>
      </c>
      <c r="BA40" s="117">
        <f t="shared" si="11"/>
        <v>0</v>
      </c>
      <c r="BB40" s="117">
        <f t="shared" si="12"/>
        <v>0</v>
      </c>
    </row>
    <row r="41" spans="3:54" hidden="1" outlineLevel="1" x14ac:dyDescent="0.35">
      <c r="C41" s="104" t="s">
        <v>67</v>
      </c>
      <c r="D41" s="120" t="e">
        <f>-SUM(Kosten!$H$17:$H$22)</f>
        <v>#REF!</v>
      </c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 t="e">
        <f t="shared" si="0"/>
        <v>#REF!</v>
      </c>
      <c r="AQ41" s="117" t="e">
        <f t="shared" si="1"/>
        <v>#REF!</v>
      </c>
      <c r="AR41" s="117">
        <f t="shared" si="2"/>
        <v>0</v>
      </c>
      <c r="AS41" s="117">
        <f t="shared" si="3"/>
        <v>0</v>
      </c>
      <c r="AT41" s="117">
        <f t="shared" si="4"/>
        <v>0</v>
      </c>
      <c r="AU41" s="117">
        <f t="shared" si="5"/>
        <v>0</v>
      </c>
      <c r="AV41" s="117">
        <f t="shared" si="6"/>
        <v>0</v>
      </c>
      <c r="AW41" s="117">
        <f t="shared" si="7"/>
        <v>0</v>
      </c>
      <c r="AX41" s="117">
        <f t="shared" si="8"/>
        <v>0</v>
      </c>
      <c r="AY41" s="117">
        <f t="shared" si="9"/>
        <v>0</v>
      </c>
      <c r="AZ41" s="117">
        <f t="shared" si="10"/>
        <v>0</v>
      </c>
      <c r="BA41" s="117">
        <f t="shared" si="11"/>
        <v>0</v>
      </c>
      <c r="BB41" s="117">
        <f t="shared" si="12"/>
        <v>0</v>
      </c>
    </row>
    <row r="42" spans="3:54" s="103" customFormat="1" collapsed="1" x14ac:dyDescent="0.35">
      <c r="C42" s="103" t="s">
        <v>40</v>
      </c>
      <c r="D42" s="116">
        <f>-'Preise Output'!$G$24</f>
        <v>-18000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>
        <f t="shared" si="0"/>
        <v>-18000</v>
      </c>
      <c r="AQ42" s="121">
        <f t="shared" si="1"/>
        <v>-18000</v>
      </c>
      <c r="AR42" s="121">
        <f t="shared" si="2"/>
        <v>0</v>
      </c>
      <c r="AS42" s="121">
        <f t="shared" si="3"/>
        <v>0</v>
      </c>
      <c r="AT42" s="121">
        <f t="shared" si="4"/>
        <v>0</v>
      </c>
      <c r="AU42" s="121">
        <f t="shared" si="5"/>
        <v>0</v>
      </c>
      <c r="AV42" s="121">
        <f t="shared" si="6"/>
        <v>0</v>
      </c>
      <c r="AW42" s="121">
        <f t="shared" si="7"/>
        <v>0</v>
      </c>
      <c r="AX42" s="121">
        <f t="shared" si="8"/>
        <v>0</v>
      </c>
      <c r="AY42" s="121">
        <f t="shared" si="9"/>
        <v>0</v>
      </c>
      <c r="AZ42" s="121">
        <f t="shared" si="10"/>
        <v>0</v>
      </c>
      <c r="BA42" s="121">
        <f t="shared" si="11"/>
        <v>0</v>
      </c>
      <c r="BB42" s="121">
        <f t="shared" si="12"/>
        <v>0</v>
      </c>
    </row>
    <row r="43" spans="3:54" s="103" customFormat="1" x14ac:dyDescent="0.35">
      <c r="C43" s="103" t="s">
        <v>17</v>
      </c>
      <c r="D43" s="116">
        <f>IFERROR(-'Preise Output'!$L$24/12/'Preise Output'!$F$24-('Preise Output'!$L$26-'Preise Output'!$L$24)/12/3,0)</f>
        <v>0</v>
      </c>
      <c r="E43" s="116">
        <f>IFERROR(-'Preise Output'!$L$24/12/'Preise Output'!$F$24-('Preise Output'!$L$26-'Preise Output'!$L$24)/12/3,0)</f>
        <v>0</v>
      </c>
      <c r="F43" s="116">
        <f>IFERROR(-'Preise Output'!$L$24/12/'Preise Output'!$F$24-('Preise Output'!$L$26-'Preise Output'!$L$24)/12/3,0)</f>
        <v>0</v>
      </c>
      <c r="G43" s="116">
        <f>IFERROR(-'Preise Output'!$L$24/12/'Preise Output'!$F$24-('Preise Output'!$L$26-'Preise Output'!$L$24)/12/3,0)</f>
        <v>0</v>
      </c>
      <c r="H43" s="116">
        <f>IFERROR(-'Preise Output'!$L$24/12/'Preise Output'!$F$24-('Preise Output'!$L$26-'Preise Output'!$L$24)/12/3,0)</f>
        <v>0</v>
      </c>
      <c r="I43" s="116">
        <f>IFERROR(-'Preise Output'!$L$24/12/'Preise Output'!$F$24-('Preise Output'!$L$26-'Preise Output'!$L$24)/12/3,0)</f>
        <v>0</v>
      </c>
      <c r="J43" s="116">
        <f>IFERROR(-'Preise Output'!$L$24/12/'Preise Output'!$F$24-('Preise Output'!$L$26-'Preise Output'!$L$24)/12/3,0)</f>
        <v>0</v>
      </c>
      <c r="K43" s="116">
        <f>IFERROR(-'Preise Output'!$L$24/12/'Preise Output'!$F$24-('Preise Output'!$L$26-'Preise Output'!$L$24)/12/3,0)</f>
        <v>0</v>
      </c>
      <c r="L43" s="116">
        <f>IFERROR(-'Preise Output'!$L$24/12/'Preise Output'!$F$24-('Preise Output'!$L$26-'Preise Output'!$L$24)/12/3,0)</f>
        <v>0</v>
      </c>
      <c r="M43" s="116">
        <f>IFERROR(-'Preise Output'!$L$24/12/'Preise Output'!$F$24-('Preise Output'!$L$26-'Preise Output'!$L$24)/12/3,0)</f>
        <v>0</v>
      </c>
      <c r="N43" s="116">
        <f>IFERROR(-'Preise Output'!$L$24/12/'Preise Output'!$F$24-('Preise Output'!$L$26-'Preise Output'!$L$24)/12/3,0)</f>
        <v>0</v>
      </c>
      <c r="O43" s="116">
        <f>IFERROR(-'Preise Output'!$L$24/12/'Preise Output'!$F$24-('Preise Output'!$L$26-'Preise Output'!$L$24)/12/3,0)</f>
        <v>0</v>
      </c>
      <c r="P43" s="116">
        <f>IFERROR(IF('Preise Output'!$F$24=1,-('Preise Output'!$L$26-'Preise Output'!$L$24)/12/3,-'Preise Output'!$L$24/12/'Preise Output'!$F$24-('Preise Output'!$L$26-'Preise Output'!$L$24)/12/3),0)</f>
        <v>0</v>
      </c>
      <c r="Q43" s="116">
        <f>IFERROR(IF('Preise Output'!$F$24=1,-('Preise Output'!$L$26-'Preise Output'!$L$24)/12/3,-'Preise Output'!$L$24/12/'Preise Output'!$F$24-('Preise Output'!$L$26-'Preise Output'!$L$24)/12/3),0)</f>
        <v>0</v>
      </c>
      <c r="R43" s="116">
        <f>IFERROR(IF('Preise Output'!$F$24=1,-('Preise Output'!$L$26-'Preise Output'!$L$24)/12/3,-'Preise Output'!$L$24/12/'Preise Output'!$F$24-('Preise Output'!$L$26-'Preise Output'!$L$24)/12/3),0)</f>
        <v>0</v>
      </c>
      <c r="S43" s="116">
        <f>IFERROR(IF('Preise Output'!$F$24=1,-('Preise Output'!$L$26-'Preise Output'!$L$24)/12/3,-'Preise Output'!$L$24/12/'Preise Output'!$F$24-('Preise Output'!$L$26-'Preise Output'!$L$24)/12/3),0)</f>
        <v>0</v>
      </c>
      <c r="T43" s="116">
        <f>IFERROR(IF('Preise Output'!$F$24=1,-('Preise Output'!$L$26-'Preise Output'!$L$24)/12/3,-'Preise Output'!$L$24/12/'Preise Output'!$F$24-('Preise Output'!$L$26-'Preise Output'!$L$24)/12/3),0)</f>
        <v>0</v>
      </c>
      <c r="U43" s="116">
        <f>IFERROR(IF('Preise Output'!$F$24=1,-('Preise Output'!$L$26-'Preise Output'!$L$24)/12/3,-'Preise Output'!$L$24/12/'Preise Output'!$F$24-('Preise Output'!$L$26-'Preise Output'!$L$24)/12/3),0)</f>
        <v>0</v>
      </c>
      <c r="V43" s="116">
        <f>IFERROR(IF('Preise Output'!$F$24=1,-('Preise Output'!$L$26-'Preise Output'!$L$24)/12/3,-'Preise Output'!$L$24/12/'Preise Output'!$F$24-('Preise Output'!$L$26-'Preise Output'!$L$24)/12/3),0)</f>
        <v>0</v>
      </c>
      <c r="W43" s="116">
        <f>IFERROR(IF('Preise Output'!$F$24=1,-('Preise Output'!$L$26-'Preise Output'!$L$24)/12/3,-'Preise Output'!$L$24/12/'Preise Output'!$F$24-('Preise Output'!$L$26-'Preise Output'!$L$24)/12/3),0)</f>
        <v>0</v>
      </c>
      <c r="X43" s="116">
        <f>IFERROR(IF('Preise Output'!$F$24=1,-('Preise Output'!$L$26-'Preise Output'!$L$24)/12/3,-'Preise Output'!$L$24/12/'Preise Output'!$F$24-('Preise Output'!$L$26-'Preise Output'!$L$24)/12/3),0)</f>
        <v>0</v>
      </c>
      <c r="Y43" s="116">
        <f>IFERROR(IF('Preise Output'!$F$24=1,-('Preise Output'!$L$26-'Preise Output'!$L$24)/12/3,-'Preise Output'!$L$24/12/'Preise Output'!$F$24-('Preise Output'!$L$26-'Preise Output'!$L$24)/12/3),0)</f>
        <v>0</v>
      </c>
      <c r="Z43" s="116">
        <f>IFERROR(IF('Preise Output'!$F$24=1,-('Preise Output'!$L$26-'Preise Output'!$L$24)/12/3,-'Preise Output'!$L$24/12/'Preise Output'!$F$24-('Preise Output'!$L$26-'Preise Output'!$L$24)/12/3),0)</f>
        <v>0</v>
      </c>
      <c r="AA43" s="116">
        <f>IFERROR(IF('Preise Output'!$F$24=1,-('Preise Output'!$L$26-'Preise Output'!$L$24)/12/3,-'Preise Output'!$L$24/12/'Preise Output'!$F$24-('Preise Output'!$L$26-'Preise Output'!$L$24)/12/3),0)</f>
        <v>0</v>
      </c>
      <c r="AB43" s="116">
        <f>IFERROR(IF('Preise Output'!$F$24=1,-('Preise Output'!$L$26-'Preise Output'!$L$24)/12/3,-'Preise Output'!$L$24/12/'Preise Output'!$F$24-('Preise Output'!$L$26-'Preise Output'!$L$24)/12/3),0)</f>
        <v>0</v>
      </c>
      <c r="AC43" s="116">
        <f>IFERROR(IF('Preise Output'!$F$24=1,-('Preise Output'!$L$26-'Preise Output'!$L$24)/12/3,-'Preise Output'!$L$24/12/'Preise Output'!$F$24-('Preise Output'!$L$26-'Preise Output'!$L$24)/12/3),0)</f>
        <v>0</v>
      </c>
      <c r="AD43" s="116">
        <f>IFERROR(IF('Preise Output'!$F$24=1,-('Preise Output'!$L$26-'Preise Output'!$L$24)/12/3,-'Preise Output'!$L$24/12/'Preise Output'!$F$24-('Preise Output'!$L$26-'Preise Output'!$L$24)/12/3),0)</f>
        <v>0</v>
      </c>
      <c r="AE43" s="116">
        <f>IFERROR(IF('Preise Output'!$F$24=1,-('Preise Output'!$L$26-'Preise Output'!$L$24)/12/3,-'Preise Output'!$L$24/12/'Preise Output'!$F$24-('Preise Output'!$L$26-'Preise Output'!$L$24)/12/3),0)</f>
        <v>0</v>
      </c>
      <c r="AF43" s="116">
        <f>IFERROR(IF('Preise Output'!$F$24=1,-('Preise Output'!$L$26-'Preise Output'!$L$24)/12/3,-'Preise Output'!$L$24/12/'Preise Output'!$F$24-('Preise Output'!$L$26-'Preise Output'!$L$24)/12/3),0)</f>
        <v>0</v>
      </c>
      <c r="AG43" s="116">
        <f>IFERROR(IF('Preise Output'!$F$24=1,-('Preise Output'!$L$26-'Preise Output'!$L$24)/12/3,-'Preise Output'!$L$24/12/'Preise Output'!$F$24-('Preise Output'!$L$26-'Preise Output'!$L$24)/12/3),0)</f>
        <v>0</v>
      </c>
      <c r="AH43" s="116">
        <f>IFERROR(IF('Preise Output'!$F$24=1,-('Preise Output'!$L$26-'Preise Output'!$L$24)/12/3,-'Preise Output'!$L$24/12/'Preise Output'!$F$24-('Preise Output'!$L$26-'Preise Output'!$L$24)/12/3),0)</f>
        <v>0</v>
      </c>
      <c r="AI43" s="116">
        <f>IFERROR(IF('Preise Output'!$F$24=1,-('Preise Output'!$L$26-'Preise Output'!$L$24)/12/3,-'Preise Output'!$L$24/12/'Preise Output'!$F$24-('Preise Output'!$L$26-'Preise Output'!$L$24)/12/3),0)</f>
        <v>0</v>
      </c>
      <c r="AJ43" s="116">
        <f>IFERROR(IF('Preise Output'!$F$24=1,-('Preise Output'!$L$26-'Preise Output'!$L$24)/12/3,-'Preise Output'!$L$24/12/'Preise Output'!$F$24-('Preise Output'!$L$26-'Preise Output'!$L$24)/12/3),0)</f>
        <v>0</v>
      </c>
      <c r="AK43" s="116">
        <f>IFERROR(IF('Preise Output'!$F$24=1,-('Preise Output'!$L$26-'Preise Output'!$L$24)/12/3,-'Preise Output'!$L$24/12/'Preise Output'!$F$24-('Preise Output'!$L$26-'Preise Output'!$L$24)/12/3),0)</f>
        <v>0</v>
      </c>
      <c r="AL43" s="116">
        <f>IFERROR(IF('Preise Output'!$F$24=1,-('Preise Output'!$L$26-'Preise Output'!$L$24)/12/3,-'Preise Output'!$L$24/12/'Preise Output'!$F$24-('Preise Output'!$L$26-'Preise Output'!$L$24)/12/3),0)</f>
        <v>0</v>
      </c>
      <c r="AM43" s="116">
        <f>IFERROR(IF('Preise Output'!$F$24=1,-('Preise Output'!$L$26-'Preise Output'!$L$24)/12/3,-'Preise Output'!$L$24/12/'Preise Output'!$F$24-('Preise Output'!$L$26-'Preise Output'!$L$24)/12/3),0)</f>
        <v>0</v>
      </c>
      <c r="AN43" s="121">
        <f t="shared" si="0"/>
        <v>0</v>
      </c>
      <c r="AQ43" s="121">
        <f t="shared" si="1"/>
        <v>0</v>
      </c>
      <c r="AR43" s="121">
        <f t="shared" si="2"/>
        <v>0</v>
      </c>
      <c r="AS43" s="121">
        <f t="shared" si="3"/>
        <v>0</v>
      </c>
      <c r="AT43" s="121">
        <f t="shared" si="4"/>
        <v>0</v>
      </c>
      <c r="AU43" s="121">
        <f t="shared" si="5"/>
        <v>0</v>
      </c>
      <c r="AV43" s="121">
        <f t="shared" si="6"/>
        <v>0</v>
      </c>
      <c r="AW43" s="121">
        <f t="shared" si="7"/>
        <v>0</v>
      </c>
      <c r="AX43" s="121">
        <f t="shared" si="8"/>
        <v>0</v>
      </c>
      <c r="AY43" s="121">
        <f t="shared" si="9"/>
        <v>0</v>
      </c>
      <c r="AZ43" s="121">
        <f t="shared" si="10"/>
        <v>0</v>
      </c>
      <c r="BA43" s="121">
        <f t="shared" si="11"/>
        <v>0</v>
      </c>
      <c r="BB43" s="121">
        <f t="shared" si="12"/>
        <v>0</v>
      </c>
    </row>
    <row r="44" spans="3:54" x14ac:dyDescent="0.35">
      <c r="C44" s="103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7"/>
      <c r="AQ44" s="117">
        <f t="shared" si="1"/>
        <v>0</v>
      </c>
      <c r="AR44" s="117">
        <f t="shared" si="2"/>
        <v>0</v>
      </c>
      <c r="AS44" s="117">
        <f t="shared" si="3"/>
        <v>0</v>
      </c>
      <c r="AT44" s="117">
        <f t="shared" si="4"/>
        <v>0</v>
      </c>
      <c r="AU44" s="117">
        <f t="shared" si="5"/>
        <v>0</v>
      </c>
      <c r="AV44" s="117">
        <f t="shared" si="6"/>
        <v>0</v>
      </c>
      <c r="AW44" s="117">
        <f t="shared" si="7"/>
        <v>0</v>
      </c>
      <c r="AX44" s="117">
        <f t="shared" si="8"/>
        <v>0</v>
      </c>
      <c r="AY44" s="117">
        <f t="shared" si="9"/>
        <v>0</v>
      </c>
      <c r="AZ44" s="117">
        <f t="shared" si="10"/>
        <v>0</v>
      </c>
      <c r="BA44" s="117">
        <f t="shared" si="11"/>
        <v>0</v>
      </c>
      <c r="BB44" s="117">
        <f t="shared" si="12"/>
        <v>0</v>
      </c>
    </row>
    <row r="45" spans="3:54" s="103" customFormat="1" x14ac:dyDescent="0.35">
      <c r="C45" s="103" t="s">
        <v>147</v>
      </c>
      <c r="D45" s="116" t="e">
        <f t="shared" ref="D45:AM45" si="19">SUM(D6:D7)+D9+D18+D25+D33+D38+D42+D43</f>
        <v>#REF!</v>
      </c>
      <c r="E45" s="116" t="e">
        <f t="shared" si="19"/>
        <v>#N/A</v>
      </c>
      <c r="F45" s="116" t="e">
        <f t="shared" si="19"/>
        <v>#N/A</v>
      </c>
      <c r="G45" s="116" t="e">
        <f t="shared" si="19"/>
        <v>#REF!</v>
      </c>
      <c r="H45" s="116" t="e">
        <f t="shared" si="19"/>
        <v>#N/A</v>
      </c>
      <c r="I45" s="116" t="e">
        <f t="shared" si="19"/>
        <v>#N/A</v>
      </c>
      <c r="J45" s="116" t="e">
        <f t="shared" si="19"/>
        <v>#REF!</v>
      </c>
      <c r="K45" s="116" t="e">
        <f t="shared" si="19"/>
        <v>#N/A</v>
      </c>
      <c r="L45" s="116" t="e">
        <f t="shared" si="19"/>
        <v>#N/A</v>
      </c>
      <c r="M45" s="116" t="e">
        <f t="shared" si="19"/>
        <v>#REF!</v>
      </c>
      <c r="N45" s="116" t="e">
        <f t="shared" si="19"/>
        <v>#N/A</v>
      </c>
      <c r="O45" s="116" t="e">
        <f t="shared" si="19"/>
        <v>#REF!</v>
      </c>
      <c r="P45" s="116" t="e">
        <f t="shared" si="19"/>
        <v>#REF!</v>
      </c>
      <c r="Q45" s="116" t="e">
        <f t="shared" si="19"/>
        <v>#N/A</v>
      </c>
      <c r="R45" s="116" t="e">
        <f t="shared" si="19"/>
        <v>#N/A</v>
      </c>
      <c r="S45" s="116" t="e">
        <f t="shared" si="19"/>
        <v>#REF!</v>
      </c>
      <c r="T45" s="116" t="e">
        <f t="shared" si="19"/>
        <v>#N/A</v>
      </c>
      <c r="U45" s="116" t="e">
        <f t="shared" si="19"/>
        <v>#N/A</v>
      </c>
      <c r="V45" s="116" t="e">
        <f t="shared" si="19"/>
        <v>#REF!</v>
      </c>
      <c r="W45" s="116" t="e">
        <f t="shared" si="19"/>
        <v>#N/A</v>
      </c>
      <c r="X45" s="116" t="e">
        <f t="shared" si="19"/>
        <v>#N/A</v>
      </c>
      <c r="Y45" s="116" t="e">
        <f t="shared" si="19"/>
        <v>#REF!</v>
      </c>
      <c r="Z45" s="116" t="e">
        <f t="shared" si="19"/>
        <v>#N/A</v>
      </c>
      <c r="AA45" s="116" t="e">
        <f t="shared" si="19"/>
        <v>#REF!</v>
      </c>
      <c r="AB45" s="116" t="e">
        <f t="shared" si="19"/>
        <v>#REF!</v>
      </c>
      <c r="AC45" s="116" t="e">
        <f t="shared" si="19"/>
        <v>#N/A</v>
      </c>
      <c r="AD45" s="116" t="e">
        <f t="shared" si="19"/>
        <v>#N/A</v>
      </c>
      <c r="AE45" s="116" t="e">
        <f t="shared" si="19"/>
        <v>#REF!</v>
      </c>
      <c r="AF45" s="116" t="e">
        <f t="shared" si="19"/>
        <v>#N/A</v>
      </c>
      <c r="AG45" s="116" t="e">
        <f t="shared" si="19"/>
        <v>#N/A</v>
      </c>
      <c r="AH45" s="116" t="e">
        <f t="shared" si="19"/>
        <v>#REF!</v>
      </c>
      <c r="AI45" s="116" t="e">
        <f t="shared" si="19"/>
        <v>#N/A</v>
      </c>
      <c r="AJ45" s="116" t="e">
        <f t="shared" si="19"/>
        <v>#N/A</v>
      </c>
      <c r="AK45" s="116" t="e">
        <f t="shared" si="19"/>
        <v>#REF!</v>
      </c>
      <c r="AL45" s="116" t="e">
        <f t="shared" si="19"/>
        <v>#N/A</v>
      </c>
      <c r="AM45" s="116" t="e">
        <f t="shared" si="19"/>
        <v>#REF!</v>
      </c>
      <c r="AN45" s="117" t="e">
        <f>SUM(D45:AM45)</f>
        <v>#REF!</v>
      </c>
      <c r="AO45" s="121"/>
      <c r="AQ45" s="117" t="e">
        <f t="shared" si="1"/>
        <v>#REF!</v>
      </c>
      <c r="AR45" s="117" t="e">
        <f t="shared" si="2"/>
        <v>#REF!</v>
      </c>
      <c r="AS45" s="117" t="e">
        <f t="shared" si="3"/>
        <v>#REF!</v>
      </c>
      <c r="AT45" s="117" t="e">
        <f t="shared" si="4"/>
        <v>#REF!</v>
      </c>
      <c r="AU45" s="117" t="e">
        <f t="shared" si="5"/>
        <v>#REF!</v>
      </c>
      <c r="AV45" s="117" t="e">
        <f t="shared" si="6"/>
        <v>#REF!</v>
      </c>
      <c r="AW45" s="117" t="e">
        <f t="shared" si="7"/>
        <v>#REF!</v>
      </c>
      <c r="AX45" s="117" t="e">
        <f t="shared" si="8"/>
        <v>#REF!</v>
      </c>
      <c r="AY45" s="117" t="e">
        <f t="shared" si="9"/>
        <v>#REF!</v>
      </c>
      <c r="AZ45" s="117" t="e">
        <f t="shared" si="10"/>
        <v>#REF!</v>
      </c>
      <c r="BA45" s="117" t="e">
        <f t="shared" si="11"/>
        <v>#REF!</v>
      </c>
      <c r="BB45" s="117" t="e">
        <f t="shared" si="12"/>
        <v>#REF!</v>
      </c>
    </row>
    <row r="46" spans="3:54" x14ac:dyDescent="0.35">
      <c r="C46" s="103" t="s">
        <v>148</v>
      </c>
      <c r="D46" s="119" t="e">
        <f>D45</f>
        <v>#REF!</v>
      </c>
      <c r="E46" s="119" t="e">
        <f>D46+E45</f>
        <v>#REF!</v>
      </c>
      <c r="F46" s="119" t="e">
        <f t="shared" ref="F46:G46" si="20">E46+F45</f>
        <v>#REF!</v>
      </c>
      <c r="G46" s="119" t="e">
        <f t="shared" si="20"/>
        <v>#REF!</v>
      </c>
      <c r="H46" s="119" t="e">
        <f t="shared" ref="H46" si="21">G46+H45</f>
        <v>#REF!</v>
      </c>
      <c r="I46" s="119" t="e">
        <f t="shared" ref="I46" si="22">H46+I45</f>
        <v>#REF!</v>
      </c>
      <c r="J46" s="119" t="e">
        <f t="shared" ref="J46" si="23">I46+J45</f>
        <v>#REF!</v>
      </c>
      <c r="K46" s="119" t="e">
        <f t="shared" ref="K46" si="24">J46+K45</f>
        <v>#REF!</v>
      </c>
      <c r="L46" s="119" t="e">
        <f t="shared" ref="L46" si="25">K46+L45</f>
        <v>#REF!</v>
      </c>
      <c r="M46" s="119" t="e">
        <f t="shared" ref="M46" si="26">L46+M45</f>
        <v>#REF!</v>
      </c>
      <c r="N46" s="119" t="e">
        <f t="shared" ref="N46" si="27">M46+N45</f>
        <v>#REF!</v>
      </c>
      <c r="O46" s="119" t="e">
        <f t="shared" ref="O46" si="28">N46+O45</f>
        <v>#REF!</v>
      </c>
      <c r="P46" s="119" t="e">
        <f t="shared" ref="P46" si="29">O46+P45</f>
        <v>#REF!</v>
      </c>
      <c r="Q46" s="119" t="e">
        <f t="shared" ref="Q46" si="30">P46+Q45</f>
        <v>#REF!</v>
      </c>
      <c r="R46" s="119" t="e">
        <f t="shared" ref="R46" si="31">Q46+R45</f>
        <v>#REF!</v>
      </c>
      <c r="S46" s="119" t="e">
        <f t="shared" ref="S46" si="32">R46+S45</f>
        <v>#REF!</v>
      </c>
      <c r="T46" s="119" t="e">
        <f t="shared" ref="T46" si="33">S46+T45</f>
        <v>#REF!</v>
      </c>
      <c r="U46" s="119" t="e">
        <f t="shared" ref="U46" si="34">T46+U45</f>
        <v>#REF!</v>
      </c>
      <c r="V46" s="119" t="e">
        <f t="shared" ref="V46" si="35">U46+V45</f>
        <v>#REF!</v>
      </c>
      <c r="W46" s="119" t="e">
        <f t="shared" ref="W46" si="36">V46+W45</f>
        <v>#REF!</v>
      </c>
      <c r="X46" s="119" t="e">
        <f t="shared" ref="X46" si="37">W46+X45</f>
        <v>#REF!</v>
      </c>
      <c r="Y46" s="119" t="e">
        <f t="shared" ref="Y46" si="38">X46+Y45</f>
        <v>#REF!</v>
      </c>
      <c r="Z46" s="119" t="e">
        <f t="shared" ref="Z46" si="39">Y46+Z45</f>
        <v>#REF!</v>
      </c>
      <c r="AA46" s="119" t="e">
        <f t="shared" ref="AA46" si="40">Z46+AA45</f>
        <v>#REF!</v>
      </c>
      <c r="AB46" s="119" t="e">
        <f t="shared" ref="AB46" si="41">AA46+AB45</f>
        <v>#REF!</v>
      </c>
      <c r="AC46" s="119" t="e">
        <f t="shared" ref="AC46" si="42">AB46+AC45</f>
        <v>#REF!</v>
      </c>
      <c r="AD46" s="119" t="e">
        <f t="shared" ref="AD46" si="43">AC46+AD45</f>
        <v>#REF!</v>
      </c>
      <c r="AE46" s="119" t="e">
        <f t="shared" ref="AE46" si="44">AD46+AE45</f>
        <v>#REF!</v>
      </c>
      <c r="AF46" s="119" t="e">
        <f t="shared" ref="AF46" si="45">AE46+AF45</f>
        <v>#REF!</v>
      </c>
      <c r="AG46" s="119" t="e">
        <f t="shared" ref="AG46" si="46">AF46+AG45</f>
        <v>#REF!</v>
      </c>
      <c r="AH46" s="119" t="e">
        <f t="shared" ref="AH46" si="47">AG46+AH45</f>
        <v>#REF!</v>
      </c>
      <c r="AI46" s="119" t="e">
        <f t="shared" ref="AI46" si="48">AH46+AI45</f>
        <v>#REF!</v>
      </c>
      <c r="AJ46" s="119" t="e">
        <f t="shared" ref="AJ46" si="49">AI46+AJ45</f>
        <v>#REF!</v>
      </c>
      <c r="AK46" s="119" t="e">
        <f t="shared" ref="AK46" si="50">AJ46+AK45</f>
        <v>#REF!</v>
      </c>
      <c r="AL46" s="119" t="e">
        <f t="shared" ref="AL46" si="51">AK46+AL45</f>
        <v>#REF!</v>
      </c>
      <c r="AM46" s="119" t="e">
        <f t="shared" ref="AM46" si="52">AL46+AM45</f>
        <v>#REF!</v>
      </c>
      <c r="AN46" s="117"/>
      <c r="AQ46" s="117" t="e">
        <f>AQ45</f>
        <v>#REF!</v>
      </c>
      <c r="AR46" s="117" t="e">
        <f>AQ46+AR45</f>
        <v>#REF!</v>
      </c>
      <c r="AS46" s="117" t="e">
        <f t="shared" ref="AS46:BB46" si="53">AR46+AS45</f>
        <v>#REF!</v>
      </c>
      <c r="AT46" s="117" t="e">
        <f t="shared" si="53"/>
        <v>#REF!</v>
      </c>
      <c r="AU46" s="117" t="e">
        <f t="shared" si="53"/>
        <v>#REF!</v>
      </c>
      <c r="AV46" s="117" t="e">
        <f t="shared" si="53"/>
        <v>#REF!</v>
      </c>
      <c r="AW46" s="117" t="e">
        <f t="shared" si="53"/>
        <v>#REF!</v>
      </c>
      <c r="AX46" s="117" t="e">
        <f t="shared" si="53"/>
        <v>#REF!</v>
      </c>
      <c r="AY46" s="117" t="e">
        <f t="shared" si="53"/>
        <v>#REF!</v>
      </c>
      <c r="AZ46" s="117" t="e">
        <f t="shared" si="53"/>
        <v>#REF!</v>
      </c>
      <c r="BA46" s="117" t="e">
        <f t="shared" si="53"/>
        <v>#REF!</v>
      </c>
      <c r="BB46" s="117" t="e">
        <f t="shared" si="53"/>
        <v>#REF!</v>
      </c>
    </row>
    <row r="48" spans="3:54" x14ac:dyDescent="0.35">
      <c r="AP48">
        <v>-5000</v>
      </c>
      <c r="AQ48" s="117" t="e">
        <f>AQ45+5000</f>
        <v>#REF!</v>
      </c>
      <c r="AR48" s="117" t="e">
        <f>AR45</f>
        <v>#REF!</v>
      </c>
      <c r="AS48" s="117" t="e">
        <f>AS45</f>
        <v>#REF!</v>
      </c>
      <c r="AT48" s="117" t="e">
        <f>AT45</f>
        <v>#REF!</v>
      </c>
    </row>
    <row r="49" spans="43:46" x14ac:dyDescent="0.35">
      <c r="AQ49" s="117" t="e">
        <f>AP48+AQ48</f>
        <v>#REF!</v>
      </c>
      <c r="AR49" s="117" t="e">
        <f>AQ49+AR48</f>
        <v>#REF!</v>
      </c>
      <c r="AS49" s="117" t="e">
        <f>AR49+AS48</f>
        <v>#REF!</v>
      </c>
      <c r="AT49" s="117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24" customWidth="1"/>
    <col min="17" max="17" width="15.453125" style="124" customWidth="1"/>
    <col min="18" max="18" width="12.36328125" style="124" bestFit="1" customWidth="1"/>
    <col min="19" max="19" width="12.6328125" style="124" bestFit="1" customWidth="1"/>
    <col min="20" max="20" width="12.6328125" style="124" customWidth="1"/>
    <col min="21" max="21" width="13.36328125" style="124" bestFit="1" customWidth="1"/>
  </cols>
  <sheetData>
    <row r="2" spans="2:21" s="94" customFormat="1" ht="24" customHeight="1" x14ac:dyDescent="0.35">
      <c r="B2" s="94" t="s">
        <v>149</v>
      </c>
      <c r="P2" s="123"/>
      <c r="Q2" s="123"/>
      <c r="R2" s="123"/>
      <c r="S2" s="123"/>
      <c r="T2" s="123"/>
      <c r="U2" s="123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01" t="s">
        <v>6</v>
      </c>
      <c r="C4" s="101" t="s">
        <v>54</v>
      </c>
      <c r="D4" s="101" t="s">
        <v>20</v>
      </c>
      <c r="E4" s="101" t="s">
        <v>72</v>
      </c>
      <c r="F4" s="101" t="s">
        <v>73</v>
      </c>
      <c r="G4" s="101" t="s">
        <v>77</v>
      </c>
      <c r="H4" s="101" t="s">
        <v>74</v>
      </c>
      <c r="I4" s="101" t="s">
        <v>75</v>
      </c>
      <c r="J4" s="101" t="s">
        <v>76</v>
      </c>
      <c r="K4" s="101" t="s">
        <v>78</v>
      </c>
      <c r="L4" s="101" t="s">
        <v>79</v>
      </c>
      <c r="M4" s="101" t="s">
        <v>80</v>
      </c>
      <c r="N4" s="101" t="s">
        <v>60</v>
      </c>
      <c r="P4" s="125" t="s">
        <v>151</v>
      </c>
      <c r="Q4" s="125" t="s">
        <v>152</v>
      </c>
      <c r="R4" s="125" t="s">
        <v>144</v>
      </c>
      <c r="S4" s="125" t="s">
        <v>87</v>
      </c>
      <c r="T4" s="125" t="s">
        <v>153</v>
      </c>
      <c r="U4" s="125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25" t="e">
        <f>'Preise Output'!#REF!</f>
        <v>#REF!</v>
      </c>
      <c r="Q5" s="125" t="e">
        <f>SUM(F5:G5)</f>
        <v>#REF!</v>
      </c>
      <c r="R5" s="125" t="e">
        <f>H5+I5*2+J5*3+M5*3+N5</f>
        <v>#REF!</v>
      </c>
      <c r="S5" s="125" t="e">
        <f>'Preise Output'!#REF!</f>
        <v>#REF!</v>
      </c>
      <c r="T5" s="125" t="e">
        <f>SUM(Q5:S5)</f>
        <v>#REF!</v>
      </c>
      <c r="U5" s="125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25" t="e">
        <f>'Preise Output'!#REF!</f>
        <v>#REF!</v>
      </c>
      <c r="Q6" s="125" t="e">
        <f>SUM(F6:G6)</f>
        <v>#REF!</v>
      </c>
      <c r="R6" s="125" t="e">
        <f>H6+I6*2+J6*3+M6*3+N6</f>
        <v>#REF!</v>
      </c>
      <c r="S6" s="125" t="e">
        <f>'Preise Output'!#REF!</f>
        <v>#REF!</v>
      </c>
      <c r="T6" s="125" t="e">
        <f t="shared" ref="T6:T27" si="0">SUM(Q6:S6)</f>
        <v>#REF!</v>
      </c>
      <c r="U6" s="125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25" t="e">
        <f>'Preise Output'!#REF!</f>
        <v>#REF!</v>
      </c>
      <c r="Q7" s="125" t="e">
        <f>SUM(F7:G7)</f>
        <v>#REF!</v>
      </c>
      <c r="R7" s="125" t="e">
        <f>H7+I7*2+J7*3+M7*3+N7</f>
        <v>#REF!</v>
      </c>
      <c r="S7" s="125" t="e">
        <f>'Preise Output'!#REF!</f>
        <v>#REF!</v>
      </c>
      <c r="T7" s="125" t="e">
        <f t="shared" si="0"/>
        <v>#REF!</v>
      </c>
      <c r="U7" s="125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25"/>
      <c r="Q8" s="125"/>
      <c r="R8" s="125"/>
      <c r="S8" s="125"/>
      <c r="T8" s="125"/>
      <c r="U8" s="125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25" t="e">
        <f>'Preise Output'!#REF!</f>
        <v>#REF!</v>
      </c>
      <c r="Q9" s="125" t="e">
        <f>SUM(F9:G9)</f>
        <v>#REF!</v>
      </c>
      <c r="R9" s="125" t="e">
        <f>H9+I9*2+J9*3+M9*3+N9</f>
        <v>#REF!</v>
      </c>
      <c r="S9" s="125" t="e">
        <f>'Preise Output'!#REF!</f>
        <v>#REF!</v>
      </c>
      <c r="T9" s="125" t="e">
        <f t="shared" ref="T9" si="2">SUM(Q9:S9)</f>
        <v>#REF!</v>
      </c>
      <c r="U9" s="125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25" t="e">
        <f>'Preise Output'!#REF!</f>
        <v>#REF!</v>
      </c>
      <c r="Q10" s="125" t="e">
        <f t="shared" ref="Q10:Q13" si="4">SUM(F10:G10)</f>
        <v>#REF!</v>
      </c>
      <c r="R10" s="125" t="e">
        <f>H10+I10*2+J10*3+M10*3+N10</f>
        <v>#REF!</v>
      </c>
      <c r="S10" s="125" t="e">
        <f>'Preise Output'!#REF!</f>
        <v>#REF!</v>
      </c>
      <c r="T10" s="125" t="e">
        <f t="shared" si="0"/>
        <v>#REF!</v>
      </c>
      <c r="U10" s="125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25">
        <f>'Preise Output'!I19</f>
        <v>0</v>
      </c>
      <c r="Q11" s="125" t="e">
        <f t="shared" si="4"/>
        <v>#N/A</v>
      </c>
      <c r="R11" s="125" t="e">
        <f>H11+I11*2+J11*3+M11*3+N11</f>
        <v>#N/A</v>
      </c>
      <c r="S11" s="125">
        <f>'Preise Output'!L19</f>
        <v>0</v>
      </c>
      <c r="T11" s="125" t="e">
        <f t="shared" si="0"/>
        <v>#N/A</v>
      </c>
      <c r="U11" s="125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25">
        <f>'Preise Output'!I20</f>
        <v>0</v>
      </c>
      <c r="Q12" s="125" t="e">
        <f t="shared" si="4"/>
        <v>#N/A</v>
      </c>
      <c r="R12" s="125" t="e">
        <f>H12+I12*2+J12*3+M12*3+N12+L12*3+K12*3</f>
        <v>#N/A</v>
      </c>
      <c r="S12" s="125">
        <f>'Preise Output'!L20</f>
        <v>0</v>
      </c>
      <c r="T12" s="125" t="e">
        <f t="shared" ref="T12:T13" si="5">SUM(Q12:S12)</f>
        <v>#N/A</v>
      </c>
      <c r="U12" s="125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25">
        <f>'Preise Output'!I21</f>
        <v>0</v>
      </c>
      <c r="Q13" s="125" t="e">
        <f t="shared" si="4"/>
        <v>#N/A</v>
      </c>
      <c r="R13" s="125" t="e">
        <f>H13+I13*2+J13*3+M13*3+N13+L13*3+K13*3</f>
        <v>#N/A</v>
      </c>
      <c r="S13" s="125">
        <f>'Preise Output'!L21</f>
        <v>0</v>
      </c>
      <c r="T13" s="125" t="e">
        <f t="shared" si="5"/>
        <v>#N/A</v>
      </c>
      <c r="U13" s="125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25">
        <f>'Preise Output'!I22</f>
        <v>0</v>
      </c>
      <c r="Q14" s="125" t="e">
        <f t="shared" ref="Q14" si="7">SUM(F14:G14)</f>
        <v>#N/A</v>
      </c>
      <c r="R14" s="125" t="e">
        <f>H14+I14*2+J14*3+M14*3+N14+L14*3+K14*3</f>
        <v>#N/A</v>
      </c>
      <c r="S14" s="125">
        <f>'Preise Output'!L22</f>
        <v>0</v>
      </c>
      <c r="T14" s="125" t="e">
        <f t="shared" ref="T14" si="8">SUM(Q14:S14)</f>
        <v>#N/A</v>
      </c>
      <c r="U14" s="125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25">
        <f>'Preise Output'!I23</f>
        <v>0</v>
      </c>
      <c r="Q15" s="125" t="e">
        <f>F15*36+G15+E15</f>
        <v>#N/A</v>
      </c>
      <c r="R15" s="125" t="e">
        <f>H15+I15*2+J15*3+M15*3+N15</f>
        <v>#N/A</v>
      </c>
      <c r="S15" s="125">
        <f>'Preise Output'!L23</f>
        <v>0</v>
      </c>
      <c r="T15" s="125" t="e">
        <f t="shared" si="0"/>
        <v>#N/A</v>
      </c>
      <c r="U15" s="125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25">
        <f>'Preise Output'!I24</f>
        <v>28875.000000000004</v>
      </c>
      <c r="Q16" s="125" t="e">
        <f>SUM(F16:G16)</f>
        <v>#N/A</v>
      </c>
      <c r="R16" s="125" t="e">
        <f t="shared" ref="R16:R26" si="10">H16+I16*2+J16*3+M16*3+N16</f>
        <v>#N/A</v>
      </c>
      <c r="S16" s="125">
        <f>'Preise Output'!L24</f>
        <v>0</v>
      </c>
      <c r="T16" s="125" t="e">
        <f t="shared" si="0"/>
        <v>#N/A</v>
      </c>
      <c r="U16" s="125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25" t="e">
        <f>'Preise Output'!#REF!</f>
        <v>#REF!</v>
      </c>
      <c r="Q17" s="125" t="e">
        <f t="shared" ref="Q17:Q26" si="11">F17*36+G17</f>
        <v>#REF!</v>
      </c>
      <c r="R17" s="125" t="e">
        <f t="shared" si="10"/>
        <v>#REF!</v>
      </c>
      <c r="S17" s="125" t="e">
        <f>'Preise Output'!#REF!</f>
        <v>#REF!</v>
      </c>
      <c r="T17" s="125" t="e">
        <f t="shared" si="0"/>
        <v>#REF!</v>
      </c>
      <c r="U17" s="125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25" t="e">
        <f>'Preise Output'!#REF!</f>
        <v>#REF!</v>
      </c>
      <c r="Q18" s="125" t="e">
        <f t="shared" si="11"/>
        <v>#REF!</v>
      </c>
      <c r="R18" s="125" t="e">
        <f t="shared" si="10"/>
        <v>#REF!</v>
      </c>
      <c r="S18" s="125" t="e">
        <f>'Preise Output'!#REF!</f>
        <v>#REF!</v>
      </c>
      <c r="T18" s="125" t="e">
        <f t="shared" si="0"/>
        <v>#REF!</v>
      </c>
      <c r="U18" s="125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25" t="e">
        <f>'Preise Output'!#REF!</f>
        <v>#REF!</v>
      </c>
      <c r="Q19" s="125" t="e">
        <f t="shared" si="11"/>
        <v>#REF!</v>
      </c>
      <c r="R19" s="125" t="e">
        <f t="shared" si="10"/>
        <v>#REF!</v>
      </c>
      <c r="S19" s="125" t="e">
        <f>'Preise Output'!#REF!</f>
        <v>#REF!</v>
      </c>
      <c r="T19" s="125" t="e">
        <f t="shared" si="0"/>
        <v>#REF!</v>
      </c>
      <c r="U19" s="125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25" t="e">
        <f>'Preise Output'!#REF!</f>
        <v>#REF!</v>
      </c>
      <c r="Q20" s="125" t="e">
        <f t="shared" si="11"/>
        <v>#REF!</v>
      </c>
      <c r="R20" s="125" t="e">
        <f t="shared" si="10"/>
        <v>#REF!</v>
      </c>
      <c r="S20" s="125" t="e">
        <f>'Preise Output'!#REF!</f>
        <v>#REF!</v>
      </c>
      <c r="T20" s="125" t="e">
        <f t="shared" si="0"/>
        <v>#REF!</v>
      </c>
      <c r="U20" s="125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25" t="e">
        <f>'Preise Output'!#REF!</f>
        <v>#REF!</v>
      </c>
      <c r="Q21" s="125" t="e">
        <f t="shared" si="11"/>
        <v>#REF!</v>
      </c>
      <c r="R21" s="125" t="e">
        <f t="shared" si="10"/>
        <v>#REF!</v>
      </c>
      <c r="S21" s="125" t="e">
        <f>'Preise Output'!#REF!</f>
        <v>#REF!</v>
      </c>
      <c r="T21" s="125" t="e">
        <f t="shared" si="0"/>
        <v>#REF!</v>
      </c>
      <c r="U21" s="125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25" t="e">
        <f>'Preise Output'!#REF!</f>
        <v>#REF!</v>
      </c>
      <c r="Q22" s="125" t="e">
        <f t="shared" si="11"/>
        <v>#REF!</v>
      </c>
      <c r="R22" s="125" t="e">
        <f t="shared" si="10"/>
        <v>#REF!</v>
      </c>
      <c r="S22" s="125" t="e">
        <f>'Preise Output'!#REF!</f>
        <v>#REF!</v>
      </c>
      <c r="T22" s="125" t="e">
        <f t="shared" si="0"/>
        <v>#REF!</v>
      </c>
      <c r="U22" s="125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25" t="e">
        <f>'Preise Output'!#REF!</f>
        <v>#REF!</v>
      </c>
      <c r="Q23" s="125" t="e">
        <f t="shared" ref="Q23:Q24" si="12">SUM(F23:G23)</f>
        <v>#REF!</v>
      </c>
      <c r="R23" s="125" t="e">
        <f>H23+I23*2+J23*3+M23*3+N23+L23*3+K23*3</f>
        <v>#REF!</v>
      </c>
      <c r="S23" s="125" t="e">
        <f>'Preise Output'!#REF!</f>
        <v>#REF!</v>
      </c>
      <c r="T23" s="125" t="e">
        <f t="shared" si="0"/>
        <v>#REF!</v>
      </c>
      <c r="U23" s="125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25" t="e">
        <f>'Preise Output'!#REF!</f>
        <v>#REF!</v>
      </c>
      <c r="Q24" s="125" t="e">
        <f t="shared" si="12"/>
        <v>#REF!</v>
      </c>
      <c r="R24" s="125" t="e">
        <f>H24+I24*2+J24*3+M24*3+N24+L24*3+K24*3</f>
        <v>#REF!</v>
      </c>
      <c r="S24" s="125" t="e">
        <f>'Preise Output'!#REF!</f>
        <v>#REF!</v>
      </c>
      <c r="T24" s="125" t="e">
        <f t="shared" si="0"/>
        <v>#REF!</v>
      </c>
      <c r="U24" s="125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25" t="e">
        <f>'Preise Output'!#REF!</f>
        <v>#REF!</v>
      </c>
      <c r="Q25" s="125" t="e">
        <f t="shared" si="11"/>
        <v>#REF!</v>
      </c>
      <c r="R25" s="125" t="e">
        <f t="shared" si="10"/>
        <v>#REF!</v>
      </c>
      <c r="S25" s="125" t="e">
        <f>'Preise Output'!#REF!</f>
        <v>#REF!</v>
      </c>
      <c r="T25" s="125" t="e">
        <f t="shared" si="0"/>
        <v>#REF!</v>
      </c>
      <c r="U25" s="125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25" t="e">
        <f>'Preise Output'!#REF!</f>
        <v>#REF!</v>
      </c>
      <c r="Q26" s="125" t="e">
        <f t="shared" si="11"/>
        <v>#REF!</v>
      </c>
      <c r="R26" s="125" t="e">
        <f t="shared" si="10"/>
        <v>#REF!</v>
      </c>
      <c r="S26" s="125" t="e">
        <f>'Preise Output'!#REF!</f>
        <v>#REF!</v>
      </c>
      <c r="T26" s="125" t="e">
        <f t="shared" si="0"/>
        <v>#REF!</v>
      </c>
      <c r="U26" s="125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26" t="e">
        <f>SUM(P5:P26)</f>
        <v>#REF!</v>
      </c>
      <c r="Q27" s="126" t="e">
        <f>SUM(Q5:Q26)</f>
        <v>#REF!</v>
      </c>
      <c r="R27" s="126" t="e">
        <f>SUM(R5:R26)</f>
        <v>#REF!</v>
      </c>
      <c r="S27" s="126" t="e">
        <f>SUM(S5:S26)</f>
        <v>#REF!</v>
      </c>
      <c r="T27" s="127" t="e">
        <f t="shared" si="0"/>
        <v>#REF!</v>
      </c>
      <c r="U27" s="127" t="e">
        <f t="shared" si="1"/>
        <v>#REF!</v>
      </c>
      <c r="V27" s="129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28" t="e">
        <f t="shared" ref="P28:U28" si="13">ROUND(P27,-3)</f>
        <v>#REF!</v>
      </c>
      <c r="Q28" s="128" t="e">
        <f t="shared" si="13"/>
        <v>#REF!</v>
      </c>
      <c r="R28" s="128" t="e">
        <f t="shared" si="13"/>
        <v>#REF!</v>
      </c>
      <c r="S28" s="128" t="e">
        <f t="shared" si="13"/>
        <v>#REF!</v>
      </c>
      <c r="T28" s="128" t="e">
        <f t="shared" si="13"/>
        <v>#REF!</v>
      </c>
      <c r="U28" s="128" t="e">
        <f t="shared" si="13"/>
        <v>#REF!</v>
      </c>
      <c r="V28" s="128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199" t="s">
        <v>166</v>
      </c>
      <c r="C17" s="8"/>
      <c r="D17" s="8" t="s">
        <v>182</v>
      </c>
      <c r="E17" s="103" t="s">
        <v>262</v>
      </c>
      <c r="F17" s="114" t="s">
        <v>183</v>
      </c>
    </row>
    <row r="18" spans="2:12" x14ac:dyDescent="0.35">
      <c r="B18" s="3" t="s">
        <v>167</v>
      </c>
      <c r="C18" s="107">
        <v>15</v>
      </c>
      <c r="D18" s="107"/>
      <c r="E18" s="107"/>
      <c r="F18" s="107">
        <v>15</v>
      </c>
      <c r="H18" s="151"/>
    </row>
    <row r="19" spans="2:12" x14ac:dyDescent="0.35">
      <c r="B19" s="3" t="s">
        <v>168</v>
      </c>
      <c r="C19" s="108">
        <v>20</v>
      </c>
      <c r="D19" s="108"/>
      <c r="E19" s="108"/>
      <c r="F19" s="108">
        <v>20</v>
      </c>
      <c r="H19" s="151"/>
      <c r="I19" s="30"/>
      <c r="J19" s="30"/>
      <c r="K19" s="30"/>
      <c r="L19" s="30"/>
    </row>
    <row r="20" spans="2:12" x14ac:dyDescent="0.35">
      <c r="B20" s="3" t="s">
        <v>169</v>
      </c>
      <c r="C20" s="108">
        <v>30</v>
      </c>
      <c r="D20" s="108">
        <v>50</v>
      </c>
      <c r="E20" s="108">
        <v>30</v>
      </c>
      <c r="F20" s="108">
        <v>40</v>
      </c>
      <c r="G20" s="205">
        <v>50</v>
      </c>
      <c r="H20" s="151"/>
      <c r="I20" s="108">
        <v>45</v>
      </c>
      <c r="J20" s="30"/>
      <c r="K20" s="30"/>
      <c r="L20" s="30"/>
    </row>
    <row r="21" spans="2:12" x14ac:dyDescent="0.35">
      <c r="B21" s="3" t="s">
        <v>7</v>
      </c>
      <c r="C21" s="108">
        <v>35</v>
      </c>
      <c r="D21" s="108">
        <v>60</v>
      </c>
      <c r="E21" s="108">
        <v>35</v>
      </c>
      <c r="F21" s="108">
        <v>47.5</v>
      </c>
      <c r="G21" s="205">
        <v>60</v>
      </c>
      <c r="H21" s="151"/>
      <c r="I21" s="108">
        <v>55</v>
      </c>
    </row>
    <row r="22" spans="2:12" x14ac:dyDescent="0.35">
      <c r="B22" s="3" t="s">
        <v>170</v>
      </c>
      <c r="C22" s="108">
        <v>50</v>
      </c>
      <c r="D22" s="108">
        <v>75</v>
      </c>
      <c r="E22" s="108">
        <v>45</v>
      </c>
      <c r="F22" s="108">
        <v>65</v>
      </c>
      <c r="G22" s="205">
        <v>75</v>
      </c>
      <c r="H22" s="151"/>
      <c r="I22" s="108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69FA99-1AFE-4670-88E1-2BDDDF27AD85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2024-06-21T13:01:52Z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