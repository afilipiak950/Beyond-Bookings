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30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Gasthof Lerner/"/>
    </mc:Choice>
  </mc:AlternateContent>
  <xr:revisionPtr revIDLastSave="92" documentId="8_{207F9823-9F7A-439A-86BD-E629EE244269}" xr6:coauthVersionLast="47" xr6:coauthVersionMax="47" xr10:uidLastSave="{9C56A7DE-52EE-4C8D-89D5-C2DC3513FAFC}"/>
  <bookViews>
    <workbookView xWindow="-110" yWindow="-110" windowWidth="19420" windowHeight="10300" activeTab="2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6" i="1" l="1"/>
  <c r="F10" i="1"/>
  <c r="B27" i="8"/>
  <c r="B26" i="8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F26" i="8" s="1"/>
  <c r="C26" i="8" s="1"/>
  <c r="C32" i="8" s="1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J24" i="1" l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<sst xmlns="http://schemas.openxmlformats.org/spreadsheetml/2006/main" count="512" uniqueCount="299">
  <si>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</si>
  <si>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</si>
  <si>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</si>
  <si>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</si>
  <si>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</si>
  <si>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</si>
  <si>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</si>
  <si>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</si>
  <si>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</si>
  <si>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</si>
  <si>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</si>
  <si>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</si>
  <si>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</si>
  <si>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</si>
  <si>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</si>
  <si>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</si>
  <si>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</si>
  <si>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</si>
  <si>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</si>
  <si>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</si>
  <si>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</si>
  <si>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</si>
  <si>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</si>
  <si>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</si>
  <si>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</si>
  <si>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</si>
  <si>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</si>
  <si>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</si>
  <si>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</si>
  <si>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</si>
  <si>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</si>
  <si>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</si>
  <si>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</si>
  <si>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</si>
  <si>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</si>
  <si>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</si>
  <si>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</si>
  <si>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</si>
  <si>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</si>
  <si>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</si>
  <si>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</si>
  <si>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</si>
  <si>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</si>
  <si>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</si>
  <si>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</si>
  <si>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</si>
  <si>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</si>
  <si>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</si>
  <si>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</si>
  <si>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</si>
  <si>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</si>
  <si>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</si>
  <si>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</si>
  <si>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</si>
  <si>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</si>
  <si>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</si>
  <si>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</si>
  <si>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</si>
  <si>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</si>
  <si>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</si>
  <si>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</si>
  <si>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</si>
  <si>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</si>
  <si>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</si>
  <si>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</si>
  <si>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</si>
  <si>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</si>
  <si>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</si>
  <si>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</si>
  <si>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</si>
  <si>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</si>
  <si>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</si>
  <si>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</si>
  <si>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</si>
  <si>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</si>
  <si>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</si>
  <si>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</si>
  <si>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</si>
  <si>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</si>
  <si>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</si>
  <si>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</si>
  <si>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</si>
  <si>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</si>
  <si>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</si>
  <si>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</si>
  <si>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</si>
  <si>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</si>
  <si>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</si>
  <si>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</si>
  <si>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</si>
  <si>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</si>
  <si>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</si>
  <si>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</si>
  <si>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</si>
  <si>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</si>
  <si>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</si>
  <si>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</si>
  <si>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</si>
  <si>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</si>
  <si>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</si>
  <si>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</si>
  <si>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</si>
  <si>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</si>
  <si>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</si>
  <si>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</si>
  <si>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</si>
  <si>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</si>
  <si>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</si>
  <si>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</si>
  <si>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</si>
  <si>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</si>
  <si>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</si>
  <si>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</si>
  <si>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</si>
  <si>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</si>
  <si>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</si>
  <si>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</si>
  <si>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</si>
  <si>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</si>
  <si>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</si>
  <si>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</si>
  <si>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</si>
  <si>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</si>
  <si>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</si>
  <si>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</si>
  <si>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</si>
  <si>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</si>
  <si>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</si>
  <si>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</si>
  <si>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</si>
  <si>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</si>
  <si>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</si>
  <si>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</si>
  <si>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</si>
  <si>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</si>
  <si>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</si>
  <si>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</si>
  <si>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</si>
  <si>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</si>
  <si>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</si>
  <si>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</si>
  <si>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</si>
  <si>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</si>
  <si>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</si>
  <si>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</si>
  <si>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</si>
  <si>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</si>
  <si>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</si>
  <si>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</si>
  <si>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</si>
  <si>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</si>
  <si>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</si>
  <si>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</si>
  <si>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</si>
  <si>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</si>
  <si>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</si>
  <si>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</si>
  <si>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</si>
  <si>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</si>
  <si>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</si>
  <si>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</si>
  <si>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</si>
  <si>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</si>
  <si>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</si>
  <si>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</si>
  <si>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</si>
  <si>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</si>
  <si>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</si>
  <si>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</si>
  <si>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</si>
  <si>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</si>
  <si>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</si>
  <si>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</si>
  <si>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</si>
  <si>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</si>
  <si>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</si>
  <si>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</si>
  <si>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</si>
  <si>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</si>
  <si>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</si>
  <si>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</si>
  <si>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</si>
  <si>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</si>
  <si>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</si>
  <si>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</si>
  <si>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</si>
  <si>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</si>
  <si>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</si>
  <si>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</si>
  <si>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</si>
  <si>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</si>
  <si>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</si>
  <si>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</si>
  <si>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</si>
  <si>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</si>
  <si>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</si>
  <si>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</si>
  <si>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</si>
  <si>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</si>
  <si>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</si>
  <si>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</si>
  <si>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</si>
  <si>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</si>
  <si>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</si>
  <si>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</si>
  <si>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</si>
  <si>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</si>
  <si>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</si>
  <si>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</si>
  <si>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</si>
  <si>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</si>
  <si>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</si>
  <si>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</si>
  <si>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</si>
  <si>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</si>
  <si>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</si>
  <si>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</si>
  <si>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</si>
  <si>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</si>
  <si>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</si>
  <si>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</si>
  <si>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</si>
  <si>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</si>
  <si>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</si>
  <si>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</si>
  <si>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</si>
  <si>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</si>
  <si>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</si>
  <si>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</si>
  <si>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</si>
  <si>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</si>
  <si>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</si>
  <si>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</si>
  <si>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</si>
  <si>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</si>
  <si>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</si>
  <si>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</si>
  <si>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</si>
  <si>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</si>
  <si>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</si>
  <si>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</si>
  <si>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</si>
  <si>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</si>
  <si>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</si>
  <si>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</si>
  <si>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</si>
  <si>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</si>
  <si>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</si>
  <si>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</si>
  <si>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</si>
  <si>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</si>
  <si>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</si>
  <si>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</si>
  <si>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</si>
  <si>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</si>
  <si>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</si>
  <si>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</si>
  <si>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</si>
  <si>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</si>
  <si>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</si>
  <si>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</si>
  <si>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</si>
  <si>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</si>
  <si>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</si>
  <si>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</si>
  <si>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</si>
  <si>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</si>
  <si>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</si>
  <si>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</si>
  <si>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</si>
  <si>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</si>
  <si>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</si>
  <si>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</si>
  <si>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</si>
  <si>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</si>
  <si>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</si>
  <si>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</si>
  <si>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</si>
  <si>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</si>
  <si>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</si>
  <si>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</si>
  <si>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</si>
  <si>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</si>
  <si>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</si>
  <si>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</si>
  <si>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</si>
  <si>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</si>
  <si>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</si>
  <si>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</si>
  <si>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</si>
  <si>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</si>
  <si>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</si>
  <si>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</si>
  <si>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</si>
  <si>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</si>
  <si>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</si>
  <si>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 xml:space="preserve">Gasthof Lerner </t>
  </si>
  <si>
    <t>59 via Animod.unter anderem wegen nur Wochenende Do-So.</t>
  </si>
  <si>
    <t>35,59 ok. MB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</si>
</sst>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zoomScale="60" zoomScaleNormal="6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E27" sqref="E27"/>
    </sheetView>
  </sheetViews>
  <sheetFormatPr baseColWidth="10" defaultColWidth="10.54296875" defaultRowHeight="15" outlineLevelCol="2" x14ac:dyDescent="0.4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089843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45784</v>
      </c>
      <c r="E5" s="151" t="s">
        <v>5</v>
      </c>
      <c r="F5" s="153">
        <v>59</v>
      </c>
      <c r="G5" s="44" t="s">
        <v>297</v>
      </c>
      <c r="H5" s="218"/>
    </row>
    <row r="6" spans="1:32" x14ac:dyDescent="0.4">
      <c r="B6" s="48" t="s">
        <v>4</v>
      </c>
      <c r="C6" s="49" t="s">
        <v>296</v>
      </c>
      <c r="E6" s="152" t="s">
        <v>290</v>
      </c>
      <c r="F6" s="37">
        <f>C12*0.65</f>
        <v>78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169</v>
      </c>
      <c r="E7" s="154" t="s">
        <v>8</v>
      </c>
      <c r="F7" s="210">
        <v>35.590000000000003</v>
      </c>
      <c r="G7" s="37" t="s">
        <v>298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27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0.75</v>
      </c>
      <c r="E9" s="156" t="s">
        <v>246</v>
      </c>
      <c r="F9" s="157">
        <f>IFERROR(J26,"Bitte Produkt auswählen")</f>
        <v>0.2688815898900947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2463.75</v>
      </c>
      <c r="E10" s="152" t="s">
        <v>13</v>
      </c>
      <c r="F10" s="168">
        <f>F5*0.75</f>
        <v>44.25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369.5625</v>
      </c>
      <c r="E11" s="167" t="s">
        <v>14</v>
      </c>
      <c r="F11" s="242">
        <f>+I26</f>
        <v>13677.675000000001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120</v>
      </c>
      <c r="D12" s="61"/>
      <c r="E12" s="155" t="s">
        <v>243</v>
      </c>
      <c r="F12" s="241">
        <v>10000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5.9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5.9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281</v>
      </c>
      <c r="F24" s="76">
        <v>3</v>
      </c>
      <c r="G24" s="77">
        <f>F12*D24</f>
        <v>10000</v>
      </c>
      <c r="H24" s="77">
        <f>$E24*$F$10*1.1-$G24</f>
        <v>3677.6750000000011</v>
      </c>
      <c r="I24" s="77">
        <f>G24+H24</f>
        <v>13677.675000000001</v>
      </c>
      <c r="J24" s="78">
        <f t="shared" si="16"/>
        <v>0.2688815898900947</v>
      </c>
      <c r="K24" s="77">
        <v>0</v>
      </c>
      <c r="L24" s="77">
        <v>0</v>
      </c>
      <c r="M24" s="77">
        <f>G24*1.19-G24</f>
        <v>1900</v>
      </c>
      <c r="N24" s="77">
        <f t="shared" si="5"/>
        <v>590.62687500000004</v>
      </c>
      <c r="O24" s="77">
        <f>L24-M24-N24</f>
        <v>-2490.6268749999999</v>
      </c>
      <c r="P24" s="79">
        <f>IFERROR($H24-L24,"")</f>
        <v>3677.6750000000011</v>
      </c>
      <c r="Q24" s="78">
        <f>IFERROR(($H24-L24)/$I24,"")</f>
        <v>0.2688815898900947</v>
      </c>
      <c r="R24" s="80">
        <f>IFERROR((1-Q24)*F24,"")</f>
        <v>2.1933552303297157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281</v>
      </c>
      <c r="F26" s="89"/>
      <c r="G26" s="89">
        <f>SUBTOTAL(9,G19:G24)</f>
        <v>10000</v>
      </c>
      <c r="H26" s="89">
        <f>SUBTOTAL(9,H19:H24)</f>
        <v>3677.6750000000011</v>
      </c>
      <c r="I26" s="89">
        <f>SUBTOTAL(9,I19:I24)</f>
        <v>13677.675000000001</v>
      </c>
      <c r="J26" s="90">
        <f>H26/I26</f>
        <v>0.2688815898900947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1900</v>
      </c>
      <c r="N26" s="89">
        <f t="shared" si="25"/>
        <v>590.62687500000004</v>
      </c>
      <c r="O26" s="89">
        <f t="shared" si="25"/>
        <v>-2490.6268749999999</v>
      </c>
      <c r="P26" s="89">
        <f t="shared" si="25"/>
        <v>3677.6750000000011</v>
      </c>
      <c r="Q26" s="90">
        <f>($H26-L26)/$I26</f>
        <v>0.2688815898900947</v>
      </c>
      <c r="R26" s="91">
        <f>IFERROR((1-Q26)*F26,"")</f>
        <v>0</v>
      </c>
    </row>
    <row r="27" spans="2:32" x14ac:dyDescent="0.4">
      <c r="E27" s="221" t="str">
        <f>"Das enspricht "&amp;TEXT(E26/(C10),"0,0%") &amp; " des Leerstands p.a. über 3 Jahre."</f>
        <v>Das enspricht 11,4%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08984375" bestFit="1" customWidth="1"/>
    <col min="2" max="2" width="10.90625" hidden="1" customWidth="1"/>
    <col min="3" max="3" width="11.9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9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abSelected="1" topLeftCell="A19" zoomScale="80" zoomScaleNormal="80" workbookViewId="0">
      <selection activeCell="C31" sqref="C31"/>
    </sheetView>
  </sheetViews>
  <sheetFormatPr baseColWidth="10" defaultColWidth="8.54296875" defaultRowHeight="14" x14ac:dyDescent="0.4"/>
  <cols>
    <col min="1" max="1" width="3" style="97" customWidth="1"/>
    <col min="2" max="2" width="41" style="97" bestFit="1" customWidth="1"/>
    <col min="3" max="3" width="37.453125" style="234" bestFit="1" customWidth="1"/>
    <col min="4" max="5" width="8.54296875" style="97"/>
    <col min="6" max="6" width="11.90625" style="97" bestFit="1" customWidth="1"/>
    <col min="7" max="16384" width="8.54296875" style="97"/>
  </cols>
  <sheetData>
    <row r="2" spans="2:11" x14ac:dyDescent="0.4">
      <c r="B2" s="103" t="s">
        <v>51</v>
      </c>
      <c r="C2" s="225">
        <v>25</v>
      </c>
    </row>
    <row r="3" spans="2:11" x14ac:dyDescent="0.4">
      <c r="B3" s="103" t="s">
        <v>52</v>
      </c>
      <c r="C3" s="225">
        <v>45</v>
      </c>
    </row>
    <row r="4" spans="2:11" x14ac:dyDescent="0.4">
      <c r="B4" s="103" t="s">
        <v>53</v>
      </c>
      <c r="C4" s="226">
        <f>+C3-C2</f>
        <v>20</v>
      </c>
    </row>
    <row r="5" spans="2:11" ht="6" customHeight="1" x14ac:dyDescent="0.4">
      <c r="C5" s="227"/>
    </row>
    <row r="6" spans="2:11" x14ac:dyDescent="0.4">
      <c r="B6" s="103" t="s">
        <v>54</v>
      </c>
      <c r="C6" s="225" t="s">
        <v>264</v>
      </c>
    </row>
    <row r="7" spans="2:11" x14ac:dyDescent="0.4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281</v>
      </c>
    </row>
    <row r="9" spans="2:11" x14ac:dyDescent="0.4">
      <c r="B9" s="109" t="s">
        <v>56</v>
      </c>
      <c r="C9" s="228"/>
    </row>
    <row r="11" spans="2:11" ht="14.5" thickBot="1" x14ac:dyDescent="0.45">
      <c r="B11" s="106" t="s">
        <v>255</v>
      </c>
      <c r="C11" s="229">
        <f>C12</f>
        <v>8403.361344537816</v>
      </c>
    </row>
    <row r="12" spans="2:11" x14ac:dyDescent="0.4">
      <c r="B12" s="212" t="s">
        <v>285</v>
      </c>
      <c r="C12" s="230">
        <f>F13+F14</f>
        <v>8403.361344537816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32">
        <f>F14*E14</f>
        <v>1596.6386554621849</v>
      </c>
      <c r="E14" s="223">
        <v>0.19</v>
      </c>
      <c r="F14" s="162">
        <f>(F18-F13*(1+E13))/(1+E14)</f>
        <v>8403.361344537816</v>
      </c>
    </row>
    <row r="15" spans="2:11" hidden="1" x14ac:dyDescent="0.4">
      <c r="B15" s="105" t="s">
        <v>61</v>
      </c>
      <c r="C15" s="233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5"/>
      <c r="D17" s="97" t="s">
        <v>184</v>
      </c>
    </row>
    <row r="18" spans="2:8" x14ac:dyDescent="0.4">
      <c r="B18" s="100" t="s">
        <v>180</v>
      </c>
      <c r="C18" s="236">
        <f>SUM(C12:C14)</f>
        <v>10000</v>
      </c>
      <c r="F18" s="97">
        <f>'Preise Output'!G26</f>
        <v>10000</v>
      </c>
    </row>
    <row r="21" spans="2:8" x14ac:dyDescent="0.4">
      <c r="B21" s="109" t="s">
        <v>63</v>
      </c>
      <c r="C21" s="228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281 Gutscheine x 35,59€ je Gutschein</v>
      </c>
      <c r="C24" s="237">
        <f>IFERROR(C7*'Preise Output'!$F$7,"--")</f>
        <v>10000.790000000001</v>
      </c>
    </row>
    <row r="25" spans="2:8" x14ac:dyDescent="0.4">
      <c r="B25" s="97" t="str">
        <f>"Das enspricht "&amp;TEXT('Preise Output'!E26/('Preise Output'!C10),"0,0%") &amp; " des Leerstands p.a."</f>
        <v>Das enspricht 11,4% des Leerstands p.a.</v>
      </c>
      <c r="C25" s="231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4">
        <f>IFERROR(F26*E26,"--")</f>
        <v>601.70530000000008</v>
      </c>
      <c r="E26" s="223">
        <v>7.0000000000000007E-2</v>
      </c>
      <c r="F26" s="162">
        <f>C24-F27</f>
        <v>8595.7900000000009</v>
      </c>
    </row>
    <row r="27" spans="2:8" ht="14.5" thickBot="1" x14ac:dyDescent="0.45">
      <c r="B27" s="99" t="str">
        <f>"Mehrwertsteuer " &amp; TEXT(E27,"0%")</f>
        <v>Mehrwertsteuer 19%</v>
      </c>
      <c r="C27" s="234">
        <f>IFERROR(F27*E27,"--")</f>
        <v>266.95</v>
      </c>
      <c r="E27" s="223">
        <v>0.19</v>
      </c>
      <c r="F27" s="162">
        <f>G27*C7</f>
        <v>1405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20€ je Gutschein x 281 Roomnights</v>
      </c>
      <c r="C31" s="237">
        <f>C7*C4</f>
        <v>5620</v>
      </c>
    </row>
    <row r="32" spans="2:8" x14ac:dyDescent="0.4">
      <c r="B32" s="108" t="s">
        <v>293</v>
      </c>
      <c r="C32" s="229">
        <f>C26+C27</f>
        <v>868.65530000000012</v>
      </c>
    </row>
    <row r="33" spans="2:3" ht="14.5" thickBot="1" x14ac:dyDescent="0.45">
      <c r="B33" s="115" t="s">
        <v>288</v>
      </c>
      <c r="C33" s="238">
        <f>-(C13+C14)</f>
        <v>-1596.6386554621849</v>
      </c>
    </row>
    <row r="34" spans="2:3" x14ac:dyDescent="0.4">
      <c r="B34" s="96" t="s">
        <v>271</v>
      </c>
      <c r="C34" s="236">
        <f>SUM(C31:C33)</f>
        <v>4892.0166445378154</v>
      </c>
    </row>
    <row r="36" spans="2:3" x14ac:dyDescent="0.4">
      <c r="B36" s="102" t="s">
        <v>65</v>
      </c>
      <c r="C36" s="239">
        <f>C12-C34</f>
        <v>3511.3447000000006</v>
      </c>
    </row>
    <row r="37" spans="2:3" x14ac:dyDescent="0.4">
      <c r="B37" s="97" t="s">
        <v>289</v>
      </c>
      <c r="C37" s="240">
        <f>C36/C12</f>
        <v>0.41785001930000004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8403.361344537816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8403.361344537816</v>
      </c>
      <c r="R16" s="35">
        <f t="shared" si="4"/>
        <v>2801.120448179272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8403.361344537816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9843.361344537816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 x14ac:dyDescent="0.35"/>
  <cols>
    <col min="3" max="3" width="26.54296875" customWidth="1"/>
    <col min="4" max="4" width="12.089843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8430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8430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8430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8430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400.42500000000001</v>
      </c>
      <c r="F7" s="129">
        <f>IF($B$6=100%,(('Preise Output'!$F$10-INDEX(Annahmen!$B$18:$C$22,MATCH('Preise Output'!$C$7,Annahmen!$B$18:$B$22,0),2))*'Preise Output'!$E$26)/10,('Preise Output'!$E$26*'Preise Output'!$F$10-$D$6)/10)</f>
        <v>400.42500000000001</v>
      </c>
      <c r="G7" s="129">
        <f>IF($B$6=100%,(('Preise Output'!$F$10-INDEX(Annahmen!$B$18:$C$22,MATCH('Preise Output'!$C$7,Annahmen!$B$18:$B$22,0),2))*'Preise Output'!$E$26)/10,('Preise Output'!$E$26*'Preise Output'!$F$10-$D$6)/10)</f>
        <v>400.42500000000001</v>
      </c>
      <c r="H7" s="129">
        <f>IF($B$6=100%,(('Preise Output'!$F$10-INDEX(Annahmen!$B$18:$C$22,MATCH('Preise Output'!$C$7,Annahmen!$B$18:$B$22,0),2))*'Preise Output'!$E$26)/10,('Preise Output'!$E$26*'Preise Output'!$F$10-$D$6)/10)</f>
        <v>400.42500000000001</v>
      </c>
      <c r="I7" s="129">
        <f>IF($B$6=100%,(('Preise Output'!$F$10-INDEX(Annahmen!$B$18:$C$22,MATCH('Preise Output'!$C$7,Annahmen!$B$18:$B$22,0),2))*'Preise Output'!$E$26)/10,('Preise Output'!$E$26*'Preise Output'!$F$10-$D$6)/10)</f>
        <v>400.42500000000001</v>
      </c>
      <c r="J7" s="129">
        <f>IF($B$6=100%,(('Preise Output'!$F$10-INDEX(Annahmen!$B$18:$C$22,MATCH('Preise Output'!$C$7,Annahmen!$B$18:$B$22,0),2))*'Preise Output'!$E$26)/10,('Preise Output'!$E$26*'Preise Output'!$F$10-$D$6)/10)</f>
        <v>400.42500000000001</v>
      </c>
      <c r="K7" s="129">
        <f>IF($B$6=100%,(('Preise Output'!$F$10-INDEX(Annahmen!$B$18:$C$22,MATCH('Preise Output'!$C$7,Annahmen!$B$18:$B$22,0),2))*'Preise Output'!$E$26)/10,('Preise Output'!$E$26*'Preise Output'!$F$10-$D$6)/10)</f>
        <v>400.42500000000001</v>
      </c>
      <c r="L7" s="129">
        <f>IF($B$6=100%,(('Preise Output'!$F$10-INDEX(Annahmen!$B$18:$C$22,MATCH('Preise Output'!$C$7,Annahmen!$B$18:$B$22,0),2))*'Preise Output'!$E$26)/10,('Preise Output'!$E$26*'Preise Output'!$F$10-$D$6)/10)</f>
        <v>400.42500000000001</v>
      </c>
      <c r="M7" s="129">
        <f>IF($B$6=100%,(('Preise Output'!$F$10-INDEX(Annahmen!$B$18:$C$22,MATCH('Preise Output'!$C$7,Annahmen!$B$18:$B$22,0),2))*'Preise Output'!$E$26)/10,('Preise Output'!$E$26*'Preise Output'!$F$10-$D$6)/10)</f>
        <v>400.42500000000001</v>
      </c>
      <c r="N7" s="129">
        <f>IF($B$6=100%,(('Preise Output'!$F$10-INDEX(Annahmen!$B$18:$C$22,MATCH('Preise Output'!$C$7,Annahmen!$B$18:$B$22,0),2))*'Preise Output'!$E$26)/10,('Preise Output'!$E$26*'Preise Output'!$F$10-$D$6)/10)</f>
        <v>400.42500000000001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400.42500000000001</v>
      </c>
      <c r="R7" s="129">
        <f>IF($B$6=100%,(('Preise Output'!$F$10-INDEX(Annahmen!$B$18:$C$22,MATCH('Preise Output'!$C$7,Annahmen!$B$18:$B$22,0),2))*'Preise Output'!$E$26)/10,('Preise Output'!$E$26*'Preise Output'!$F$10-$D$6)/10)</f>
        <v>400.42500000000001</v>
      </c>
      <c r="S7" s="129">
        <f>IF($B$6=100%,(('Preise Output'!$F$10-INDEX(Annahmen!$B$18:$C$22,MATCH('Preise Output'!$C$7,Annahmen!$B$18:$B$22,0),2))*'Preise Output'!$E$26)/10,('Preise Output'!$E$26*'Preise Output'!$F$10-$D$6)/10)</f>
        <v>400.42500000000001</v>
      </c>
      <c r="T7" s="129">
        <f>IF($B$6=100%,(('Preise Output'!$F$10-INDEX(Annahmen!$B$18:$C$22,MATCH('Preise Output'!$C$7,Annahmen!$B$18:$B$22,0),2))*'Preise Output'!$E$26)/10,('Preise Output'!$E$26*'Preise Output'!$F$10-$D$6)/10)</f>
        <v>400.42500000000001</v>
      </c>
      <c r="U7" s="129">
        <f>IF($B$6=100%,(('Preise Output'!$F$10-INDEX(Annahmen!$B$18:$C$22,MATCH('Preise Output'!$C$7,Annahmen!$B$18:$B$22,0),2))*'Preise Output'!$E$26)/10,('Preise Output'!$E$26*'Preise Output'!$F$10-$D$6)/10)</f>
        <v>400.42500000000001</v>
      </c>
      <c r="V7" s="129">
        <f>IF($B$6=100%,(('Preise Output'!$F$10-INDEX(Annahmen!$B$18:$C$22,MATCH('Preise Output'!$C$7,Annahmen!$B$18:$B$22,0),2))*'Preise Output'!$E$26)/10,('Preise Output'!$E$26*'Preise Output'!$F$10-$D$6)/10)</f>
        <v>400.42500000000001</v>
      </c>
      <c r="W7" s="129">
        <f>IF($B$6=100%,(('Preise Output'!$F$10-INDEX(Annahmen!$B$18:$C$22,MATCH('Preise Output'!$C$7,Annahmen!$B$18:$B$22,0),2))*'Preise Output'!$E$26)/10,('Preise Output'!$E$26*'Preise Output'!$F$10-$D$6)/10)</f>
        <v>400.42500000000001</v>
      </c>
      <c r="X7" s="129">
        <f>IF($B$6=100%,(('Preise Output'!$F$10-INDEX(Annahmen!$B$18:$C$22,MATCH('Preise Output'!$C$7,Annahmen!$B$18:$B$22,0),2))*'Preise Output'!$E$26)/10,('Preise Output'!$E$26*'Preise Output'!$F$10-$D$6)/10)</f>
        <v>400.42500000000001</v>
      </c>
      <c r="Y7" s="129">
        <f>IF($B$6=100%,(('Preise Output'!$F$10-INDEX(Annahmen!$B$18:$C$22,MATCH('Preise Output'!$C$7,Annahmen!$B$18:$B$22,0),2))*'Preise Output'!$E$26)/10,('Preise Output'!$E$26*'Preise Output'!$F$10-$D$6)/10)</f>
        <v>400.42500000000001</v>
      </c>
      <c r="Z7" s="129">
        <f>IF($B$6=100%,(('Preise Output'!$F$10-INDEX(Annahmen!$B$18:$C$22,MATCH('Preise Output'!$C$7,Annahmen!$B$18:$B$22,0),2))*'Preise Output'!$E$26)/10,('Preise Output'!$E$26*'Preise Output'!$F$10-$D$6)/10)</f>
        <v>400.42500000000001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400.42500000000001</v>
      </c>
      <c r="AD7" s="129">
        <f>IF($B$6=100%,(('Preise Output'!$F$10-INDEX(Annahmen!$B$18:$C$22,MATCH('Preise Output'!$C$7,Annahmen!$B$18:$B$22,0),2))*'Preise Output'!$E$26)/10,('Preise Output'!$E$26*'Preise Output'!$F$10-$D$6)/10)</f>
        <v>400.42500000000001</v>
      </c>
      <c r="AE7" s="129">
        <f>IF($B$6=100%,(('Preise Output'!$F$10-INDEX(Annahmen!$B$18:$C$22,MATCH('Preise Output'!$C$7,Annahmen!$B$18:$B$22,0),2))*'Preise Output'!$E$26)/10,('Preise Output'!$E$26*'Preise Output'!$F$10-$D$6)/10)</f>
        <v>400.42500000000001</v>
      </c>
      <c r="AF7" s="129">
        <f>IF($B$6=100%,(('Preise Output'!$F$10-INDEX(Annahmen!$B$18:$C$22,MATCH('Preise Output'!$C$7,Annahmen!$B$18:$B$22,0),2))*'Preise Output'!$E$26)/10,('Preise Output'!$E$26*'Preise Output'!$F$10-$D$6)/10)</f>
        <v>400.42500000000001</v>
      </c>
      <c r="AG7" s="129">
        <f>IF($B$6=100%,(('Preise Output'!$F$10-INDEX(Annahmen!$B$18:$C$22,MATCH('Preise Output'!$C$7,Annahmen!$B$18:$B$22,0),2))*'Preise Output'!$E$26)/10,('Preise Output'!$E$26*'Preise Output'!$F$10-$D$6)/10)</f>
        <v>400.42500000000001</v>
      </c>
      <c r="AH7" s="129">
        <f>IF($B$6=100%,(('Preise Output'!$F$10-INDEX(Annahmen!$B$18:$C$22,MATCH('Preise Output'!$C$7,Annahmen!$B$18:$B$22,0),2))*'Preise Output'!$E$26)/10,('Preise Output'!$E$26*'Preise Output'!$F$10-$D$6)/10)</f>
        <v>400.42500000000001</v>
      </c>
      <c r="AI7" s="129">
        <f>IF($B$6=100%,(('Preise Output'!$F$10-INDEX(Annahmen!$B$18:$C$22,MATCH('Preise Output'!$C$7,Annahmen!$B$18:$B$22,0),2))*'Preise Output'!$E$26)/10,('Preise Output'!$E$26*'Preise Output'!$F$10-$D$6)/10)</f>
        <v>400.42500000000001</v>
      </c>
      <c r="AJ7" s="129">
        <f>IF($B$6=100%,(('Preise Output'!$F$10-INDEX(Annahmen!$B$18:$C$22,MATCH('Preise Output'!$C$7,Annahmen!$B$18:$B$22,0),2))*'Preise Output'!$E$26)/10,('Preise Output'!$E$26*'Preise Output'!$F$10-$D$6)/10)</f>
        <v>400.42500000000001</v>
      </c>
      <c r="AK7" s="129">
        <f>IF($B$6=100%,(('Preise Output'!$F$10-INDEX(Annahmen!$B$18:$C$22,MATCH('Preise Output'!$C$7,Annahmen!$B$18:$B$22,0),2))*'Preise Output'!$E$26)/10,('Preise Output'!$E$26*'Preise Output'!$F$10-$D$6)/10)</f>
        <v>400.42500000000001</v>
      </c>
      <c r="AL7" s="129">
        <f>IF($B$6=100%,(('Preise Output'!$F$10-INDEX(Annahmen!$B$18:$C$22,MATCH('Preise Output'!$C$7,Annahmen!$B$18:$B$22,0),2))*'Preise Output'!$E$26)/10,('Preise Output'!$E$26*'Preise Output'!$F$10-$D$6)/10)</f>
        <v>400.42500000000001</v>
      </c>
      <c r="AM7" s="130"/>
      <c r="AN7" s="130">
        <f t="shared" ref="AN7:AN43" si="0">SUM(D7:AM7)</f>
        <v>12012.749999999996</v>
      </c>
      <c r="AQ7" s="130">
        <f t="shared" ref="AQ7:AQ45" si="1">SUM(D7:F7)</f>
        <v>800.85</v>
      </c>
      <c r="AR7" s="130">
        <f t="shared" ref="AR7:AR45" si="2">SUM(G7:I7)</f>
        <v>1201.2750000000001</v>
      </c>
      <c r="AS7" s="130">
        <f t="shared" ref="AS7:AS45" si="3">SUM(J7:L7)</f>
        <v>1201.2750000000001</v>
      </c>
      <c r="AT7" s="130">
        <f t="shared" ref="AT7:AT45" si="4">SUM(M7:O7)</f>
        <v>800.85</v>
      </c>
      <c r="AU7" s="130">
        <f t="shared" ref="AU7:AU45" si="5">SUM(P7:R7)</f>
        <v>800.85</v>
      </c>
      <c r="AV7" s="130">
        <f t="shared" ref="AV7:AV45" si="6">SUM(S7:U7)</f>
        <v>1201.2750000000001</v>
      </c>
      <c r="AW7" s="130">
        <f t="shared" ref="AW7:AW45" si="7">SUM(V7:X7)</f>
        <v>1201.2750000000001</v>
      </c>
      <c r="AX7" s="130">
        <f t="shared" ref="AX7:AX45" si="8">SUM(Y7:AA7)</f>
        <v>800.85</v>
      </c>
      <c r="AY7" s="130">
        <f t="shared" ref="AY7:AY45" si="9">SUM(AB7:AD7)</f>
        <v>800.85</v>
      </c>
      <c r="AZ7" s="130">
        <f t="shared" ref="AZ7:AZ45" si="10">SUM(AE7:AG7)</f>
        <v>1201.2750000000001</v>
      </c>
      <c r="BA7" s="130">
        <f t="shared" ref="BA7:BA45" si="11">SUM(AH7:AJ7)</f>
        <v>1201.2750000000001</v>
      </c>
      <c r="BB7" s="130">
        <f t="shared" ref="BB7:BB45" si="12">SUM(AK7:AM7)</f>
        <v>800.85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-10000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-10000</v>
      </c>
      <c r="AQ42" s="134">
        <f t="shared" si="1"/>
        <v>-10000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13677.675000000001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 x14ac:dyDescent="0.3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3.xml><?xml version="1.0" encoding="utf-8"?>
<ds:datastoreItem xmlns:ds="http://schemas.openxmlformats.org/officeDocument/2006/customXml" ds:itemID="{C4EDB00B-108B-4223-B50B-9A31936B635F}"/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Madeleine Berner</cp:lastModifiedBy>
  <cp:revision/>
  <dcterms:created xsi:type="dcterms:W3CDTF">2019-06-03T13:08:51Z</dcterms:created>
  <dcterms:modified xsi:type="dcterms:W3CDTF">2025-05-13T07:03:09Z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