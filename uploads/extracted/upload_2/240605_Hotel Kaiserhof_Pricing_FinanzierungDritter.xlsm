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Kaiserhof Heringsdorf/"/>
    </mc:Choice>
  </mc:AlternateContent>
  <xr:revisionPtr revIDLastSave="22" documentId="8_{207F9823-9F7A-439A-86BD-E629EE244269}" xr6:coauthVersionLast="47" xr6:coauthVersionMax="47" xr10:uidLastSave="{22EB32FE-0B39-4DBB-9FC9-C3A240A133BE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<sst xmlns="http://schemas.openxmlformats.org/spreadsheetml/2006/main" count="510" uniqueCount="297">
  <si>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</si>
  <si>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</si>
  <si>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</si>
  <si>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</si>
  <si>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</si>
  <si>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</si>
  <si>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</si>
  <si>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</si>
  <si>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</si>
  <si>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</si>
  <si>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</si>
  <si>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</si>
  <si>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</si>
  <si>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</si>
  <si>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</si>
  <si>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</si>
  <si>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</si>
  <si>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</si>
  <si>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</si>
  <si>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</si>
  <si>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</si>
  <si>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</si>
  <si>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</si>
  <si>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</si>
  <si>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</si>
  <si>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</si>
  <si>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</si>
  <si>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</si>
  <si>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</si>
  <si>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</si>
  <si>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</si>
  <si>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</si>
  <si>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</si>
  <si>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</si>
  <si>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</si>
  <si>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</si>
  <si>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</si>
  <si>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</si>
  <si>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</si>
  <si>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</si>
  <si>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</si>
  <si>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</si>
  <si>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</si>
  <si>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</si>
  <si>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</si>
  <si>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</si>
  <si>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</si>
  <si>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</si>
  <si>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</si>
  <si>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</si>
  <si>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</si>
  <si>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</si>
  <si>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</si>
  <si>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</si>
  <si>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</si>
  <si>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</si>
  <si>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</si>
  <si>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</si>
  <si>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</si>
  <si>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</si>
  <si>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</si>
  <si>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</si>
  <si>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</si>
  <si>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</si>
  <si>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</si>
  <si>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</si>
  <si>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</si>
  <si>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</si>
  <si>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</si>
  <si>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</si>
  <si>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</si>
  <si>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</si>
  <si>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</si>
  <si>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</si>
  <si>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</si>
  <si>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</si>
  <si>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</si>
  <si>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</si>
  <si>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</si>
  <si>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</si>
  <si>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</si>
  <si>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</si>
  <si>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</si>
  <si>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</si>
  <si>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</si>
  <si>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</si>
  <si>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</si>
  <si>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</si>
  <si>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</si>
  <si>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</si>
  <si>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</si>
  <si>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</si>
  <si>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</si>
  <si>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</si>
  <si>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</si>
  <si>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</si>
  <si>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</si>
  <si>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</si>
  <si>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</si>
  <si>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</si>
  <si>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</si>
  <si>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</si>
  <si>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</si>
  <si>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</si>
  <si>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</si>
  <si>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</si>
  <si>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</si>
  <si>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</si>
  <si>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</si>
  <si>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</si>
  <si>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</si>
  <si>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</si>
  <si>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</si>
  <si>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</si>
  <si>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</si>
  <si>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</si>
  <si>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</si>
  <si>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</si>
  <si>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</si>
  <si>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</si>
  <si>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</si>
  <si>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</si>
  <si>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</si>
  <si>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</si>
  <si>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</si>
  <si>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</si>
  <si>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</si>
  <si>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</si>
  <si>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</si>
  <si>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</si>
  <si>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</si>
  <si>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</si>
  <si>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</si>
  <si>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</si>
  <si>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</si>
  <si>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</si>
  <si>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</si>
  <si>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</si>
  <si>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</si>
  <si>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</si>
  <si>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</si>
  <si>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</si>
  <si>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</si>
  <si>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</si>
  <si>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</si>
  <si>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</si>
  <si>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</si>
  <si>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</si>
  <si>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</si>
  <si>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</si>
  <si>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</si>
  <si>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</si>
  <si>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</si>
  <si>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</si>
  <si>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</si>
  <si>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</si>
  <si>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</si>
  <si>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</si>
  <si>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</si>
  <si>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</si>
  <si>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</si>
  <si>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</si>
  <si>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</si>
  <si>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</si>
  <si>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</si>
  <si>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</si>
  <si>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</si>
  <si>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</si>
  <si>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</si>
  <si>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</si>
  <si>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</si>
  <si>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</si>
  <si>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</si>
  <si>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</si>
  <si>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</si>
  <si>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</si>
  <si>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</si>
  <si>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</si>
  <si>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</si>
  <si>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</si>
  <si>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</si>
  <si>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</si>
  <si>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</si>
  <si>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</si>
  <si>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</si>
  <si>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</si>
  <si>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</si>
  <si>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</si>
  <si>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</si>
  <si>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</si>
  <si>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</si>
  <si>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</si>
  <si>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</si>
  <si>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</si>
  <si>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</si>
  <si>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</si>
  <si>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</si>
  <si>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</si>
  <si>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</si>
  <si>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</si>
  <si>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</si>
  <si>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</si>
  <si>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</si>
  <si>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</si>
  <si>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</si>
  <si>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</si>
  <si>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</si>
  <si>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</si>
  <si>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</si>
  <si>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</si>
  <si>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</si>
  <si>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</si>
  <si>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</si>
  <si>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</si>
  <si>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</si>
  <si>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</si>
  <si>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</si>
  <si>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</si>
  <si>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</si>
  <si>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</si>
  <si>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</si>
  <si>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</si>
  <si>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</si>
  <si>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</si>
  <si>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</si>
  <si>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</si>
  <si>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</si>
  <si>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</si>
  <si>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</si>
  <si>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</si>
  <si>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</si>
  <si>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</si>
  <si>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</si>
  <si>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</si>
  <si>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</si>
  <si>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</si>
  <si>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</si>
  <si>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</si>
  <si>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</si>
  <si>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</si>
  <si>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</si>
  <si>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</si>
  <si>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</si>
  <si>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</si>
  <si>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</si>
  <si>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</si>
  <si>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</si>
  <si>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</si>
  <si>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</si>
  <si>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</si>
  <si>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</si>
  <si>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</si>
  <si>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</si>
  <si>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</si>
  <si>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</si>
  <si>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</si>
  <si>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</si>
  <si>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</si>
  <si>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</si>
  <si>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</si>
  <si>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</si>
  <si>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</si>
  <si>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</si>
  <si>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</si>
  <si>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</si>
  <si>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</si>
  <si>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</si>
  <si>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</si>
  <si>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</si>
  <si>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</si>
  <si>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</si>
  <si>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</si>
  <si>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</si>
  <si>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</si>
  <si>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</si>
  <si>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</si>
  <si>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</si>
  <si>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</si>
  <si>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</si>
  <si>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</si>
  <si>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</si>
  <si>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</si>
  <si>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</si>
  <si>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</si>
  <si>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</si>
  <si>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</si>
  <si>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</si>
  <si>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</si>
  <si>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</si>
  <si>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</si>
  <si>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</si>
  <si>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</si>
  <si>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</si>
  <si>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</si>
  <si>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</si>
  <si>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</si>
  <si>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Kaiserhof Heringsdorf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</si>
</sst>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26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45448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172.9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143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15658.500000000002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266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="67" workbookViewId="0">
      <selection activeCell="C34" sqref="C34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35€ je Gutschein</v>
      </c>
      <c r="C24" s="237">
        <f>IFERROR(C7*'Preise Output'!$F$7,"--")</f>
        <v>29995</v>
      </c>
    </row>
    <row r="25" spans="2:8">
      <c r="B25" s="97" t="str">
        <f>"Das enspricht "&amp;TEXT('Preise Output'!E26/('Preise Output'!C10),"0,0%") &amp; " des Leerstands p.a."</f>
        <v>Das enspricht 5,5%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1799.7000000000003</v>
      </c>
      <c r="E26" s="223">
        <v>7.0000000000000007E-2</v>
      </c>
      <c r="F26" s="162">
        <f>C24-F27</f>
        <v>25710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2613.8500000000004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14963.934033613445</v>
      </c>
    </row>
    <row r="36" spans="2:3">
      <c r="B36" s="102" t="s">
        <v>65</v>
      </c>
      <c r="C36" s="239">
        <f>C12-C34</f>
        <v>10246.150000000001</v>
      </c>
    </row>
    <row r="37" spans="2:3">
      <c r="B37" s="97" t="s">
        <v>289</v>
      </c>
      <c r="C37" s="240">
        <f>C36/C12</f>
        <v>0.40643061666666669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A36AEF7-E074-44DA-AA3D-FC0C8AB8CE27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2024-06-05T11:49:11Z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