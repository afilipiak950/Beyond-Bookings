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VALON Hotel Bad Reichenhall/"/>
    </mc:Choice>
  </mc:AlternateContent>
  <xr:revisionPtr revIDLastSave="49" documentId="8_{207F9823-9F7A-439A-86BD-E629EE244269}" xr6:coauthVersionLast="47" xr6:coauthVersionMax="47" xr10:uidLastSave="{F8DB6004-77AF-4505-A682-AF2E081368B6}"/>
  <bookViews>
    <workbookView xWindow="11424" yWindow="0" windowWidth="11712" windowHeight="1233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<sst xmlns="http://schemas.openxmlformats.org/spreadsheetml/2006/main" count="510" uniqueCount="297">
  <si>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</si>
  <si>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</si>
  <si>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</si>
  <si>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</si>
  <si>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</si>
  <si>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</si>
  <si>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</si>
  <si>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</si>
  <si>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</si>
  <si>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</si>
  <si>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</si>
  <si>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</si>
  <si>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</si>
  <si>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</si>
  <si>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</si>
  <si>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</si>
  <si>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</si>
  <si>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</si>
  <si>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</si>
  <si>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</si>
  <si>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</si>
  <si>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</si>
  <si>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</si>
  <si>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</si>
  <si>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</si>
  <si>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</si>
  <si>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</si>
  <si>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</si>
  <si>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</si>
  <si>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</si>
  <si>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</si>
  <si>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</si>
  <si>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</si>
  <si>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</si>
  <si>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</si>
  <si>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</si>
  <si>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</si>
  <si>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</si>
  <si>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</si>
  <si>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</si>
  <si>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</si>
  <si>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</si>
  <si>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</si>
  <si>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</si>
  <si>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</si>
  <si>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</si>
  <si>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</si>
  <si>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</si>
  <si>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</si>
  <si>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</si>
  <si>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</si>
  <si>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</si>
  <si>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</si>
  <si>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</si>
  <si>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</si>
  <si>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</si>
  <si>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</si>
  <si>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</si>
  <si>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</si>
  <si>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</si>
  <si>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</si>
  <si>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</si>
  <si>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</si>
  <si>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</si>
  <si>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</si>
  <si>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</si>
  <si>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</si>
  <si>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</si>
  <si>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</si>
  <si>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</si>
  <si>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</si>
  <si>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</si>
  <si>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</si>
  <si>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</si>
  <si>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</si>
  <si>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</si>
  <si>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</si>
  <si>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</si>
  <si>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</si>
  <si>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</si>
  <si>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</si>
  <si>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</si>
  <si>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</si>
  <si>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</si>
  <si>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</si>
  <si>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</si>
  <si>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</si>
  <si>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</si>
  <si>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</si>
  <si>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</si>
  <si>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</si>
  <si>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</si>
  <si>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</si>
  <si>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</si>
  <si>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</si>
  <si>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</si>
  <si>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</si>
  <si>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</si>
  <si>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</si>
  <si>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</si>
  <si>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</si>
  <si>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</si>
  <si>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</si>
  <si>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</si>
  <si>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</si>
  <si>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</si>
  <si>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</si>
  <si>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</si>
  <si>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</si>
  <si>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</si>
  <si>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</si>
  <si>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</si>
  <si>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</si>
  <si>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</si>
  <si>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</si>
  <si>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</si>
  <si>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</si>
  <si>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</si>
  <si>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</si>
  <si>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</si>
  <si>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</si>
  <si>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</si>
  <si>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</si>
  <si>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</si>
  <si>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</si>
  <si>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</si>
  <si>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</si>
  <si>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</si>
  <si>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</si>
  <si>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</si>
  <si>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</si>
  <si>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</si>
  <si>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</si>
  <si>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</si>
  <si>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</si>
  <si>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</si>
  <si>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</si>
  <si>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</si>
  <si>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</si>
  <si>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</si>
  <si>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</si>
  <si>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</si>
  <si>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</si>
  <si>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</si>
  <si>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</si>
  <si>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</si>
  <si>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</si>
  <si>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</si>
  <si>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</si>
  <si>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</si>
  <si>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</si>
  <si>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</si>
  <si>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</si>
  <si>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</si>
  <si>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</si>
  <si>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</si>
  <si>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</si>
  <si>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</si>
  <si>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</si>
  <si>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</si>
  <si>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</si>
  <si>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</si>
  <si>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</si>
  <si>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</si>
  <si>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</si>
  <si>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</si>
  <si>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</si>
  <si>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</si>
  <si>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</si>
  <si>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</si>
  <si>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</si>
  <si>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</si>
  <si>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</si>
  <si>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</si>
  <si>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</si>
  <si>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</si>
  <si>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</si>
  <si>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</si>
  <si>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</si>
  <si>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</si>
  <si>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</si>
  <si>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</si>
  <si>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</si>
  <si>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</si>
  <si>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</si>
  <si>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</si>
  <si>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</si>
  <si>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</si>
  <si>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</si>
  <si>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</si>
  <si>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</si>
  <si>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</si>
  <si>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</si>
  <si>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</si>
  <si>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</si>
  <si>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</si>
  <si>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</si>
  <si>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</si>
  <si>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</si>
  <si>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</si>
  <si>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</si>
  <si>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</si>
  <si>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</si>
  <si>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</si>
  <si>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</si>
  <si>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</si>
  <si>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</si>
  <si>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</si>
  <si>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</si>
  <si>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</si>
  <si>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</si>
  <si>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</si>
  <si>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</si>
  <si>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</si>
  <si>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</si>
  <si>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</si>
  <si>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</si>
  <si>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</si>
  <si>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</si>
  <si>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</si>
  <si>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</si>
  <si>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</si>
  <si>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</si>
  <si>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</si>
  <si>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</si>
  <si>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</si>
  <si>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</si>
  <si>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</si>
  <si>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</si>
  <si>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</si>
  <si>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</si>
  <si>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</si>
  <si>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</si>
  <si>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</si>
  <si>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</si>
  <si>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</si>
  <si>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</si>
  <si>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</si>
  <si>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</si>
  <si>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</si>
  <si>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</si>
  <si>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</si>
  <si>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</si>
  <si>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</si>
  <si>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</si>
  <si>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</si>
  <si>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</si>
  <si>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</si>
  <si>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</si>
  <si>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</si>
  <si>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</si>
  <si>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</si>
  <si>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</si>
  <si>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</si>
  <si>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</si>
  <si>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</si>
  <si>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</si>
  <si>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</si>
  <si>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</si>
  <si>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</si>
  <si>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</si>
  <si>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</si>
  <si>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</si>
  <si>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</si>
  <si>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</si>
  <si>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</si>
  <si>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</si>
  <si>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</si>
  <si>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</si>
  <si>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</si>
  <si>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</si>
  <si>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</si>
  <si>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</si>
  <si>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</si>
  <si>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</si>
  <si>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</si>
  <si>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</si>
  <si>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</si>
  <si>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</si>
  <si>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</si>
  <si>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</si>
  <si>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</si>
  <si>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</si>
  <si>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</si>
  <si>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</si>
  <si>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</si>
  <si>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</si>
  <si>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</si>
  <si>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</si>
  <si>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</si>
  <si>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</si>
  <si>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</si>
  <si>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</si>
  <si>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</si>
  <si>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</si>
  <si>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</si>
  <si>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AVALON Hotel Bad Reichenhall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</si>
</sst>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9" sqref="C9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45576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ht="30" x14ac:dyDescent="0.35">
      <c r="B6" s="48" t="s">
        <v>4</v>
      </c>
      <c r="C6" s="49" t="s">
        <v>296</v>
      </c>
      <c r="E6" s="152" t="s">
        <v>290</v>
      </c>
      <c r="F6" s="37">
        <f>C12*0.65</f>
        <v>77.350000000000009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62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6789.0000000000009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119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12,6%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G27" sqref="G27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35">
      <c r="B25" s="97" t="str">
        <f>"Das enspricht "&amp;TEXT('Preise Output'!E26/('Preise Output'!C10),"0,0%") &amp; " des Leerstands p.a."</f>
        <v>Das enspricht 12,6%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35">
      <c r="B32" s="108" t="s">
        <v>293</v>
      </c>
      <c r="C32" s="229">
        <f>C26+C27</f>
        <v>2614.4499000000001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14964.533933613446</v>
      </c>
    </row>
    <row r="36" spans="2:3" x14ac:dyDescent="0.35">
      <c r="B36" s="102" t="s">
        <v>65</v>
      </c>
      <c r="C36" s="239">
        <f>C12-C34</f>
        <v>10245.5501</v>
      </c>
    </row>
    <row r="37" spans="2:3" x14ac:dyDescent="0.35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F0A801E9-1F05-4934-A8BC-00F2DC396E6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2024-10-11T07:45:55Z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