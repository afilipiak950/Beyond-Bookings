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oller Business Hotel/"/>
    </mc:Choice>
  </mc:AlternateContent>
  <xr:revisionPtr revIDLastSave="48" documentId="8_{207F9823-9F7A-439A-86BD-E629EE244269}" xr6:coauthVersionLast="47" xr6:coauthVersionMax="47" xr10:uidLastSave="{699677D8-BBC9-403D-8B8F-ADEFE8E29C14}"/>
  <bookViews>
    <workbookView minimized="1" xWindow="1788" yWindow="1644" windowWidth="21624" windowHeight="11244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<sst xmlns="http://schemas.openxmlformats.org/spreadsheetml/2006/main" count="510" uniqueCount="297">
  <si>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</si>
  <si>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</si>
  <si>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</si>
  <si>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</si>
  <si>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</si>
  <si>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</si>
  <si>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</si>
  <si>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</si>
  <si>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</si>
  <si>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</si>
  <si>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</si>
  <si>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</si>
  <si>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</si>
  <si>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</si>
  <si>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</si>
  <si>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</si>
  <si>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</si>
  <si>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</si>
  <si>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</si>
  <si>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</si>
  <si>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</si>
  <si>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</si>
  <si>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</si>
  <si>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</si>
  <si>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</si>
  <si>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</si>
  <si>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</si>
  <si>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</si>
  <si>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</si>
  <si>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</si>
  <si>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</si>
  <si>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</si>
  <si>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</si>
  <si>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</si>
  <si>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</si>
  <si>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</si>
  <si>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</si>
  <si>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</si>
  <si>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</si>
  <si>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</si>
  <si>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</si>
  <si>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</si>
  <si>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</si>
  <si>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</si>
  <si>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</si>
  <si>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</si>
  <si>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</si>
  <si>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</si>
  <si>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</si>
  <si>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</si>
  <si>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</si>
  <si>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</si>
  <si>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</si>
  <si>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</si>
  <si>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</si>
  <si>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</si>
  <si>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</si>
  <si>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</si>
  <si>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</si>
  <si>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</si>
  <si>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</si>
  <si>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</si>
  <si>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</si>
  <si>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</si>
  <si>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</si>
  <si>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</si>
  <si>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</si>
  <si>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</si>
  <si>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</si>
  <si>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</si>
  <si>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</si>
  <si>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</si>
  <si>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</si>
  <si>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</si>
  <si>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</si>
  <si>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</si>
  <si>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</si>
  <si>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</si>
  <si>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</si>
  <si>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</si>
  <si>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</si>
  <si>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</si>
  <si>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</si>
  <si>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</si>
  <si>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</si>
  <si>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</si>
  <si>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</si>
  <si>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</si>
  <si>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</si>
  <si>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</si>
  <si>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</si>
  <si>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</si>
  <si>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</si>
  <si>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</si>
  <si>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</si>
  <si>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</si>
  <si>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</si>
  <si>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</si>
  <si>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</si>
  <si>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</si>
  <si>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</si>
  <si>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</si>
  <si>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</si>
  <si>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</si>
  <si>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</si>
  <si>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</si>
  <si>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</si>
  <si>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</si>
  <si>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</si>
  <si>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</si>
  <si>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</si>
  <si>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</si>
  <si>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</si>
  <si>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</si>
  <si>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</si>
  <si>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</si>
  <si>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</si>
  <si>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</si>
  <si>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</si>
  <si>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</si>
  <si>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</si>
  <si>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</si>
  <si>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</si>
  <si>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</si>
  <si>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</si>
  <si>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</si>
  <si>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</si>
  <si>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</si>
  <si>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</si>
  <si>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</si>
  <si>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</si>
  <si>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</si>
  <si>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</si>
  <si>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</si>
  <si>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</si>
  <si>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</si>
  <si>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</si>
  <si>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</si>
  <si>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</si>
  <si>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</si>
  <si>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</si>
  <si>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</si>
  <si>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</si>
  <si>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</si>
  <si>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</si>
  <si>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</si>
  <si>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</si>
  <si>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</si>
  <si>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</si>
  <si>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</si>
  <si>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</si>
  <si>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</si>
  <si>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</si>
  <si>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</si>
  <si>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</si>
  <si>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</si>
  <si>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</si>
  <si>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</si>
  <si>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</si>
  <si>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</si>
  <si>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</si>
  <si>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</si>
  <si>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</si>
  <si>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</si>
  <si>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</si>
  <si>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</si>
  <si>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</si>
  <si>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</si>
  <si>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</si>
  <si>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</si>
  <si>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</si>
  <si>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</si>
  <si>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</si>
  <si>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</si>
  <si>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</si>
  <si>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</si>
  <si>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</si>
  <si>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</si>
  <si>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</si>
  <si>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</si>
  <si>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</si>
  <si>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</si>
  <si>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</si>
  <si>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</si>
  <si>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</si>
  <si>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</si>
  <si>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</si>
  <si>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</si>
  <si>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</si>
  <si>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</si>
  <si>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</si>
  <si>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</si>
  <si>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</si>
  <si>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</si>
  <si>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</si>
  <si>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</si>
  <si>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</si>
  <si>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</si>
  <si>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</si>
  <si>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</si>
  <si>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</si>
  <si>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</si>
  <si>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</si>
  <si>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</si>
  <si>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</si>
  <si>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</si>
  <si>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</si>
  <si>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</si>
  <si>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</si>
  <si>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</si>
  <si>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</si>
  <si>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</si>
  <si>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</si>
  <si>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</si>
  <si>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</si>
  <si>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</si>
  <si>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</si>
  <si>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</si>
  <si>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</si>
  <si>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</si>
  <si>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</si>
  <si>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</si>
  <si>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</si>
  <si>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</si>
  <si>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</si>
  <si>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</si>
  <si>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</si>
  <si>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</si>
  <si>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</si>
  <si>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</si>
  <si>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</si>
  <si>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</si>
  <si>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</si>
  <si>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</si>
  <si>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</si>
  <si>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</si>
  <si>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</si>
  <si>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</si>
  <si>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</si>
  <si>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</si>
  <si>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</si>
  <si>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</si>
  <si>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</si>
  <si>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</si>
  <si>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</si>
  <si>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</si>
  <si>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</si>
  <si>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</si>
  <si>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</si>
  <si>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</si>
  <si>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</si>
  <si>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</si>
  <si>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</si>
  <si>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</si>
  <si>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</si>
  <si>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</si>
  <si>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</si>
  <si>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</si>
  <si>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</si>
  <si>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</si>
  <si>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</si>
  <si>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</si>
  <si>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</si>
  <si>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</si>
  <si>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</si>
  <si>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</si>
  <si>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</si>
  <si>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</si>
  <si>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</si>
  <si>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</si>
  <si>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</si>
  <si>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</si>
  <si>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</si>
  <si>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</si>
  <si>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</si>
  <si>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</si>
  <si>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</si>
  <si>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</si>
  <si>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</si>
  <si>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</si>
  <si>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</si>
  <si>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</si>
  <si>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</si>
  <si>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</si>
  <si>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</si>
  <si>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</si>
  <si>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</si>
  <si>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</si>
  <si>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</si>
  <si>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</si>
  <si>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</si>
  <si>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</si>
  <si>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</si>
  <si>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</si>
  <si>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</si>
  <si>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</si>
  <si>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Soller Business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</si>
</sst>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45580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123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13468.500000000002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140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6,4%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9" workbookViewId="0">
      <selection activeCell="G27" sqref="G27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25210.084033613446</v>
      </c>
    </row>
    <row r="12" spans="2:11" x14ac:dyDescent="0.2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25">
      <c r="B25" s="97" t="str">
        <f>"Das enspricht "&amp;TEXT('Preise Output'!E26/('Preise Output'!C10),"0,0%") &amp; " des Leerstands p.a."</f>
        <v>Das enspricht 6,4%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25">
      <c r="B32" s="108" t="s">
        <v>293</v>
      </c>
      <c r="C32" s="229">
        <f>C26+C27</f>
        <v>2614.4499000000001</v>
      </c>
    </row>
    <row r="33" spans="2:3" ht="14.25" thickBot="1" x14ac:dyDescent="0.3">
      <c r="B33" s="115" t="s">
        <v>288</v>
      </c>
      <c r="C33" s="238">
        <f>-(C13+C14)</f>
        <v>-4789.9159663865548</v>
      </c>
    </row>
    <row r="34" spans="2:3" x14ac:dyDescent="0.25">
      <c r="B34" s="96" t="s">
        <v>271</v>
      </c>
      <c r="C34" s="236">
        <f>SUM(C31:C33)</f>
        <v>14964.533933613446</v>
      </c>
    </row>
    <row r="36" spans="2:3" x14ac:dyDescent="0.25">
      <c r="B36" s="102" t="s">
        <v>65</v>
      </c>
      <c r="C36" s="239">
        <f>C12-C34</f>
        <v>10245.5501</v>
      </c>
    </row>
    <row r="37" spans="2:3" x14ac:dyDescent="0.25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FC74CCC5-1983-4560-8285-189F467480E2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2024-10-15T14:37:56Z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