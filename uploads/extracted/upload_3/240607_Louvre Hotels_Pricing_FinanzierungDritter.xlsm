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ouvre Hotels/"/>
    </mc:Choice>
  </mc:AlternateContent>
  <xr:revisionPtr revIDLastSave="10" documentId="8_{207F9823-9F7A-439A-86BD-E629EE244269}" xr6:coauthVersionLast="47" xr6:coauthVersionMax="47" xr10:uidLastSave="{28EC406F-6A2D-4F00-8394-ED557483F27D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<sst xmlns="http://schemas.openxmlformats.org/spreadsheetml/2006/main" count="509" uniqueCount="296">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</sst>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11" sqref="D11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/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>
      <c r="B6" s="48" t="s">
        <v>4</v>
      </c>
      <c r="C6" s="49"/>
      <c r="E6" s="152" t="s">
        <v>290</v>
      </c>
      <c r="F6" s="37">
        <f>C12*0.65</f>
        <v>0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100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10950.000000000002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/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7,8%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3" workbookViewId="0">
      <selection activeCell="G27" sqref="G27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857 Gutscheine x 35€ je Gutschein</v>
      </c>
      <c r="C24" s="237">
        <f>IFERROR(C7*'Preise Output'!$F$7,"--")</f>
        <v>29995</v>
      </c>
    </row>
    <row r="25" spans="2:8">
      <c r="B25" s="97" t="str">
        <f>"Das enspricht "&amp;TEXT('Preise Output'!E26/('Preise Output'!C10),"0,0%") &amp; " des Leerstands p.a."</f>
        <v>Das enspricht 7,8%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1799.7000000000003</v>
      </c>
      <c r="E26" s="223">
        <v>7.0000000000000007E-2</v>
      </c>
      <c r="F26" s="162">
        <f>C24-F27</f>
        <v>25710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2613.8500000000004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14963.934033613445</v>
      </c>
    </row>
    <row r="36" spans="2:3">
      <c r="B36" s="102" t="s">
        <v>65</v>
      </c>
      <c r="C36" s="239">
        <f>C12-C34</f>
        <v>10246.150000000001</v>
      </c>
    </row>
    <row r="37" spans="2:3">
      <c r="B37" s="97" t="s">
        <v>289</v>
      </c>
      <c r="C37" s="240">
        <f>C36/C12</f>
        <v>0.40643061666666669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8EA0E8-DAB9-4E0D-8CDB-0168EF6BD9A5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2024-06-13T09:24:33Z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