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Landhotel Krone Roggenbeuren/"/>
    </mc:Choice>
  </mc:AlternateContent>
  <xr:revisionPtr revIDLastSave="93" documentId="8_{207F9823-9F7A-439A-86BD-E629EE244269}" xr6:coauthVersionLast="47" xr6:coauthVersionMax="47" xr10:uidLastSave="{09E29A1F-6E58-4EEA-9B2E-7FBF4A503D3E}"/>
  <bookViews>
    <workbookView xWindow="28680" yWindow="-819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<sst xmlns="http://schemas.openxmlformats.org/spreadsheetml/2006/main" count="511" uniqueCount="298">
  <si>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</si>
  <si>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</si>
  <si>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</si>
  <si>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</si>
  <si>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</si>
  <si>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</si>
  <si>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</si>
  <si>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</si>
  <si>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</si>
  <si>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</si>
  <si>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</si>
  <si>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</si>
  <si>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</si>
  <si>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</si>
  <si>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</si>
  <si>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</si>
  <si>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</si>
  <si>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</si>
  <si>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</si>
  <si>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</si>
  <si>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</si>
  <si>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</si>
  <si>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</si>
  <si>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</si>
  <si>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</si>
  <si>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</si>
  <si>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</si>
  <si>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</si>
  <si>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</si>
  <si>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</si>
  <si>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</si>
  <si>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</si>
  <si>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</si>
  <si>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</si>
  <si>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</si>
  <si>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</si>
  <si>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</si>
  <si>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</si>
  <si>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</si>
  <si>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</si>
  <si>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</si>
  <si>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</si>
  <si>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</si>
  <si>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</si>
  <si>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</si>
  <si>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</si>
  <si>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</si>
  <si>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</si>
  <si>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</si>
  <si>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</si>
  <si>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</si>
  <si>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</si>
  <si>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</si>
  <si>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</si>
  <si>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</si>
  <si>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</si>
  <si>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</si>
  <si>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</si>
  <si>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</si>
  <si>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</si>
  <si>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</si>
  <si>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</si>
  <si>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</si>
  <si>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</si>
  <si>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</si>
  <si>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</si>
  <si>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</si>
  <si>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</si>
  <si>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</si>
  <si>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</si>
  <si>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</si>
  <si>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</si>
  <si>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</si>
  <si>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</si>
  <si>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</si>
  <si>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</si>
  <si>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</si>
  <si>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</si>
  <si>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</si>
  <si>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</si>
  <si>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</si>
  <si>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</si>
  <si>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</si>
  <si>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</si>
  <si>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</si>
  <si>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</si>
  <si>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</si>
  <si>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</si>
  <si>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</si>
  <si>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</si>
  <si>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</si>
  <si>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</si>
  <si>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</si>
  <si>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</si>
  <si>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</si>
  <si>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</si>
  <si>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</si>
  <si>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</si>
  <si>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</si>
  <si>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</si>
  <si>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</si>
  <si>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</si>
  <si>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</si>
  <si>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</si>
  <si>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</si>
  <si>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</si>
  <si>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</si>
  <si>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</si>
  <si>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</si>
  <si>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</si>
  <si>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</si>
  <si>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</si>
  <si>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</si>
  <si>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</si>
  <si>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</si>
  <si>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</si>
  <si>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</si>
  <si>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</si>
  <si>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</si>
  <si>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</si>
  <si>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</si>
  <si>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</si>
  <si>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</si>
  <si>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</si>
  <si>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</si>
  <si>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</si>
  <si>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</si>
  <si>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</si>
  <si>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</si>
  <si>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</si>
  <si>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</si>
  <si>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</si>
  <si>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</si>
  <si>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</si>
  <si>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</si>
  <si>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</si>
  <si>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</si>
  <si>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</si>
  <si>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</si>
  <si>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</si>
  <si>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</si>
  <si>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</si>
  <si>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</si>
  <si>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</si>
  <si>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</si>
  <si>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</si>
  <si>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</si>
  <si>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</si>
  <si>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</si>
  <si>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</si>
  <si>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</si>
  <si>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</si>
  <si>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</si>
  <si>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</si>
  <si>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</si>
  <si>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</si>
  <si>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</si>
  <si>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</si>
  <si>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</si>
  <si>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</si>
  <si>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</si>
  <si>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</si>
  <si>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</si>
  <si>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</si>
  <si>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</si>
  <si>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</si>
  <si>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</si>
  <si>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</si>
  <si>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</si>
  <si>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</si>
  <si>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</si>
  <si>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</si>
  <si>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</si>
  <si>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</si>
  <si>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</si>
  <si>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</si>
  <si>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</si>
  <si>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</si>
  <si>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</si>
  <si>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</si>
  <si>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</si>
  <si>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</si>
  <si>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</si>
  <si>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</si>
  <si>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</si>
  <si>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</si>
  <si>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</si>
  <si>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</si>
  <si>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</si>
  <si>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</si>
  <si>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</si>
  <si>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</si>
  <si>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</si>
  <si>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</si>
  <si>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</si>
  <si>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</si>
  <si>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</si>
  <si>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</si>
  <si>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</si>
  <si>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</si>
  <si>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</si>
  <si>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</si>
  <si>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</si>
  <si>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</si>
  <si>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</si>
  <si>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</si>
  <si>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</si>
  <si>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</si>
  <si>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</si>
  <si>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</si>
  <si>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</si>
  <si>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</si>
  <si>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</si>
  <si>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</si>
  <si>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</si>
  <si>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</si>
  <si>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</si>
  <si>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</si>
  <si>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</si>
  <si>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</si>
  <si>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</si>
  <si>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</si>
  <si>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</si>
  <si>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</si>
  <si>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</si>
  <si>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</si>
  <si>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</si>
  <si>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</si>
  <si>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</si>
  <si>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</si>
  <si>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</si>
  <si>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</si>
  <si>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</si>
  <si>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</si>
  <si>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</si>
  <si>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</si>
  <si>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</si>
  <si>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</si>
  <si>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</si>
  <si>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</si>
  <si>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</si>
  <si>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</si>
  <si>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</si>
  <si>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</si>
  <si>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</si>
  <si>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</si>
  <si>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</si>
  <si>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</si>
  <si>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</si>
  <si>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</si>
  <si>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</si>
  <si>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</si>
  <si>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</si>
  <si>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</si>
  <si>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</si>
  <si>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</si>
  <si>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</si>
  <si>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</si>
  <si>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</si>
  <si>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</si>
  <si>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</si>
  <si>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</si>
  <si>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</si>
  <si>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</si>
  <si>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</si>
  <si>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</si>
  <si>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</si>
  <si>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</si>
  <si>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</si>
  <si>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</si>
  <si>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</si>
  <si>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</si>
  <si>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</si>
  <si>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</si>
  <si>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</si>
  <si>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</si>
  <si>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</si>
  <si>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</si>
  <si>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</si>
  <si>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</si>
  <si>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</si>
  <si>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</si>
  <si>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</si>
  <si>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</si>
  <si>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</si>
  <si>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</si>
  <si>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</si>
  <si>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</si>
  <si>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</si>
  <si>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</si>
  <si>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</si>
  <si>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</si>
  <si>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</si>
  <si>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</si>
  <si>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</si>
  <si>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</si>
  <si>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Landhotel Krone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</si>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</sst>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2" sqref="D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78.650000000000006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6387.5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958.125</v>
      </c>
      <c r="E11" s="167" t="s">
        <v>14</v>
      </c>
      <c r="F11" s="242">
        <f>+I26</f>
        <v>40425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121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10425</v>
      </c>
      <c r="I24" s="77">
        <f>G24+H24</f>
        <v>40425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5700</v>
      </c>
      <c r="N24" s="77">
        <f t="shared" si="5"/>
        <v>1745.625</v>
      </c>
      <c r="O24" s="77">
        <f>L24-M24-N24</f>
        <v>-7445.625</v>
      </c>
      <c r="P24" s="79">
        <f>IFERROR($H24-L24,"")</f>
        <v>10425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10425</v>
      </c>
      <c r="I26" s="89">
        <f>SUBTOTAL(9,I19:I24)</f>
        <v>40425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1745.625</v>
      </c>
      <c r="O26" s="89">
        <f t="shared" si="25"/>
        <v>-7445.625</v>
      </c>
      <c r="P26" s="89">
        <f t="shared" si="25"/>
        <v>10425</v>
      </c>
      <c r="Q26" s="90">
        <f>($H26-L26)/$I26</f>
        <v>0.25788497217068646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15,7%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F5" sqref="F5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4">
      <c r="B25" s="97" t="str">
        <f>"Das enspricht "&amp;TEXT('Preise Output'!E26/('Preise Output'!C10),"0,0%") &amp; " des Leerstands p.a."</f>
        <v>Das enspricht 15,7%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1000 Roomnights</v>
      </c>
      <c r="C31" s="237">
        <f>C7*C4</f>
        <v>17000</v>
      </c>
    </row>
    <row r="32" spans="2:8" x14ac:dyDescent="0.4">
      <c r="B32" s="108" t="s">
        <v>293</v>
      </c>
      <c r="C32" s="229">
        <f>C26+C27</f>
        <v>2700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14910.084033613446</v>
      </c>
    </row>
    <row r="36" spans="2:3" x14ac:dyDescent="0.4">
      <c r="B36" s="102" t="s">
        <v>65</v>
      </c>
      <c r="C36" s="239">
        <f>C12-C34</f>
        <v>10300</v>
      </c>
    </row>
    <row r="37" spans="2:3" x14ac:dyDescent="0.4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675</v>
      </c>
      <c r="F7" s="129">
        <f>IF($B$6=100%,(('Preise Output'!$F$10-INDEX(Annahmen!$B$18:$C$22,MATCH('Preise Output'!$C$7,Annahmen!$B$18:$B$22,0),2))*'Preise Output'!$E$26)/10,('Preise Output'!$E$26*'Preise Output'!$F$10-$D$6)/10)</f>
        <v>675</v>
      </c>
      <c r="G7" s="129">
        <f>IF($B$6=100%,(('Preise Output'!$F$10-INDEX(Annahmen!$B$18:$C$22,MATCH('Preise Output'!$C$7,Annahmen!$B$18:$B$22,0),2))*'Preise Output'!$E$26)/10,('Preise Output'!$E$26*'Preise Output'!$F$10-$D$6)/10)</f>
        <v>675</v>
      </c>
      <c r="H7" s="129">
        <f>IF($B$6=100%,(('Preise Output'!$F$10-INDEX(Annahmen!$B$18:$C$22,MATCH('Preise Output'!$C$7,Annahmen!$B$18:$B$22,0),2))*'Preise Output'!$E$26)/10,('Preise Output'!$E$26*'Preise Output'!$F$10-$D$6)/10)</f>
        <v>675</v>
      </c>
      <c r="I7" s="129">
        <f>IF($B$6=100%,(('Preise Output'!$F$10-INDEX(Annahmen!$B$18:$C$22,MATCH('Preise Output'!$C$7,Annahmen!$B$18:$B$22,0),2))*'Preise Output'!$E$26)/10,('Preise Output'!$E$26*'Preise Output'!$F$10-$D$6)/10)</f>
        <v>675</v>
      </c>
      <c r="J7" s="129">
        <f>IF($B$6=100%,(('Preise Output'!$F$10-INDEX(Annahmen!$B$18:$C$22,MATCH('Preise Output'!$C$7,Annahmen!$B$18:$B$22,0),2))*'Preise Output'!$E$26)/10,('Preise Output'!$E$26*'Preise Output'!$F$10-$D$6)/10)</f>
        <v>675</v>
      </c>
      <c r="K7" s="129">
        <f>IF($B$6=100%,(('Preise Output'!$F$10-INDEX(Annahmen!$B$18:$C$22,MATCH('Preise Output'!$C$7,Annahmen!$B$18:$B$22,0),2))*'Preise Output'!$E$26)/10,('Preise Output'!$E$26*'Preise Output'!$F$10-$D$6)/10)</f>
        <v>675</v>
      </c>
      <c r="L7" s="129">
        <f>IF($B$6=100%,(('Preise Output'!$F$10-INDEX(Annahmen!$B$18:$C$22,MATCH('Preise Output'!$C$7,Annahmen!$B$18:$B$22,0),2))*'Preise Output'!$E$26)/10,('Preise Output'!$E$26*'Preise Output'!$F$10-$D$6)/10)</f>
        <v>675</v>
      </c>
      <c r="M7" s="129">
        <f>IF($B$6=100%,(('Preise Output'!$F$10-INDEX(Annahmen!$B$18:$C$22,MATCH('Preise Output'!$C$7,Annahmen!$B$18:$B$22,0),2))*'Preise Output'!$E$26)/10,('Preise Output'!$E$26*'Preise Output'!$F$10-$D$6)/10)</f>
        <v>675</v>
      </c>
      <c r="N7" s="129">
        <f>IF($B$6=100%,(('Preise Output'!$F$10-INDEX(Annahmen!$B$18:$C$22,MATCH('Preise Output'!$C$7,Annahmen!$B$18:$B$22,0),2))*'Preise Output'!$E$26)/10,('Preise Output'!$E$26*'Preise Output'!$F$10-$D$6)/10)</f>
        <v>675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675</v>
      </c>
      <c r="R7" s="129">
        <f>IF($B$6=100%,(('Preise Output'!$F$10-INDEX(Annahmen!$B$18:$C$22,MATCH('Preise Output'!$C$7,Annahmen!$B$18:$B$22,0),2))*'Preise Output'!$E$26)/10,('Preise Output'!$E$26*'Preise Output'!$F$10-$D$6)/10)</f>
        <v>675</v>
      </c>
      <c r="S7" s="129">
        <f>IF($B$6=100%,(('Preise Output'!$F$10-INDEX(Annahmen!$B$18:$C$22,MATCH('Preise Output'!$C$7,Annahmen!$B$18:$B$22,0),2))*'Preise Output'!$E$26)/10,('Preise Output'!$E$26*'Preise Output'!$F$10-$D$6)/10)</f>
        <v>675</v>
      </c>
      <c r="T7" s="129">
        <f>IF($B$6=100%,(('Preise Output'!$F$10-INDEX(Annahmen!$B$18:$C$22,MATCH('Preise Output'!$C$7,Annahmen!$B$18:$B$22,0),2))*'Preise Output'!$E$26)/10,('Preise Output'!$E$26*'Preise Output'!$F$10-$D$6)/10)</f>
        <v>675</v>
      </c>
      <c r="U7" s="129">
        <f>IF($B$6=100%,(('Preise Output'!$F$10-INDEX(Annahmen!$B$18:$C$22,MATCH('Preise Output'!$C$7,Annahmen!$B$18:$B$22,0),2))*'Preise Output'!$E$26)/10,('Preise Output'!$E$26*'Preise Output'!$F$10-$D$6)/10)</f>
        <v>675</v>
      </c>
      <c r="V7" s="129">
        <f>IF($B$6=100%,(('Preise Output'!$F$10-INDEX(Annahmen!$B$18:$C$22,MATCH('Preise Output'!$C$7,Annahmen!$B$18:$B$22,0),2))*'Preise Output'!$E$26)/10,('Preise Output'!$E$26*'Preise Output'!$F$10-$D$6)/10)</f>
        <v>675</v>
      </c>
      <c r="W7" s="129">
        <f>IF($B$6=100%,(('Preise Output'!$F$10-INDEX(Annahmen!$B$18:$C$22,MATCH('Preise Output'!$C$7,Annahmen!$B$18:$B$22,0),2))*'Preise Output'!$E$26)/10,('Preise Output'!$E$26*'Preise Output'!$F$10-$D$6)/10)</f>
        <v>675</v>
      </c>
      <c r="X7" s="129">
        <f>IF($B$6=100%,(('Preise Output'!$F$10-INDEX(Annahmen!$B$18:$C$22,MATCH('Preise Output'!$C$7,Annahmen!$B$18:$B$22,0),2))*'Preise Output'!$E$26)/10,('Preise Output'!$E$26*'Preise Output'!$F$10-$D$6)/10)</f>
        <v>675</v>
      </c>
      <c r="Y7" s="129">
        <f>IF($B$6=100%,(('Preise Output'!$F$10-INDEX(Annahmen!$B$18:$C$22,MATCH('Preise Output'!$C$7,Annahmen!$B$18:$B$22,0),2))*'Preise Output'!$E$26)/10,('Preise Output'!$E$26*'Preise Output'!$F$10-$D$6)/10)</f>
        <v>675</v>
      </c>
      <c r="Z7" s="129">
        <f>IF($B$6=100%,(('Preise Output'!$F$10-INDEX(Annahmen!$B$18:$C$22,MATCH('Preise Output'!$C$7,Annahmen!$B$18:$B$22,0),2))*'Preise Output'!$E$26)/10,('Preise Output'!$E$26*'Preise Output'!$F$10-$D$6)/10)</f>
        <v>675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675</v>
      </c>
      <c r="AD7" s="129">
        <f>IF($B$6=100%,(('Preise Output'!$F$10-INDEX(Annahmen!$B$18:$C$22,MATCH('Preise Output'!$C$7,Annahmen!$B$18:$B$22,0),2))*'Preise Output'!$E$26)/10,('Preise Output'!$E$26*'Preise Output'!$F$10-$D$6)/10)</f>
        <v>675</v>
      </c>
      <c r="AE7" s="129">
        <f>IF($B$6=100%,(('Preise Output'!$F$10-INDEX(Annahmen!$B$18:$C$22,MATCH('Preise Output'!$C$7,Annahmen!$B$18:$B$22,0),2))*'Preise Output'!$E$26)/10,('Preise Output'!$E$26*'Preise Output'!$F$10-$D$6)/10)</f>
        <v>675</v>
      </c>
      <c r="AF7" s="129">
        <f>IF($B$6=100%,(('Preise Output'!$F$10-INDEX(Annahmen!$B$18:$C$22,MATCH('Preise Output'!$C$7,Annahmen!$B$18:$B$22,0),2))*'Preise Output'!$E$26)/10,('Preise Output'!$E$26*'Preise Output'!$F$10-$D$6)/10)</f>
        <v>675</v>
      </c>
      <c r="AG7" s="129">
        <f>IF($B$6=100%,(('Preise Output'!$F$10-INDEX(Annahmen!$B$18:$C$22,MATCH('Preise Output'!$C$7,Annahmen!$B$18:$B$22,0),2))*'Preise Output'!$E$26)/10,('Preise Output'!$E$26*'Preise Output'!$F$10-$D$6)/10)</f>
        <v>675</v>
      </c>
      <c r="AH7" s="129">
        <f>IF($B$6=100%,(('Preise Output'!$F$10-INDEX(Annahmen!$B$18:$C$22,MATCH('Preise Output'!$C$7,Annahmen!$B$18:$B$22,0),2))*'Preise Output'!$E$26)/10,('Preise Output'!$E$26*'Preise Output'!$F$10-$D$6)/10)</f>
        <v>675</v>
      </c>
      <c r="AI7" s="129">
        <f>IF($B$6=100%,(('Preise Output'!$F$10-INDEX(Annahmen!$B$18:$C$22,MATCH('Preise Output'!$C$7,Annahmen!$B$18:$B$22,0),2))*'Preise Output'!$E$26)/10,('Preise Output'!$E$26*'Preise Output'!$F$10-$D$6)/10)</f>
        <v>675</v>
      </c>
      <c r="AJ7" s="129">
        <f>IF($B$6=100%,(('Preise Output'!$F$10-INDEX(Annahmen!$B$18:$C$22,MATCH('Preise Output'!$C$7,Annahmen!$B$18:$B$22,0),2))*'Preise Output'!$E$26)/10,('Preise Output'!$E$26*'Preise Output'!$F$10-$D$6)/10)</f>
        <v>675</v>
      </c>
      <c r="AK7" s="129">
        <f>IF($B$6=100%,(('Preise Output'!$F$10-INDEX(Annahmen!$B$18:$C$22,MATCH('Preise Output'!$C$7,Annahmen!$B$18:$B$22,0),2))*'Preise Output'!$E$26)/10,('Preise Output'!$E$26*'Preise Output'!$F$10-$D$6)/10)</f>
        <v>675</v>
      </c>
      <c r="AL7" s="129">
        <f>IF($B$6=100%,(('Preise Output'!$F$10-INDEX(Annahmen!$B$18:$C$22,MATCH('Preise Output'!$C$7,Annahmen!$B$18:$B$22,0),2))*'Preise Output'!$E$26)/10,('Preise Output'!$E$26*'Preise Output'!$F$10-$D$6)/10)</f>
        <v>675</v>
      </c>
      <c r="AM7" s="130"/>
      <c r="AN7" s="130">
        <f t="shared" ref="AN7:AN43" si="0">SUM(D7:AM7)</f>
        <v>20250</v>
      </c>
      <c r="AQ7" s="130">
        <f t="shared" ref="AQ7:AQ45" si="1">SUM(D7:F7)</f>
        <v>1350</v>
      </c>
      <c r="AR7" s="130">
        <f t="shared" ref="AR7:AR45" si="2">SUM(G7:I7)</f>
        <v>2025</v>
      </c>
      <c r="AS7" s="130">
        <f t="shared" ref="AS7:AS45" si="3">SUM(J7:L7)</f>
        <v>2025</v>
      </c>
      <c r="AT7" s="130">
        <f t="shared" ref="AT7:AT45" si="4">SUM(M7:O7)</f>
        <v>1350</v>
      </c>
      <c r="AU7" s="130">
        <f t="shared" ref="AU7:AU45" si="5">SUM(P7:R7)</f>
        <v>1350</v>
      </c>
      <c r="AV7" s="130">
        <f t="shared" ref="AV7:AV45" si="6">SUM(S7:U7)</f>
        <v>2025</v>
      </c>
      <c r="AW7" s="130">
        <f t="shared" ref="AW7:AW45" si="7">SUM(V7:X7)</f>
        <v>2025</v>
      </c>
      <c r="AX7" s="130">
        <f t="shared" ref="AX7:AX45" si="8">SUM(Y7:AA7)</f>
        <v>1350</v>
      </c>
      <c r="AY7" s="130">
        <f t="shared" ref="AY7:AY45" si="9">SUM(AB7:AD7)</f>
        <v>1350</v>
      </c>
      <c r="AZ7" s="130">
        <f t="shared" ref="AZ7:AZ45" si="10">SUM(AE7:AG7)</f>
        <v>2025</v>
      </c>
      <c r="BA7" s="130">
        <f t="shared" ref="BA7:BA45" si="11">SUM(AH7:AJ7)</f>
        <v>2025</v>
      </c>
      <c r="BB7" s="130">
        <f t="shared" ref="BB7:BB45" si="12">SUM(AK7:AM7)</f>
        <v>1350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40425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74462BDE-28E4-4526-B86B-C9C65EE947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2025-06-24T09:22:56Z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