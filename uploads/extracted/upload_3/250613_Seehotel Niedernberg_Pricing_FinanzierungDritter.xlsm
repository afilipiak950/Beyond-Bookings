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eehotel Niedernberg/"/>
    </mc:Choice>
  </mc:AlternateContent>
  <xr:revisionPtr revIDLastSave="124" documentId="8_{207F9823-9F7A-439A-86BD-E629EE244269}" xr6:coauthVersionLast="47" xr6:coauthVersionMax="47" xr10:uidLastSave="{C4D9D4C2-B5ED-4225-AC31-C3958EA535D7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<sst xmlns="http://schemas.openxmlformats.org/spreadsheetml/2006/main" count="518" uniqueCount="305">
  <si>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</si>
  <si>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</si>
  <si>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</si>
  <si>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</si>
  <si>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</si>
  <si>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</si>
  <si>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</si>
  <si>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</si>
  <si>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</si>
  <si>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</si>
  <si>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</si>
  <si>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</si>
  <si>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</si>
  <si>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</si>
  <si>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</si>
  <si>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</si>
  <si>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</si>
  <si>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</si>
  <si>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</si>
  <si>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</si>
  <si>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</si>
  <si>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</si>
  <si>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</si>
  <si>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</si>
  <si>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</si>
  <si>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</si>
  <si>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</si>
  <si>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</si>
  <si>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</si>
  <si>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</si>
  <si>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</si>
  <si>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</si>
  <si>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</si>
  <si>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</si>
  <si>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</si>
  <si>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</si>
  <si>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</si>
  <si>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</si>
  <si>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</si>
  <si>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</si>
  <si>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</si>
  <si>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</si>
  <si>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</si>
  <si>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</si>
  <si>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</si>
  <si>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</si>
  <si>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</si>
  <si>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</si>
  <si>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</si>
  <si>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</si>
  <si>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</si>
  <si>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</si>
  <si>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</si>
  <si>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</si>
  <si>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</si>
  <si>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</si>
  <si>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</si>
  <si>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</si>
  <si>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</si>
  <si>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</si>
  <si>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</si>
  <si>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</si>
  <si>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</si>
  <si>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</si>
  <si>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</si>
  <si>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</si>
  <si>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</si>
  <si>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</si>
  <si>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</si>
  <si>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</si>
  <si>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</si>
  <si>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</si>
  <si>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</si>
  <si>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</si>
  <si>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</si>
  <si>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</si>
  <si>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</si>
  <si>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</si>
  <si>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</si>
  <si>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</si>
  <si>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</si>
  <si>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</si>
  <si>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</si>
  <si>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</si>
  <si>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</si>
  <si>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</si>
  <si>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</si>
  <si>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</si>
  <si>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</si>
  <si>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</si>
  <si>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</si>
  <si>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</si>
  <si>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</si>
  <si>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</si>
  <si>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</si>
  <si>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</si>
  <si>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</si>
  <si>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</si>
  <si>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</si>
  <si>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</si>
  <si>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</si>
  <si>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</si>
  <si>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</si>
  <si>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</si>
  <si>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</si>
  <si>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</si>
  <si>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</si>
  <si>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</si>
  <si>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</si>
  <si>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</si>
  <si>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</si>
  <si>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</si>
  <si>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</si>
  <si>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</si>
  <si>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</si>
  <si>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</si>
  <si>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</si>
  <si>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</si>
  <si>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</si>
  <si>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</si>
  <si>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</si>
  <si>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</si>
  <si>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</si>
  <si>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</si>
  <si>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</si>
  <si>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</si>
  <si>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</si>
  <si>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</si>
  <si>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</si>
  <si>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</si>
  <si>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</si>
  <si>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</si>
  <si>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</si>
  <si>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</si>
  <si>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</si>
  <si>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</si>
  <si>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</si>
  <si>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</si>
  <si>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</si>
  <si>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</si>
  <si>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</si>
  <si>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</si>
  <si>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</si>
  <si>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</si>
  <si>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</si>
  <si>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</si>
  <si>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</si>
  <si>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</si>
  <si>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</si>
  <si>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</si>
  <si>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</si>
  <si>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</si>
  <si>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</si>
  <si>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</si>
  <si>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</si>
  <si>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</si>
  <si>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</si>
  <si>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</si>
  <si>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</si>
  <si>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</si>
  <si>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</si>
  <si>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</si>
  <si>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</si>
  <si>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</si>
  <si>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</si>
  <si>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</si>
  <si>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</si>
  <si>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</si>
  <si>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</si>
  <si>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</si>
  <si>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</si>
  <si>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</si>
  <si>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</si>
  <si>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</si>
  <si>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</si>
  <si>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</si>
  <si>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</si>
  <si>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</si>
  <si>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</si>
  <si>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</si>
  <si>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</si>
  <si>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</si>
  <si>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</si>
  <si>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</si>
  <si>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</si>
  <si>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</si>
  <si>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</si>
  <si>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</si>
  <si>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</si>
  <si>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</si>
  <si>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</si>
  <si>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</si>
  <si>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</si>
  <si>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</si>
  <si>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</si>
  <si>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</si>
  <si>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</si>
  <si>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</si>
  <si>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</si>
  <si>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</si>
  <si>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</si>
  <si>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</si>
  <si>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</si>
  <si>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</si>
  <si>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</si>
  <si>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</si>
  <si>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</si>
  <si>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</si>
  <si>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</si>
  <si>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</si>
  <si>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</si>
  <si>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</si>
  <si>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</si>
  <si>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</si>
  <si>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</si>
  <si>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</si>
  <si>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</si>
  <si>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</si>
  <si>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</si>
  <si>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</si>
  <si>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</si>
  <si>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</si>
  <si>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</si>
  <si>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</si>
  <si>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</si>
  <si>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</si>
  <si>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</si>
  <si>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</si>
  <si>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</si>
  <si>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</si>
  <si>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</si>
  <si>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</si>
  <si>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</si>
  <si>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</si>
  <si>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</si>
  <si>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</si>
  <si>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</si>
  <si>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</si>
  <si>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</si>
  <si>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</si>
  <si>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</si>
  <si>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</si>
  <si>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</si>
  <si>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</si>
  <si>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</si>
  <si>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</si>
  <si>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</si>
  <si>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</si>
  <si>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</si>
  <si>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</si>
  <si>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</si>
  <si>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</si>
  <si>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</si>
  <si>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</si>
  <si>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</si>
  <si>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</si>
  <si>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</si>
  <si>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</si>
  <si>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</si>
  <si>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</si>
  <si>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</si>
  <si>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</si>
  <si>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</si>
  <si>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</si>
  <si>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</si>
  <si>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</si>
  <si>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</si>
  <si>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</si>
  <si>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</si>
  <si>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</si>
  <si>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</si>
  <si>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</si>
  <si>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</si>
  <si>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</si>
  <si>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</si>
  <si>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</si>
  <si>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</si>
  <si>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</si>
  <si>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</si>
  <si>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</si>
  <si>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</si>
  <si>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</si>
  <si>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</si>
  <si>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</si>
  <si>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</si>
  <si>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</si>
  <si>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</si>
  <si>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</si>
  <si>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</si>
  <si>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</si>
  <si>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</si>
  <si>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</si>
  <si>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</si>
  <si>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</si>
  <si>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</si>
  <si>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</si>
  <si>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Seehotel Niedernberg</t>
  </si>
  <si>
    <t>inkl. Frst.</t>
  </si>
  <si>
    <t>Inklusivleistungen:</t>
  </si>
  <si>
    <t>Frühstück</t>
  </si>
  <si>
    <t>Wellnessbereich</t>
  </si>
  <si>
    <t>Minibar</t>
  </si>
  <si>
    <t>Parkplatz</t>
  </si>
  <si>
    <t>lt. Animod 89€ ok</t>
  </si>
  <si>
    <t>41,85 ok bei VK 89 von Animod abgesegnet.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</si>
</sst>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4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D10" sqref="D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3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45821</v>
      </c>
      <c r="E5" s="151" t="s">
        <v>5</v>
      </c>
      <c r="F5" s="153">
        <v>89</v>
      </c>
      <c r="G5" s="44" t="s">
        <v>303</v>
      </c>
      <c r="H5" s="44" t="s">
        <v>298</v>
      </c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150.80000000000001</v>
      </c>
      <c r="G6" s="217"/>
      <c r="H6" s="37" t="s">
        <v>299</v>
      </c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41.85</v>
      </c>
      <c r="G7" s="37" t="s">
        <v>304</v>
      </c>
      <c r="H7" s="40" t="s">
        <v>300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115</v>
      </c>
      <c r="E8" s="218"/>
      <c r="F8" s="218"/>
      <c r="G8" s="218"/>
      <c r="H8" s="40" t="s">
        <v>301</v>
      </c>
      <c r="I8" s="218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0.430153160584264</v>
      </c>
      <c r="G9" s="56"/>
      <c r="H9" s="56" t="s">
        <v>302</v>
      </c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16790</v>
      </c>
      <c r="E10" s="152" t="s">
        <v>13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1">
        <f>+I26</f>
        <v>70194.3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232</v>
      </c>
      <c r="D12" s="61"/>
      <c r="E12" s="155" t="s">
        <v>243</v>
      </c>
      <c r="F12" s="240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1"/>
      <c r="F13" s="221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956</v>
      </c>
      <c r="F24" s="76">
        <v>3</v>
      </c>
      <c r="G24" s="77">
        <f>F12*D24</f>
        <v>40000</v>
      </c>
      <c r="H24" s="77">
        <f>$E24*$F$10*1.1-$G24</f>
        <v>30194.300000000003</v>
      </c>
      <c r="I24" s="77">
        <f>G24+H24</f>
        <v>70194.3</v>
      </c>
      <c r="J24" s="78">
        <f t="shared" si="16"/>
        <v>0.430153160584264</v>
      </c>
      <c r="K24" s="77">
        <v>0</v>
      </c>
      <c r="L24" s="77">
        <v>0</v>
      </c>
      <c r="M24" s="77">
        <f>G24*1.19-G24</f>
        <v>7600</v>
      </c>
      <c r="N24" s="77">
        <f t="shared" si="5"/>
        <v>3031.1175000000003</v>
      </c>
      <c r="O24" s="77">
        <f>L24-M24-N24</f>
        <v>-10631.1175</v>
      </c>
      <c r="P24" s="79">
        <f>IFERROR($H24-L24,"")</f>
        <v>30194.300000000003</v>
      </c>
      <c r="Q24" s="78">
        <f>IFERROR(($H24-L24)/$I24,"")</f>
        <v>0.430153160584264</v>
      </c>
      <c r="R24" s="80">
        <f>IFERROR((1-Q24)*F24,"")</f>
        <v>1.7095405182472079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956</v>
      </c>
      <c r="F26" s="89"/>
      <c r="G26" s="89">
        <f>SUBTOTAL(9,G19:G24)</f>
        <v>40000</v>
      </c>
      <c r="H26" s="89">
        <f>SUBTOTAL(9,H19:H24)</f>
        <v>30194.300000000003</v>
      </c>
      <c r="I26" s="89">
        <f>SUBTOTAL(9,I19:I24)</f>
        <v>70194.3</v>
      </c>
      <c r="J26" s="90">
        <f>H26/I26</f>
        <v>0.430153160584264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3031.1175000000003</v>
      </c>
      <c r="O26" s="89">
        <f t="shared" si="25"/>
        <v>-10631.1175</v>
      </c>
      <c r="P26" s="89">
        <f t="shared" si="25"/>
        <v>30194.300000000003</v>
      </c>
      <c r="Q26" s="90">
        <f>($H26-L26)/$I26</f>
        <v>0.430153160584264</v>
      </c>
      <c r="R26" s="91">
        <f>IFERROR((1-Q26)*F26,"")</f>
        <v>0</v>
      </c>
    </row>
    <row r="27" spans="2:32" x14ac:dyDescent="0.4">
      <c r="E27" s="220" t="str">
        <f>"Das enspricht "&amp;TEXT(E26/(C10),"0,0%") &amp; " des Leerstands p.a. über 3 Jahre."</f>
        <v>Das enspricht 5,7%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F10" sqref="F1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3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4">
        <v>25</v>
      </c>
    </row>
    <row r="3" spans="2:11" x14ac:dyDescent="0.4">
      <c r="B3" s="103" t="s">
        <v>52</v>
      </c>
      <c r="C3" s="224">
        <v>47.5</v>
      </c>
    </row>
    <row r="4" spans="2:11" x14ac:dyDescent="0.4">
      <c r="B4" s="103" t="s">
        <v>53</v>
      </c>
      <c r="C4" s="225">
        <f>+C3-C2</f>
        <v>22.5</v>
      </c>
    </row>
    <row r="5" spans="2:11" ht="6" customHeight="1" x14ac:dyDescent="0.4">
      <c r="C5" s="226"/>
    </row>
    <row r="6" spans="2:11" x14ac:dyDescent="0.4">
      <c r="B6" s="103" t="s">
        <v>54</v>
      </c>
      <c r="C6" s="224" t="s">
        <v>264</v>
      </c>
    </row>
    <row r="7" spans="2:11" x14ac:dyDescent="0.4">
      <c r="B7" s="103" t="s">
        <v>55</v>
      </c>
      <c r="C7" s="225">
        <f>IFERROR(INDEX('Preise Output'!$B$19:$E$24,MATCH(Preisvergleich!$C$6,'Preise Output'!$B$19:$B$24,0),4)/INDEX('Preise Output'!$B$19:$E$24,MATCH(Preisvergleich!$C$6,'Preise Output'!$B$19:$B$24,0),3),"--")</f>
        <v>956</v>
      </c>
    </row>
    <row r="9" spans="2:11" x14ac:dyDescent="0.4">
      <c r="B9" s="109" t="s">
        <v>56</v>
      </c>
      <c r="C9" s="227"/>
    </row>
    <row r="11" spans="2:11" ht="14.5" thickBot="1" x14ac:dyDescent="0.45">
      <c r="B11" s="106" t="s">
        <v>255</v>
      </c>
      <c r="C11" s="228">
        <f>C12</f>
        <v>33613.445378151264</v>
      </c>
    </row>
    <row r="12" spans="2:11" x14ac:dyDescent="0.4">
      <c r="B12" s="212" t="s">
        <v>285</v>
      </c>
      <c r="C12" s="229">
        <f>F13+F14</f>
        <v>33613.445378151264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0">
        <f>E13*F13</f>
        <v>0</v>
      </c>
      <c r="E13" s="222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1">
        <f>F14*E14</f>
        <v>6386.5546218487398</v>
      </c>
      <c r="E14" s="222">
        <v>0.19</v>
      </c>
      <c r="F14" s="162">
        <f>(F18-F13*(1+E13))/(1+E14)</f>
        <v>33613.445378151264</v>
      </c>
    </row>
    <row r="15" spans="2:11" hidden="1" x14ac:dyDescent="0.4">
      <c r="B15" s="105" t="s">
        <v>61</v>
      </c>
      <c r="C15" s="232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4"/>
      <c r="D17" s="97" t="s">
        <v>184</v>
      </c>
    </row>
    <row r="18" spans="2:8" x14ac:dyDescent="0.4">
      <c r="B18" s="100" t="s">
        <v>180</v>
      </c>
      <c r="C18" s="235">
        <f>SUM(C12:C14)</f>
        <v>40000</v>
      </c>
      <c r="F18" s="97">
        <f>'Preise Output'!G26</f>
        <v>40000</v>
      </c>
    </row>
    <row r="21" spans="2:8" x14ac:dyDescent="0.4">
      <c r="B21" s="109" t="s">
        <v>63</v>
      </c>
      <c r="C21" s="227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956 Gutscheine x 41,85€ je Gutschein</v>
      </c>
      <c r="C24" s="236">
        <f>IFERROR(C7*'Preise Output'!$F$7,"--")</f>
        <v>40008.6</v>
      </c>
    </row>
    <row r="25" spans="2:8" x14ac:dyDescent="0.4">
      <c r="B25" s="97" t="str">
        <f>"Das enspricht "&amp;TEXT('Preise Output'!E26/('Preise Output'!C10),"0,0%") &amp; " des Leerstands p.a."</f>
        <v>Das enspricht 5,7% des Leerstands p.a.</v>
      </c>
      <c r="C25" s="230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3">
        <f>IFERROR(F26*E26,"--")</f>
        <v>2466.002</v>
      </c>
      <c r="E26" s="222">
        <v>7.0000000000000007E-2</v>
      </c>
      <c r="F26" s="162">
        <f>C24-F27</f>
        <v>35228.6</v>
      </c>
    </row>
    <row r="27" spans="2:8" ht="14.5" thickBot="1" x14ac:dyDescent="0.45">
      <c r="B27" s="99" t="str">
        <f>"Mehrwertsteuer " &amp; TEXT(E27,"0%")</f>
        <v>Mehrwertsteuer 19%</v>
      </c>
      <c r="C27" s="233">
        <f>IFERROR(F27*E27,"--")</f>
        <v>908.2</v>
      </c>
      <c r="E27" s="222">
        <v>0.19</v>
      </c>
      <c r="F27" s="162">
        <f>G27*C7</f>
        <v>4780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22,5€ je Gutschein x 956 Roomnights</v>
      </c>
      <c r="C31" s="236">
        <f>C7*C4</f>
        <v>21510</v>
      </c>
    </row>
    <row r="32" spans="2:8" x14ac:dyDescent="0.4">
      <c r="B32" s="108" t="s">
        <v>293</v>
      </c>
      <c r="C32" s="228">
        <f>C26+C27</f>
        <v>3374.2020000000002</v>
      </c>
    </row>
    <row r="33" spans="2:3" ht="14.5" thickBot="1" x14ac:dyDescent="0.45">
      <c r="B33" s="115" t="s">
        <v>288</v>
      </c>
      <c r="C33" s="237">
        <f>-(C13+C14)</f>
        <v>-6386.5546218487398</v>
      </c>
    </row>
    <row r="34" spans="2:3" x14ac:dyDescent="0.4">
      <c r="B34" s="96" t="s">
        <v>271</v>
      </c>
      <c r="C34" s="235">
        <f>SUM(C31:C33)</f>
        <v>18497.647378151261</v>
      </c>
    </row>
    <row r="36" spans="2:3" x14ac:dyDescent="0.4">
      <c r="B36" s="102" t="s">
        <v>65</v>
      </c>
      <c r="C36" s="238">
        <f>C12-C34</f>
        <v>15115.798000000003</v>
      </c>
    </row>
    <row r="37" spans="2:3" x14ac:dyDescent="0.4">
      <c r="B37" s="97" t="s">
        <v>289</v>
      </c>
      <c r="C37" s="239">
        <f>C36/C12</f>
        <v>0.4496949905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33460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33460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33460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33460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3035.3</v>
      </c>
      <c r="F7" s="129">
        <f>IF($B$6=100%,(('Preise Output'!$F$10-INDEX(Annahmen!$B$18:$C$22,MATCH('Preise Output'!$C$7,Annahmen!$B$18:$B$22,0),2))*'Preise Output'!$E$26)/10,('Preise Output'!$E$26*'Preise Output'!$F$10-$D$6)/10)</f>
        <v>3035.3</v>
      </c>
      <c r="G7" s="129">
        <f>IF($B$6=100%,(('Preise Output'!$F$10-INDEX(Annahmen!$B$18:$C$22,MATCH('Preise Output'!$C$7,Annahmen!$B$18:$B$22,0),2))*'Preise Output'!$E$26)/10,('Preise Output'!$E$26*'Preise Output'!$F$10-$D$6)/10)</f>
        <v>3035.3</v>
      </c>
      <c r="H7" s="129">
        <f>IF($B$6=100%,(('Preise Output'!$F$10-INDEX(Annahmen!$B$18:$C$22,MATCH('Preise Output'!$C$7,Annahmen!$B$18:$B$22,0),2))*'Preise Output'!$E$26)/10,('Preise Output'!$E$26*'Preise Output'!$F$10-$D$6)/10)</f>
        <v>3035.3</v>
      </c>
      <c r="I7" s="129">
        <f>IF($B$6=100%,(('Preise Output'!$F$10-INDEX(Annahmen!$B$18:$C$22,MATCH('Preise Output'!$C$7,Annahmen!$B$18:$B$22,0),2))*'Preise Output'!$E$26)/10,('Preise Output'!$E$26*'Preise Output'!$F$10-$D$6)/10)</f>
        <v>3035.3</v>
      </c>
      <c r="J7" s="129">
        <f>IF($B$6=100%,(('Preise Output'!$F$10-INDEX(Annahmen!$B$18:$C$22,MATCH('Preise Output'!$C$7,Annahmen!$B$18:$B$22,0),2))*'Preise Output'!$E$26)/10,('Preise Output'!$E$26*'Preise Output'!$F$10-$D$6)/10)</f>
        <v>3035.3</v>
      </c>
      <c r="K7" s="129">
        <f>IF($B$6=100%,(('Preise Output'!$F$10-INDEX(Annahmen!$B$18:$C$22,MATCH('Preise Output'!$C$7,Annahmen!$B$18:$B$22,0),2))*'Preise Output'!$E$26)/10,('Preise Output'!$E$26*'Preise Output'!$F$10-$D$6)/10)</f>
        <v>3035.3</v>
      </c>
      <c r="L7" s="129">
        <f>IF($B$6=100%,(('Preise Output'!$F$10-INDEX(Annahmen!$B$18:$C$22,MATCH('Preise Output'!$C$7,Annahmen!$B$18:$B$22,0),2))*'Preise Output'!$E$26)/10,('Preise Output'!$E$26*'Preise Output'!$F$10-$D$6)/10)</f>
        <v>3035.3</v>
      </c>
      <c r="M7" s="129">
        <f>IF($B$6=100%,(('Preise Output'!$F$10-INDEX(Annahmen!$B$18:$C$22,MATCH('Preise Output'!$C$7,Annahmen!$B$18:$B$22,0),2))*'Preise Output'!$E$26)/10,('Preise Output'!$E$26*'Preise Output'!$F$10-$D$6)/10)</f>
        <v>3035.3</v>
      </c>
      <c r="N7" s="129">
        <f>IF($B$6=100%,(('Preise Output'!$F$10-INDEX(Annahmen!$B$18:$C$22,MATCH('Preise Output'!$C$7,Annahmen!$B$18:$B$22,0),2))*'Preise Output'!$E$26)/10,('Preise Output'!$E$26*'Preise Output'!$F$10-$D$6)/10)</f>
        <v>3035.3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3035.3</v>
      </c>
      <c r="R7" s="129">
        <f>IF($B$6=100%,(('Preise Output'!$F$10-INDEX(Annahmen!$B$18:$C$22,MATCH('Preise Output'!$C$7,Annahmen!$B$18:$B$22,0),2))*'Preise Output'!$E$26)/10,('Preise Output'!$E$26*'Preise Output'!$F$10-$D$6)/10)</f>
        <v>3035.3</v>
      </c>
      <c r="S7" s="129">
        <f>IF($B$6=100%,(('Preise Output'!$F$10-INDEX(Annahmen!$B$18:$C$22,MATCH('Preise Output'!$C$7,Annahmen!$B$18:$B$22,0),2))*'Preise Output'!$E$26)/10,('Preise Output'!$E$26*'Preise Output'!$F$10-$D$6)/10)</f>
        <v>3035.3</v>
      </c>
      <c r="T7" s="129">
        <f>IF($B$6=100%,(('Preise Output'!$F$10-INDEX(Annahmen!$B$18:$C$22,MATCH('Preise Output'!$C$7,Annahmen!$B$18:$B$22,0),2))*'Preise Output'!$E$26)/10,('Preise Output'!$E$26*'Preise Output'!$F$10-$D$6)/10)</f>
        <v>3035.3</v>
      </c>
      <c r="U7" s="129">
        <f>IF($B$6=100%,(('Preise Output'!$F$10-INDEX(Annahmen!$B$18:$C$22,MATCH('Preise Output'!$C$7,Annahmen!$B$18:$B$22,0),2))*'Preise Output'!$E$26)/10,('Preise Output'!$E$26*'Preise Output'!$F$10-$D$6)/10)</f>
        <v>3035.3</v>
      </c>
      <c r="V7" s="129">
        <f>IF($B$6=100%,(('Preise Output'!$F$10-INDEX(Annahmen!$B$18:$C$22,MATCH('Preise Output'!$C$7,Annahmen!$B$18:$B$22,0),2))*'Preise Output'!$E$26)/10,('Preise Output'!$E$26*'Preise Output'!$F$10-$D$6)/10)</f>
        <v>3035.3</v>
      </c>
      <c r="W7" s="129">
        <f>IF($B$6=100%,(('Preise Output'!$F$10-INDEX(Annahmen!$B$18:$C$22,MATCH('Preise Output'!$C$7,Annahmen!$B$18:$B$22,0),2))*'Preise Output'!$E$26)/10,('Preise Output'!$E$26*'Preise Output'!$F$10-$D$6)/10)</f>
        <v>3035.3</v>
      </c>
      <c r="X7" s="129">
        <f>IF($B$6=100%,(('Preise Output'!$F$10-INDEX(Annahmen!$B$18:$C$22,MATCH('Preise Output'!$C$7,Annahmen!$B$18:$B$22,0),2))*'Preise Output'!$E$26)/10,('Preise Output'!$E$26*'Preise Output'!$F$10-$D$6)/10)</f>
        <v>3035.3</v>
      </c>
      <c r="Y7" s="129">
        <f>IF($B$6=100%,(('Preise Output'!$F$10-INDEX(Annahmen!$B$18:$C$22,MATCH('Preise Output'!$C$7,Annahmen!$B$18:$B$22,0),2))*'Preise Output'!$E$26)/10,('Preise Output'!$E$26*'Preise Output'!$F$10-$D$6)/10)</f>
        <v>3035.3</v>
      </c>
      <c r="Z7" s="129">
        <f>IF($B$6=100%,(('Preise Output'!$F$10-INDEX(Annahmen!$B$18:$C$22,MATCH('Preise Output'!$C$7,Annahmen!$B$18:$B$22,0),2))*'Preise Output'!$E$26)/10,('Preise Output'!$E$26*'Preise Output'!$F$10-$D$6)/10)</f>
        <v>3035.3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3035.3</v>
      </c>
      <c r="AD7" s="129">
        <f>IF($B$6=100%,(('Preise Output'!$F$10-INDEX(Annahmen!$B$18:$C$22,MATCH('Preise Output'!$C$7,Annahmen!$B$18:$B$22,0),2))*'Preise Output'!$E$26)/10,('Preise Output'!$E$26*'Preise Output'!$F$10-$D$6)/10)</f>
        <v>3035.3</v>
      </c>
      <c r="AE7" s="129">
        <f>IF($B$6=100%,(('Preise Output'!$F$10-INDEX(Annahmen!$B$18:$C$22,MATCH('Preise Output'!$C$7,Annahmen!$B$18:$B$22,0),2))*'Preise Output'!$E$26)/10,('Preise Output'!$E$26*'Preise Output'!$F$10-$D$6)/10)</f>
        <v>3035.3</v>
      </c>
      <c r="AF7" s="129">
        <f>IF($B$6=100%,(('Preise Output'!$F$10-INDEX(Annahmen!$B$18:$C$22,MATCH('Preise Output'!$C$7,Annahmen!$B$18:$B$22,0),2))*'Preise Output'!$E$26)/10,('Preise Output'!$E$26*'Preise Output'!$F$10-$D$6)/10)</f>
        <v>3035.3</v>
      </c>
      <c r="AG7" s="129">
        <f>IF($B$6=100%,(('Preise Output'!$F$10-INDEX(Annahmen!$B$18:$C$22,MATCH('Preise Output'!$C$7,Annahmen!$B$18:$B$22,0),2))*'Preise Output'!$E$26)/10,('Preise Output'!$E$26*'Preise Output'!$F$10-$D$6)/10)</f>
        <v>3035.3</v>
      </c>
      <c r="AH7" s="129">
        <f>IF($B$6=100%,(('Preise Output'!$F$10-INDEX(Annahmen!$B$18:$C$22,MATCH('Preise Output'!$C$7,Annahmen!$B$18:$B$22,0),2))*'Preise Output'!$E$26)/10,('Preise Output'!$E$26*'Preise Output'!$F$10-$D$6)/10)</f>
        <v>3035.3</v>
      </c>
      <c r="AI7" s="129">
        <f>IF($B$6=100%,(('Preise Output'!$F$10-INDEX(Annahmen!$B$18:$C$22,MATCH('Preise Output'!$C$7,Annahmen!$B$18:$B$22,0),2))*'Preise Output'!$E$26)/10,('Preise Output'!$E$26*'Preise Output'!$F$10-$D$6)/10)</f>
        <v>3035.3</v>
      </c>
      <c r="AJ7" s="129">
        <f>IF($B$6=100%,(('Preise Output'!$F$10-INDEX(Annahmen!$B$18:$C$22,MATCH('Preise Output'!$C$7,Annahmen!$B$18:$B$22,0),2))*'Preise Output'!$E$26)/10,('Preise Output'!$E$26*'Preise Output'!$F$10-$D$6)/10)</f>
        <v>3035.3</v>
      </c>
      <c r="AK7" s="129">
        <f>IF($B$6=100%,(('Preise Output'!$F$10-INDEX(Annahmen!$B$18:$C$22,MATCH('Preise Output'!$C$7,Annahmen!$B$18:$B$22,0),2))*'Preise Output'!$E$26)/10,('Preise Output'!$E$26*'Preise Output'!$F$10-$D$6)/10)</f>
        <v>3035.3</v>
      </c>
      <c r="AL7" s="129">
        <f>IF($B$6=100%,(('Preise Output'!$F$10-INDEX(Annahmen!$B$18:$C$22,MATCH('Preise Output'!$C$7,Annahmen!$B$18:$B$22,0),2))*'Preise Output'!$E$26)/10,('Preise Output'!$E$26*'Preise Output'!$F$10-$D$6)/10)</f>
        <v>3035.3</v>
      </c>
      <c r="AM7" s="130"/>
      <c r="AN7" s="130">
        <f t="shared" ref="AN7:AN43" si="0">SUM(D7:AM7)</f>
        <v>91059.000000000044</v>
      </c>
      <c r="AQ7" s="130">
        <f t="shared" ref="AQ7:AQ45" si="1">SUM(D7:F7)</f>
        <v>6070.6</v>
      </c>
      <c r="AR7" s="130">
        <f t="shared" ref="AR7:AR45" si="2">SUM(G7:I7)</f>
        <v>9105.9000000000015</v>
      </c>
      <c r="AS7" s="130">
        <f t="shared" ref="AS7:AS45" si="3">SUM(J7:L7)</f>
        <v>9105.9000000000015</v>
      </c>
      <c r="AT7" s="130">
        <f t="shared" ref="AT7:AT45" si="4">SUM(M7:O7)</f>
        <v>6070.6</v>
      </c>
      <c r="AU7" s="130">
        <f t="shared" ref="AU7:AU45" si="5">SUM(P7:R7)</f>
        <v>6070.6</v>
      </c>
      <c r="AV7" s="130">
        <f t="shared" ref="AV7:AV45" si="6">SUM(S7:U7)</f>
        <v>9105.9000000000015</v>
      </c>
      <c r="AW7" s="130">
        <f t="shared" ref="AW7:AW45" si="7">SUM(V7:X7)</f>
        <v>9105.9000000000015</v>
      </c>
      <c r="AX7" s="130">
        <f t="shared" ref="AX7:AX45" si="8">SUM(Y7:AA7)</f>
        <v>6070.6</v>
      </c>
      <c r="AY7" s="130">
        <f t="shared" ref="AY7:AY45" si="9">SUM(AB7:AD7)</f>
        <v>6070.6</v>
      </c>
      <c r="AZ7" s="130">
        <f t="shared" ref="AZ7:AZ45" si="10">SUM(AE7:AG7)</f>
        <v>9105.9000000000015</v>
      </c>
      <c r="BA7" s="130">
        <f t="shared" ref="BA7:BA45" si="11">SUM(AH7:AJ7)</f>
        <v>9105.9000000000015</v>
      </c>
      <c r="BB7" s="130">
        <f t="shared" ref="BB7:BB45" si="12">SUM(AK7:AM7)</f>
        <v>6070.6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70194.3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9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9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9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BC756850-971A-4780-B0C6-BC960D36BC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2025-06-18T12:23:02Z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