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RIP INN/Aschaffenburger-Hof - Pilotprojekt/"/>
    </mc:Choice>
  </mc:AlternateContent>
  <xr:revisionPtr revIDLastSave="83" documentId="8_{207F9823-9F7A-439A-86BD-E629EE244269}" xr6:coauthVersionLast="47" xr6:coauthVersionMax="47" xr10:uidLastSave="{657C7A15-13FA-4093-95BC-E8C1AB4C3141}"/>
  <bookViews>
    <workbookView xWindow="28680" yWindow="-8190" windowWidth="29040" windowHeight="157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L38" i="9" s="1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<sst xmlns="http://schemas.openxmlformats.org/spreadsheetml/2006/main" count="513" uniqueCount="300">
  <si>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</si>
  <si>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</si>
  <si>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</si>
  <si>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</si>
  <si>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</si>
  <si>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</si>
  <si>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</si>
  <si>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</si>
  <si>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</si>
  <si>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</si>
  <si>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</si>
  <si>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</si>
  <si>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</si>
  <si>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</si>
  <si>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</si>
  <si>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</si>
  <si>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</si>
  <si>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</si>
  <si>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</si>
  <si>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</si>
  <si>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</si>
  <si>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</si>
  <si>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</si>
  <si>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</si>
  <si>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</si>
  <si>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</si>
  <si>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</si>
  <si>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</si>
  <si>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</si>
  <si>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</si>
  <si>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</si>
  <si>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</si>
  <si>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</si>
  <si>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</si>
  <si>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</si>
  <si>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</si>
  <si>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</si>
  <si>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</si>
  <si>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</si>
  <si>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</si>
  <si>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</si>
  <si>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</si>
  <si>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</si>
  <si>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</si>
  <si>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</si>
  <si>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</si>
  <si>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</si>
  <si>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</si>
  <si>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</si>
  <si>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</si>
  <si>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</si>
  <si>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</si>
  <si>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</si>
  <si>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</si>
  <si>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</si>
  <si>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</si>
  <si>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</si>
  <si>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</si>
  <si>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</si>
  <si>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</si>
  <si>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</si>
  <si>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</si>
  <si>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</si>
  <si>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</si>
  <si>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</si>
  <si>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</si>
  <si>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</si>
  <si>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</si>
  <si>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</si>
  <si>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</si>
  <si>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</si>
  <si>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</si>
  <si>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</si>
  <si>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</si>
  <si>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</si>
  <si>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</si>
  <si>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</si>
  <si>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</si>
  <si>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</si>
  <si>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</si>
  <si>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</si>
  <si>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</si>
  <si>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</si>
  <si>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</si>
  <si>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</si>
  <si>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</si>
  <si>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</si>
  <si>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</si>
  <si>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</si>
  <si>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</si>
  <si>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</si>
  <si>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</si>
  <si>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</si>
  <si>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</si>
  <si>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</si>
  <si>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</si>
  <si>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</si>
  <si>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</si>
  <si>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</si>
  <si>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</si>
  <si>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</si>
  <si>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</si>
  <si>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</si>
  <si>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</si>
  <si>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</si>
  <si>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</si>
  <si>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</si>
  <si>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</si>
  <si>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</si>
  <si>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</si>
  <si>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</si>
  <si>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</si>
  <si>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</si>
  <si>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</si>
  <si>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</si>
  <si>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</si>
  <si>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</si>
  <si>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</si>
  <si>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</si>
  <si>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</si>
  <si>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</si>
  <si>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</si>
  <si>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</si>
  <si>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</si>
  <si>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</si>
  <si>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</si>
  <si>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</si>
  <si>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</si>
  <si>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</si>
  <si>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</si>
  <si>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</si>
  <si>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</si>
  <si>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</si>
  <si>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</si>
  <si>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</si>
  <si>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</si>
  <si>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</si>
  <si>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</si>
  <si>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</si>
  <si>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</si>
  <si>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</si>
  <si>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</si>
  <si>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</si>
  <si>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</si>
  <si>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</si>
  <si>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</si>
  <si>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</si>
  <si>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</si>
  <si>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</si>
  <si>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</si>
  <si>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</si>
  <si>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</si>
  <si>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</si>
  <si>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</si>
  <si>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</si>
  <si>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</si>
  <si>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</si>
  <si>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</si>
  <si>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</si>
  <si>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</si>
  <si>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</si>
  <si>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</si>
  <si>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</si>
  <si>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</si>
  <si>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</si>
  <si>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</si>
  <si>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</si>
  <si>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</si>
  <si>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</si>
  <si>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</si>
  <si>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</si>
  <si>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</si>
  <si>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</si>
  <si>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</si>
  <si>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</si>
  <si>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</si>
  <si>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</si>
  <si>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</si>
  <si>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</si>
  <si>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</si>
  <si>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</si>
  <si>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</si>
  <si>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</si>
  <si>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</si>
  <si>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</si>
  <si>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</si>
  <si>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</si>
  <si>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</si>
  <si>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</si>
  <si>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</si>
  <si>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</si>
  <si>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</si>
  <si>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</si>
  <si>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</si>
  <si>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</si>
  <si>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</si>
  <si>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</si>
  <si>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</si>
  <si>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</si>
  <si>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</si>
  <si>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</si>
  <si>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</si>
  <si>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</si>
  <si>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</si>
  <si>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</si>
  <si>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</si>
  <si>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</si>
  <si>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</si>
  <si>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</si>
  <si>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</si>
  <si>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</si>
  <si>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</si>
  <si>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</si>
  <si>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</si>
  <si>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</si>
  <si>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</si>
  <si>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</si>
  <si>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</si>
  <si>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</si>
  <si>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</si>
  <si>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</si>
  <si>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</si>
  <si>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</si>
  <si>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</si>
  <si>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</si>
  <si>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</si>
  <si>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</si>
  <si>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</si>
  <si>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</si>
  <si>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</si>
  <si>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</si>
  <si>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</si>
  <si>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</si>
  <si>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</si>
  <si>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</si>
  <si>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</si>
  <si>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</si>
  <si>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</si>
  <si>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</si>
  <si>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</si>
  <si>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</si>
  <si>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</si>
  <si>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</si>
  <si>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</si>
  <si>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</si>
  <si>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</si>
  <si>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</si>
  <si>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</si>
  <si>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</si>
  <si>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</si>
  <si>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</si>
  <si>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</si>
  <si>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</si>
  <si>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</si>
  <si>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</si>
  <si>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</si>
  <si>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</si>
  <si>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</si>
  <si>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</si>
  <si>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</si>
  <si>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</si>
  <si>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</si>
  <si>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</si>
  <si>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</si>
  <si>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</si>
  <si>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</si>
  <si>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</si>
  <si>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</si>
  <si>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</si>
  <si>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</si>
  <si>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</si>
  <si>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</si>
  <si>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</si>
  <si>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</si>
  <si>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</si>
  <si>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</si>
  <si>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</si>
  <si>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</si>
  <si>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</si>
  <si>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</si>
  <si>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</si>
  <si>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</si>
  <si>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</si>
  <si>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</si>
  <si>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</si>
  <si>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</si>
  <si>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</si>
  <si>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</si>
  <si>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</si>
  <si>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</si>
  <si>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</si>
  <si>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</si>
  <si>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</si>
  <si>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</si>
  <si>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</si>
  <si>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</si>
  <si>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TRIP INN Hotel Aschaffenburger Hof</t>
  </si>
  <si>
    <t>Projektpreis Betterspace: Einmalig netto 19.260,36 - einmalig brutto 22.919,83</t>
  </si>
  <si>
    <t>jährlich netto 1.233,36 - jährlich brutto 1.467,7</t>
  </si>
  <si>
    <t>insgesamt auf 3 Jahre: netto 22.960,45 - brutto 27.322,93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</si>
</sst>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90" zoomScaleNormal="9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S17" sqref="S17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hidden="1" customWidth="1" outlineLevel="1"/>
    <col min="8" max="8" width="24.453125" style="40" hidden="1" customWidth="1" outlineLevel="1"/>
    <col min="9" max="9" width="31.453125" style="40" hidden="1" customWidth="1" outlineLevel="1"/>
    <col min="10" max="12" width="24.453125" style="40" hidden="1" customWidth="1" outlineLevel="1"/>
    <col min="13" max="13" width="18.453125" style="40" hidden="1" customWidth="1" outlineLevel="2"/>
    <col min="14" max="14" width="18" style="40" hidden="1" customWidth="1" outlineLevel="2"/>
    <col min="15" max="15" width="28" style="40" hidden="1" customWidth="1" outlineLevel="2"/>
    <col min="16" max="16" width="28" style="40" hidden="1" customWidth="1" outlineLevel="1"/>
    <col min="17" max="17" width="26.453125" style="40" hidden="1" customWidth="1" outlineLevel="1"/>
    <col min="18" max="18" width="25" style="40" hidden="1" customWidth="1" outlineLevel="1"/>
    <col min="19" max="19" width="24.453125" style="37" customWidth="1" collapsed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45783</v>
      </c>
      <c r="E5" s="151" t="s">
        <v>5</v>
      </c>
      <c r="F5" s="153">
        <v>49</v>
      </c>
      <c r="G5" s="218"/>
      <c r="H5" s="218"/>
    </row>
    <row r="6" spans="1:32" ht="30" x14ac:dyDescent="0.4">
      <c r="B6" s="48" t="s">
        <v>4</v>
      </c>
      <c r="C6" s="49" t="s">
        <v>296</v>
      </c>
      <c r="E6" s="152" t="s">
        <v>290</v>
      </c>
      <c r="F6" s="37">
        <f>C12*0.65</f>
        <v>54.6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77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0.25807694996968955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8431.5000000000018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36827.175000000003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84</v>
      </c>
      <c r="D12" s="61"/>
      <c r="E12" s="155" t="s">
        <v>243</v>
      </c>
      <c r="F12" s="241">
        <v>27322.93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S12" s="166" t="s">
        <v>297</v>
      </c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T13" s="166" t="s">
        <v>298</v>
      </c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S14" s="166" t="s">
        <v>299</v>
      </c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911</v>
      </c>
      <c r="F24" s="76">
        <v>3</v>
      </c>
      <c r="G24" s="77">
        <f>F12*D24</f>
        <v>27322.93</v>
      </c>
      <c r="H24" s="77">
        <f>$E24*$F$10*1.1-$G24</f>
        <v>9504.2450000000026</v>
      </c>
      <c r="I24" s="77">
        <f>G24+H24</f>
        <v>36827.175000000003</v>
      </c>
      <c r="J24" s="78">
        <f t="shared" si="16"/>
        <v>0.25807694996968955</v>
      </c>
      <c r="K24" s="77">
        <v>0</v>
      </c>
      <c r="L24" s="77">
        <v>0</v>
      </c>
      <c r="M24" s="77">
        <f>G24*1.19-G24</f>
        <v>5191.3567000000003</v>
      </c>
      <c r="N24" s="77">
        <f t="shared" si="5"/>
        <v>1590.264375</v>
      </c>
      <c r="O24" s="77">
        <f>L24-M24-N24</f>
        <v>-6781.621075</v>
      </c>
      <c r="P24" s="79">
        <f>IFERROR($H24-L24,"")</f>
        <v>9504.2450000000026</v>
      </c>
      <c r="Q24" s="78">
        <f>IFERROR(($H24-L24)/$I24,"")</f>
        <v>0.25807694996968955</v>
      </c>
      <c r="R24" s="80">
        <f>IFERROR((1-Q24)*F24,"")</f>
        <v>2.2257691500909313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911</v>
      </c>
      <c r="F26" s="89"/>
      <c r="G26" s="89">
        <f>SUBTOTAL(9,G19:G24)</f>
        <v>27322.93</v>
      </c>
      <c r="H26" s="89">
        <f>SUBTOTAL(9,H19:H24)</f>
        <v>9504.2450000000026</v>
      </c>
      <c r="I26" s="89">
        <f>SUBTOTAL(9,I19:I24)</f>
        <v>36827.175000000003</v>
      </c>
      <c r="J26" s="90">
        <f>H26/I26</f>
        <v>0.25807694996968955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5191.3567000000003</v>
      </c>
      <c r="N26" s="89">
        <f t="shared" si="25"/>
        <v>1590.264375</v>
      </c>
      <c r="O26" s="89">
        <f t="shared" si="25"/>
        <v>-6781.621075</v>
      </c>
      <c r="P26" s="89">
        <f t="shared" si="25"/>
        <v>9504.2450000000026</v>
      </c>
      <c r="Q26" s="90">
        <f>($H26-L26)/$I26</f>
        <v>0.25807694996968955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10,8%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disablePrompts="1"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M44" sqref="M44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42.5</v>
      </c>
    </row>
    <row r="4" spans="2:11" x14ac:dyDescent="0.4">
      <c r="B4" s="103" t="s">
        <v>53</v>
      </c>
      <c r="C4" s="226">
        <f>+C3-C2</f>
        <v>17.5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911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22960.44537815126</v>
      </c>
    </row>
    <row r="12" spans="2:11" x14ac:dyDescent="0.4">
      <c r="B12" s="212" t="s">
        <v>285</v>
      </c>
      <c r="C12" s="230">
        <f>F13+F14</f>
        <v>22960.44537815126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4362.4846218487392</v>
      </c>
      <c r="E14" s="223">
        <v>0.19</v>
      </c>
      <c r="F14" s="162">
        <f>(F18-F13*(1+E13))/(1+E14)</f>
        <v>22960.44537815126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27322.93</v>
      </c>
      <c r="F18" s="97">
        <f>'Preise Output'!G26</f>
        <v>27322.93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911 Gutscheine x 30€ je Gutschein</v>
      </c>
      <c r="C24" s="237">
        <f>IFERROR(C7*'Preise Output'!$F$7,"--")</f>
        <v>27330</v>
      </c>
    </row>
    <row r="25" spans="2:8" x14ac:dyDescent="0.4">
      <c r="B25" s="97" t="str">
        <f>"Das enspricht "&amp;TEXT('Preise Output'!E26/('Preise Output'!C10),"0,0%") &amp; " des Leerstands p.a."</f>
        <v>Das enspricht 10,8%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1594.2500000000002</v>
      </c>
      <c r="E26" s="223">
        <v>7.0000000000000007E-2</v>
      </c>
      <c r="F26" s="162">
        <f>C24-F27</f>
        <v>22775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865.45</v>
      </c>
      <c r="E27" s="223">
        <v>0.19</v>
      </c>
      <c r="F27" s="162">
        <f>G27*C7</f>
        <v>4555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17,5€ je Gutschein x 911 Roomnights</v>
      </c>
      <c r="C31" s="237">
        <f>C7*C4</f>
        <v>15942.5</v>
      </c>
    </row>
    <row r="32" spans="2:8" x14ac:dyDescent="0.4">
      <c r="B32" s="108" t="s">
        <v>293</v>
      </c>
      <c r="C32" s="229">
        <f>C26+C27</f>
        <v>2459.7000000000003</v>
      </c>
    </row>
    <row r="33" spans="2:3" ht="14.5" thickBot="1" x14ac:dyDescent="0.45">
      <c r="B33" s="115" t="s">
        <v>288</v>
      </c>
      <c r="C33" s="238">
        <f>-(C13+C14)</f>
        <v>-4362.4846218487392</v>
      </c>
    </row>
    <row r="34" spans="2:3" x14ac:dyDescent="0.4">
      <c r="B34" s="96" t="s">
        <v>271</v>
      </c>
      <c r="C34" s="236">
        <f>SUM(C31:C33)</f>
        <v>14039.715378151261</v>
      </c>
    </row>
    <row r="36" spans="2:3" x14ac:dyDescent="0.4">
      <c r="B36" s="102" t="s">
        <v>65</v>
      </c>
      <c r="C36" s="239">
        <f>C12-C34</f>
        <v>8920.73</v>
      </c>
    </row>
    <row r="37" spans="2:3" x14ac:dyDescent="0.4">
      <c r="B37" s="97" t="s">
        <v>289</v>
      </c>
      <c r="C37" s="240">
        <f>C36/C12</f>
        <v>0.38852599995681281</v>
      </c>
    </row>
  </sheetData>
  <dataConsolidate/>
  <dataValidations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22960.44537815126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22960.44537815126</v>
      </c>
      <c r="R16" s="35">
        <f t="shared" si="4"/>
        <v>7653.481792717087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22960.44537815126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24400.44537815126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27330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27330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27330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27330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F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G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H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I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J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K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L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M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N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R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S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T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U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V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W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X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Y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Z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AD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AE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AF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AG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AH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AI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AJ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AK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AL7" s="129">
        <f>IF($B$6=100%,(('Preise Output'!$F$10-INDEX(Annahmen!$B$18:$C$22,MATCH('Preise Output'!$C$7,Annahmen!$B$18:$B$22,0),2))*'Preise Output'!$E$26)/10,('Preise Output'!$E$26*'Preise Output'!$F$10-$D$6)/10)</f>
        <v>614.92499999999995</v>
      </c>
      <c r="AM7" s="130"/>
      <c r="AN7" s="130">
        <f t="shared" ref="AN7:AN43" si="0">SUM(D7:AM7)</f>
        <v>18447.749999999989</v>
      </c>
      <c r="AQ7" s="130">
        <f t="shared" ref="AQ7:AQ45" si="1">SUM(D7:F7)</f>
        <v>1229.8499999999999</v>
      </c>
      <c r="AR7" s="130">
        <f t="shared" ref="AR7:AR45" si="2">SUM(G7:I7)</f>
        <v>1844.7749999999999</v>
      </c>
      <c r="AS7" s="130">
        <f t="shared" ref="AS7:AS45" si="3">SUM(J7:L7)</f>
        <v>1844.7749999999999</v>
      </c>
      <c r="AT7" s="130">
        <f t="shared" ref="AT7:AT45" si="4">SUM(M7:O7)</f>
        <v>1229.8499999999999</v>
      </c>
      <c r="AU7" s="130">
        <f t="shared" ref="AU7:AU45" si="5">SUM(P7:R7)</f>
        <v>1229.8499999999999</v>
      </c>
      <c r="AV7" s="130">
        <f t="shared" ref="AV7:AV45" si="6">SUM(S7:U7)</f>
        <v>1844.7749999999999</v>
      </c>
      <c r="AW7" s="130">
        <f t="shared" ref="AW7:AW45" si="7">SUM(V7:X7)</f>
        <v>1844.7749999999999</v>
      </c>
      <c r="AX7" s="130">
        <f t="shared" ref="AX7:AX45" si="8">SUM(Y7:AA7)</f>
        <v>1229.8499999999999</v>
      </c>
      <c r="AY7" s="130">
        <f t="shared" ref="AY7:AY45" si="9">SUM(AB7:AD7)</f>
        <v>1229.8499999999999</v>
      </c>
      <c r="AZ7" s="130">
        <f t="shared" ref="AZ7:AZ45" si="10">SUM(AE7:AG7)</f>
        <v>1844.7749999999999</v>
      </c>
      <c r="BA7" s="130">
        <f t="shared" ref="BA7:BA45" si="11">SUM(AH7:AJ7)</f>
        <v>1844.7749999999999</v>
      </c>
      <c r="BB7" s="130">
        <f t="shared" ref="BB7:BB45" si="12">SUM(AK7:AM7)</f>
        <v>1229.8499999999999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-27322.93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-27322.93</v>
      </c>
      <c r="AQ42" s="134">
        <f t="shared" si="1"/>
        <v>-27322.93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36827.175000000003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F05DB2E-8AB9-4B10-8D54-F29ADC2CE88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2025-06-10T07:57:54Z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