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Naturhotel Gasthof Bärenfels/Vertragsordner/"/>
    </mc:Choice>
  </mc:AlternateContent>
  <xr:revisionPtr revIDLastSave="2" documentId="8_{06A8A705-E394-4798-A59A-C6FEFFEED841}" xr6:coauthVersionLast="47" xr6:coauthVersionMax="47" xr10:uidLastSave="{515A8207-100A-462C-9E95-6F427D05A3E2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C33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H11" i="1" s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<sst xmlns="http://schemas.openxmlformats.org/spreadsheetml/2006/main" count="508" uniqueCount="295">
  <si>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</si>
  <si>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</si>
  <si>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</si>
  <si>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</si>
  <si>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</si>
  <si>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</si>
  <si>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</si>
  <si>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</si>
  <si>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</si>
  <si>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</si>
  <si>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</si>
  <si>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</si>
  <si>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</si>
  <si>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</si>
  <si>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</si>
  <si>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</si>
  <si>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</si>
  <si>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</si>
  <si>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</si>
  <si>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</si>
  <si>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</si>
  <si>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</si>
  <si>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</si>
  <si>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</si>
  <si>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</si>
  <si>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</si>
  <si>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</si>
  <si>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</si>
  <si>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</si>
  <si>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</si>
  <si>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</si>
  <si>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</si>
  <si>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</si>
  <si>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</si>
  <si>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</si>
  <si>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</si>
  <si>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</si>
  <si>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</si>
  <si>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</si>
  <si>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</si>
  <si>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</si>
  <si>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</si>
  <si>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</si>
  <si>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</si>
  <si>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</si>
  <si>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</si>
  <si>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</si>
  <si>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</si>
  <si>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</si>
  <si>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</si>
  <si>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</si>
  <si>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</si>
  <si>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</si>
  <si>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</si>
  <si>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</si>
  <si>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</si>
  <si>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</si>
  <si>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</si>
  <si>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</si>
  <si>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</si>
  <si>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</si>
  <si>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</si>
  <si>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</si>
  <si>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</si>
  <si>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</si>
  <si>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</si>
  <si>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</si>
  <si>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</si>
  <si>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</si>
  <si>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</si>
  <si>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</si>
  <si>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</si>
  <si>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</si>
  <si>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</si>
  <si>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</si>
  <si>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</si>
  <si>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</si>
  <si>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</si>
  <si>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</si>
  <si>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</si>
  <si>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</si>
  <si>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</si>
  <si>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</si>
  <si>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</si>
  <si>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</si>
  <si>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</si>
  <si>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</si>
  <si>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</si>
  <si>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</si>
  <si>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</si>
  <si>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</si>
  <si>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</si>
  <si>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</si>
  <si>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</si>
  <si>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</si>
  <si>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</si>
  <si>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</si>
  <si>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</si>
  <si>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</si>
  <si>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</si>
  <si>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</si>
  <si>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</si>
  <si>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</si>
  <si>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</si>
  <si>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</si>
  <si>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</si>
  <si>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</si>
  <si>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</si>
  <si>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</si>
  <si>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</si>
  <si>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</si>
  <si>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</si>
  <si>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</si>
  <si>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</si>
  <si>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</si>
  <si>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</si>
  <si>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</si>
  <si>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</si>
  <si>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</si>
  <si>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</si>
  <si>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</si>
  <si>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</si>
  <si>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</si>
  <si>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</si>
  <si>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</si>
  <si>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</si>
  <si>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</si>
  <si>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</si>
  <si>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</si>
  <si>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</si>
  <si>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</si>
  <si>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</si>
  <si>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</si>
  <si>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</si>
  <si>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</si>
  <si>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</si>
  <si>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</si>
  <si>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</si>
  <si>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</si>
  <si>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</si>
  <si>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</si>
  <si>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</si>
  <si>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</si>
  <si>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</si>
  <si>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</si>
  <si>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</si>
  <si>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</si>
  <si>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</si>
  <si>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</si>
  <si>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</si>
  <si>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</si>
  <si>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</si>
  <si>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</si>
  <si>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</si>
  <si>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</si>
  <si>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</si>
  <si>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</si>
  <si>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</si>
  <si>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</si>
  <si>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</si>
  <si>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</si>
  <si>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</si>
  <si>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</si>
  <si>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</si>
  <si>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</si>
  <si>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</si>
  <si>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</si>
  <si>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</si>
  <si>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</si>
  <si>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</si>
  <si>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</si>
  <si>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</si>
  <si>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</si>
  <si>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</si>
  <si>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</si>
  <si>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</si>
  <si>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</si>
  <si>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</si>
  <si>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</si>
  <si>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</si>
  <si>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</si>
  <si>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</si>
  <si>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</si>
  <si>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</si>
  <si>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</si>
  <si>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</si>
  <si>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</si>
  <si>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</si>
  <si>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</si>
  <si>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</si>
  <si>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</si>
  <si>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</si>
  <si>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</si>
  <si>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</si>
  <si>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</si>
  <si>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</si>
  <si>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</si>
  <si>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</si>
  <si>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</si>
  <si>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</si>
  <si>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</si>
  <si>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</si>
  <si>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</si>
  <si>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</si>
  <si>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</si>
  <si>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</si>
  <si>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</si>
  <si>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</si>
  <si>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</si>
  <si>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</si>
  <si>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</si>
  <si>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</si>
  <si>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</si>
  <si>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</si>
  <si>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</si>
  <si>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</si>
  <si>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</si>
  <si>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</si>
  <si>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</si>
  <si>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</si>
  <si>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</si>
  <si>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</si>
  <si>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</si>
  <si>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</si>
  <si>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</si>
  <si>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</si>
  <si>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</si>
  <si>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</si>
  <si>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</si>
  <si>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</si>
  <si>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</si>
  <si>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</si>
  <si>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</si>
  <si>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</si>
  <si>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</si>
  <si>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</si>
  <si>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</si>
  <si>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</si>
  <si>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</si>
  <si>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</si>
  <si>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</si>
  <si>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</si>
  <si>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</si>
  <si>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</si>
  <si>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</si>
  <si>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</si>
  <si>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</si>
  <si>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</si>
  <si>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</si>
  <si>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</si>
  <si>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</si>
  <si>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</si>
  <si>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</si>
  <si>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</si>
  <si>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</si>
  <si>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</si>
  <si>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</si>
  <si>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</si>
  <si>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</si>
  <si>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</si>
  <si>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</si>
  <si>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</si>
  <si>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</si>
  <si>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</si>
  <si>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</si>
  <si>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</si>
  <si>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</si>
  <si>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</si>
  <si>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</si>
  <si>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</si>
  <si>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</si>
  <si>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</si>
  <si>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</si>
  <si>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</si>
  <si>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</si>
  <si>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</si>
  <si>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</si>
  <si>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</si>
  <si>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</si>
  <si>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</si>
  <si>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</si>
  <si>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</si>
  <si>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</si>
  <si>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</si>
  <si>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</si>
  <si>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</si>
  <si>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</si>
  <si>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</si>
  <si>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</si>
  <si>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</si>
  <si>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</si>
  <si>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</si>
  <si>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</si>
  <si>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</si>
  <si>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Naturhotel Gasthof Bärenfels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</si>
</sst>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2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5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45343</v>
      </c>
      <c r="E5" s="151" t="s">
        <v>5</v>
      </c>
      <c r="F5" s="153">
        <v>65</v>
      </c>
      <c r="G5" s="219"/>
      <c r="H5" s="219"/>
    </row>
    <row r="6" spans="1:32" x14ac:dyDescent="0.4">
      <c r="B6" s="48" t="s">
        <v>4</v>
      </c>
      <c r="C6" s="49" t="s">
        <v>294</v>
      </c>
      <c r="E6" s="152" t="s">
        <v>290</v>
      </c>
      <c r="F6" s="37">
        <f>C12*0.65</f>
        <v>75.400000000000006</v>
      </c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</row>
    <row r="7" spans="1:32" x14ac:dyDescent="0.4">
      <c r="B7" s="48" t="s">
        <v>6</v>
      </c>
      <c r="C7" s="49" t="s">
        <v>169</v>
      </c>
      <c r="E7" s="154" t="s">
        <v>8</v>
      </c>
      <c r="F7" s="211">
        <v>37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9">
        <v>15</v>
      </c>
      <c r="E8" s="220"/>
      <c r="F8" s="220"/>
      <c r="G8" s="220"/>
      <c r="H8" s="220"/>
      <c r="I8" s="22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7" t="s">
        <v>246</v>
      </c>
      <c r="F9" s="158">
        <f>IFERROR(J26,"Bitte Produkt auswählen")</f>
        <v>0.30992109125442469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1916.2499999999998</v>
      </c>
      <c r="E10" s="152" t="s">
        <v>13</v>
      </c>
      <c r="F10" s="169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287.43749999999994</v>
      </c>
      <c r="E11" s="168" t="s">
        <v>14</v>
      </c>
      <c r="F11" s="155">
        <f>+I26</f>
        <v>14478.750000000002</v>
      </c>
      <c r="G11" s="55"/>
      <c r="H11" s="50">
        <f>E26*F7</f>
        <v>9990</v>
      </c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9">
        <v>116</v>
      </c>
      <c r="D12" s="61"/>
      <c r="E12" s="156" t="s">
        <v>243</v>
      </c>
      <c r="F12" s="242">
        <v>9991.48</v>
      </c>
      <c r="G12" s="167"/>
      <c r="H12" s="210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3"/>
      <c r="F13" s="223"/>
      <c r="G13" s="167"/>
      <c r="H13" s="210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6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6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6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2" t="s">
        <v>252</v>
      </c>
      <c r="C22" s="76" t="s">
        <v>36</v>
      </c>
      <c r="D22" s="16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6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60">
        <v>1</v>
      </c>
      <c r="E24" s="76">
        <f>ROUND(G24/F$7,0)</f>
        <v>270</v>
      </c>
      <c r="F24" s="76">
        <v>3</v>
      </c>
      <c r="G24" s="77">
        <f>F12*D24</f>
        <v>9991.48</v>
      </c>
      <c r="H24" s="77">
        <f>$E24*$F$10*1.1-$G24</f>
        <v>4487.2700000000023</v>
      </c>
      <c r="I24" s="77">
        <f>G24+H24</f>
        <v>14478.750000000002</v>
      </c>
      <c r="J24" s="78">
        <f t="shared" si="16"/>
        <v>0.30992109125442469</v>
      </c>
      <c r="K24" s="77">
        <v>0</v>
      </c>
      <c r="L24" s="77">
        <v>0</v>
      </c>
      <c r="M24" s="77">
        <f>G24*1.19-G24</f>
        <v>1898.3811999999998</v>
      </c>
      <c r="N24" s="77">
        <f t="shared" si="5"/>
        <v>625.21875</v>
      </c>
      <c r="O24" s="77">
        <f>L24-M24-N24</f>
        <v>-2523.5999499999998</v>
      </c>
      <c r="P24" s="79">
        <f>IFERROR($H24-L24,"")</f>
        <v>4487.2700000000023</v>
      </c>
      <c r="Q24" s="78">
        <f>IFERROR(($H24-L24)/$I24,"")</f>
        <v>0.30992109125442469</v>
      </c>
      <c r="R24" s="80">
        <f>IFERROR((1-Q24)*F24,"")</f>
        <v>2.0702367262367258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270</v>
      </c>
      <c r="F26" s="89"/>
      <c r="G26" s="89">
        <f>SUBTOTAL(9,G19:G24)</f>
        <v>9991.48</v>
      </c>
      <c r="H26" s="89">
        <f>SUBTOTAL(9,H19:H24)</f>
        <v>4487.2700000000023</v>
      </c>
      <c r="I26" s="89">
        <f>SUBTOTAL(9,I19:I24)</f>
        <v>14478.750000000002</v>
      </c>
      <c r="J26" s="90">
        <f>H26/I26</f>
        <v>0.30992109125442469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1898.3811999999998</v>
      </c>
      <c r="N26" s="89">
        <f t="shared" si="25"/>
        <v>625.21875</v>
      </c>
      <c r="O26" s="89">
        <f t="shared" si="25"/>
        <v>-2523.5999499999998</v>
      </c>
      <c r="P26" s="89">
        <f t="shared" si="25"/>
        <v>4487.2700000000023</v>
      </c>
      <c r="Q26" s="90">
        <f>($H26-L26)/$I26</f>
        <v>0.30992109125442469</v>
      </c>
      <c r="R26" s="91">
        <f>IFERROR((1-Q26)*F26,"")</f>
        <v>0</v>
      </c>
    </row>
    <row r="27" spans="2:32" x14ac:dyDescent="0.4">
      <c r="E27" s="222" t="str">
        <f>"Das enspricht "&amp;TEXT(E26/(C10),"0,0%") &amp; " des Leerstands p.a. über 3 Jahre."</f>
        <v>Das enspricht 14,1% des Leerstands p.a. über 3 Jahre.</v>
      </c>
      <c r="H27" s="209"/>
    </row>
    <row r="28" spans="2:32" x14ac:dyDescent="0.4">
      <c r="H28" s="209"/>
      <c r="I28" s="209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4" t="s">
        <v>206</v>
      </c>
      <c r="B1" s="175" t="s">
        <v>207</v>
      </c>
      <c r="C1" s="175"/>
      <c r="D1" s="176" t="s">
        <v>207</v>
      </c>
      <c r="E1" s="175" t="s">
        <v>208</v>
      </c>
      <c r="F1" s="175"/>
      <c r="G1" s="176" t="s">
        <v>208</v>
      </c>
      <c r="H1" s="175" t="s">
        <v>209</v>
      </c>
      <c r="I1" s="175"/>
      <c r="J1" s="176" t="s">
        <v>209</v>
      </c>
      <c r="K1" s="175" t="s">
        <v>210</v>
      </c>
      <c r="L1" s="175"/>
      <c r="M1" s="176" t="s">
        <v>210</v>
      </c>
      <c r="N1" s="175" t="s">
        <v>211</v>
      </c>
      <c r="O1" s="175"/>
      <c r="P1" s="176" t="s">
        <v>278</v>
      </c>
    </row>
    <row r="2" spans="1:16" ht="15.5" x14ac:dyDescent="0.35">
      <c r="A2" s="174" t="s">
        <v>212</v>
      </c>
      <c r="B2" s="175" t="s">
        <v>213</v>
      </c>
      <c r="C2" s="175"/>
      <c r="D2" s="176" t="s">
        <v>214</v>
      </c>
      <c r="E2" s="175" t="s">
        <v>213</v>
      </c>
      <c r="F2" s="175"/>
      <c r="G2" s="176" t="s">
        <v>214</v>
      </c>
      <c r="H2" s="175"/>
      <c r="I2" s="175"/>
      <c r="J2" s="176" t="s">
        <v>214</v>
      </c>
      <c r="K2" s="175" t="s">
        <v>215</v>
      </c>
      <c r="L2" s="175"/>
      <c r="M2" s="176" t="s">
        <v>214</v>
      </c>
      <c r="N2" s="175"/>
      <c r="O2" s="175"/>
      <c r="P2" s="176" t="s">
        <v>214</v>
      </c>
    </row>
    <row r="3" spans="1:16" ht="46.5" x14ac:dyDescent="0.35">
      <c r="A3" s="178" t="s">
        <v>216</v>
      </c>
      <c r="B3" s="179" t="s">
        <v>217</v>
      </c>
      <c r="C3" s="179" t="s">
        <v>238</v>
      </c>
      <c r="D3" s="180" t="s">
        <v>218</v>
      </c>
      <c r="E3" s="179" t="s">
        <v>217</v>
      </c>
      <c r="F3" s="179"/>
      <c r="G3" s="181" t="s">
        <v>219</v>
      </c>
      <c r="H3" s="179" t="s">
        <v>220</v>
      </c>
      <c r="I3" s="179"/>
      <c r="J3" s="181" t="s">
        <v>219</v>
      </c>
      <c r="K3" s="179" t="s">
        <v>221</v>
      </c>
      <c r="L3" s="179"/>
      <c r="M3" s="180" t="s">
        <v>218</v>
      </c>
      <c r="N3" s="179" t="s">
        <v>222</v>
      </c>
      <c r="O3" s="179"/>
      <c r="P3" s="180"/>
    </row>
    <row r="4" spans="1:16" ht="15.5" x14ac:dyDescent="0.35">
      <c r="A4" s="182" t="s">
        <v>223</v>
      </c>
      <c r="B4" s="183" t="s">
        <v>224</v>
      </c>
      <c r="C4" s="183"/>
      <c r="D4" s="184" t="s">
        <v>224</v>
      </c>
      <c r="E4" s="183" t="s">
        <v>224</v>
      </c>
      <c r="F4" s="183"/>
      <c r="G4" s="184" t="s">
        <v>224</v>
      </c>
      <c r="H4" s="183" t="s">
        <v>225</v>
      </c>
      <c r="I4" s="183"/>
      <c r="J4" s="184" t="s">
        <v>225</v>
      </c>
      <c r="K4" s="183" t="s">
        <v>226</v>
      </c>
      <c r="L4" s="183"/>
      <c r="M4" s="184" t="s">
        <v>226</v>
      </c>
      <c r="N4" s="183" t="s">
        <v>227</v>
      </c>
      <c r="O4" s="183"/>
      <c r="P4" s="184"/>
    </row>
    <row r="5" spans="1:16" ht="15.5" x14ac:dyDescent="0.35">
      <c r="A5" s="182" t="s">
        <v>228</v>
      </c>
      <c r="B5" s="185">
        <v>499</v>
      </c>
      <c r="C5" s="185"/>
      <c r="D5" s="186">
        <v>399</v>
      </c>
      <c r="E5" s="185">
        <v>499</v>
      </c>
      <c r="F5" s="185"/>
      <c r="G5" s="186">
        <v>499</v>
      </c>
      <c r="H5" s="185">
        <v>649</v>
      </c>
      <c r="I5" s="185"/>
      <c r="J5" s="186">
        <v>649</v>
      </c>
      <c r="K5" s="185">
        <v>899</v>
      </c>
      <c r="L5" s="185"/>
      <c r="M5" s="186">
        <v>629</v>
      </c>
      <c r="N5" s="185">
        <v>1099</v>
      </c>
      <c r="O5" s="185"/>
      <c r="P5" s="186"/>
    </row>
    <row r="6" spans="1:16" ht="15.5" x14ac:dyDescent="0.35">
      <c r="A6" s="182"/>
      <c r="B6" s="187"/>
      <c r="C6" s="187"/>
      <c r="D6" s="188"/>
      <c r="E6" s="187"/>
      <c r="F6" s="187"/>
      <c r="G6" s="188"/>
      <c r="H6" s="177"/>
      <c r="I6" s="177"/>
      <c r="J6" s="189"/>
      <c r="K6" s="177"/>
      <c r="L6" s="177"/>
      <c r="M6" s="189"/>
      <c r="N6" s="190"/>
      <c r="O6" s="177"/>
      <c r="P6" s="189"/>
    </row>
    <row r="7" spans="1:16" ht="15.5" x14ac:dyDescent="0.35">
      <c r="A7" s="182" t="s">
        <v>229</v>
      </c>
      <c r="B7" s="191">
        <v>563.99</v>
      </c>
      <c r="C7" s="160">
        <v>1</v>
      </c>
      <c r="D7" s="192">
        <v>463.98</v>
      </c>
      <c r="E7" s="191">
        <v>563.99</v>
      </c>
      <c r="F7" s="160">
        <v>1</v>
      </c>
      <c r="G7" s="192">
        <v>533.99</v>
      </c>
      <c r="H7" s="193">
        <v>713.99</v>
      </c>
      <c r="I7" s="160">
        <v>1</v>
      </c>
      <c r="J7" s="194">
        <v>613.99</v>
      </c>
      <c r="K7" s="193">
        <v>963.98</v>
      </c>
      <c r="L7" s="160">
        <v>1</v>
      </c>
      <c r="M7" s="194">
        <v>693.98</v>
      </c>
      <c r="N7" s="193">
        <v>1188.99</v>
      </c>
      <c r="O7" s="160"/>
      <c r="P7" s="194"/>
    </row>
    <row r="8" spans="1:16" ht="15.5" x14ac:dyDescent="0.35">
      <c r="A8" s="195" t="s">
        <v>230</v>
      </c>
      <c r="B8" s="196">
        <v>499</v>
      </c>
      <c r="C8" s="160"/>
      <c r="D8" s="197">
        <v>399</v>
      </c>
      <c r="E8" s="196">
        <v>499</v>
      </c>
      <c r="F8" s="160"/>
      <c r="G8" s="197">
        <v>469</v>
      </c>
      <c r="H8" s="198">
        <v>649</v>
      </c>
      <c r="I8" s="160"/>
      <c r="J8" s="199">
        <v>549</v>
      </c>
      <c r="K8" s="198">
        <v>899</v>
      </c>
      <c r="L8" s="160"/>
      <c r="M8" s="199">
        <v>629</v>
      </c>
      <c r="N8" s="198">
        <v>1099</v>
      </c>
      <c r="O8" s="160"/>
      <c r="P8" s="199"/>
    </row>
    <row r="9" spans="1:16" ht="15.5" x14ac:dyDescent="0.35">
      <c r="A9" s="195" t="s">
        <v>231</v>
      </c>
      <c r="B9" s="196">
        <v>648.99</v>
      </c>
      <c r="C9" s="160"/>
      <c r="D9" s="197">
        <v>548.98</v>
      </c>
      <c r="E9" s="196">
        <v>648.99</v>
      </c>
      <c r="F9" s="160"/>
      <c r="G9" s="197">
        <v>618.99</v>
      </c>
      <c r="H9" s="198">
        <v>798.99</v>
      </c>
      <c r="I9" s="160"/>
      <c r="J9" s="199">
        <v>698.99</v>
      </c>
      <c r="K9" s="198">
        <v>1048.99</v>
      </c>
      <c r="L9" s="160"/>
      <c r="M9" s="199">
        <v>778.99</v>
      </c>
      <c r="N9" s="198">
        <v>1278.99</v>
      </c>
      <c r="O9" s="160"/>
      <c r="P9" s="199"/>
    </row>
    <row r="10" spans="1:16" ht="15.5" x14ac:dyDescent="0.35">
      <c r="A10" s="182" t="s">
        <v>232</v>
      </c>
      <c r="B10" s="191">
        <v>89.99</v>
      </c>
      <c r="C10" s="160">
        <v>1</v>
      </c>
      <c r="D10" s="192">
        <v>89.99</v>
      </c>
      <c r="E10" s="191">
        <v>89.99</v>
      </c>
      <c r="F10" s="160">
        <v>1</v>
      </c>
      <c r="G10" s="192">
        <v>89.99</v>
      </c>
      <c r="H10" s="193">
        <v>89.99</v>
      </c>
      <c r="I10" s="160">
        <v>1</v>
      </c>
      <c r="J10" s="194">
        <v>89.99</v>
      </c>
      <c r="K10" s="193">
        <v>109.99</v>
      </c>
      <c r="L10" s="160">
        <v>1</v>
      </c>
      <c r="M10" s="194">
        <v>109.99</v>
      </c>
      <c r="N10" s="193">
        <v>129.97999999999999</v>
      </c>
      <c r="O10" s="160"/>
      <c r="P10" s="194"/>
    </row>
    <row r="11" spans="1:16" ht="15.5" x14ac:dyDescent="0.35">
      <c r="A11" s="182" t="s">
        <v>233</v>
      </c>
      <c r="B11" s="191">
        <v>29.99</v>
      </c>
      <c r="C11" s="160">
        <v>1</v>
      </c>
      <c r="D11" s="192">
        <v>29.99</v>
      </c>
      <c r="E11" s="191">
        <v>29.99</v>
      </c>
      <c r="F11" s="160">
        <v>1</v>
      </c>
      <c r="G11" s="192">
        <v>29.99</v>
      </c>
      <c r="H11" s="193">
        <v>29.99</v>
      </c>
      <c r="I11" s="160">
        <v>1</v>
      </c>
      <c r="J11" s="194">
        <v>29.99</v>
      </c>
      <c r="K11" s="193">
        <v>29.99</v>
      </c>
      <c r="L11" s="160">
        <v>1</v>
      </c>
      <c r="M11" s="194">
        <v>29.99</v>
      </c>
      <c r="N11" s="193">
        <v>29.99</v>
      </c>
      <c r="O11" s="160"/>
      <c r="P11" s="194"/>
    </row>
    <row r="12" spans="1:16" ht="15.5" x14ac:dyDescent="0.35">
      <c r="A12" s="182" t="s">
        <v>234</v>
      </c>
      <c r="B12" s="191">
        <v>9.98</v>
      </c>
      <c r="C12" s="160">
        <v>1</v>
      </c>
      <c r="D12" s="192">
        <v>9.98</v>
      </c>
      <c r="E12" s="191">
        <v>9.98</v>
      </c>
      <c r="F12" s="160">
        <v>1</v>
      </c>
      <c r="G12" s="192">
        <v>9.98</v>
      </c>
      <c r="H12" s="193">
        <v>9.98</v>
      </c>
      <c r="I12" s="160">
        <v>1</v>
      </c>
      <c r="J12" s="194">
        <v>9.98</v>
      </c>
      <c r="K12" s="193">
        <v>9.98</v>
      </c>
      <c r="L12" s="160">
        <v>1</v>
      </c>
      <c r="M12" s="194">
        <v>9.98</v>
      </c>
      <c r="N12" s="193">
        <v>9.98</v>
      </c>
      <c r="O12" s="160"/>
      <c r="P12" s="194"/>
    </row>
    <row r="13" spans="1:16" ht="15.5" x14ac:dyDescent="0.35">
      <c r="A13" s="182" t="s">
        <v>235</v>
      </c>
      <c r="B13" s="191">
        <v>29.99</v>
      </c>
      <c r="C13" s="160"/>
      <c r="D13" s="192"/>
      <c r="E13" s="191">
        <v>29.99</v>
      </c>
      <c r="F13" s="160">
        <v>1</v>
      </c>
      <c r="G13" s="192">
        <v>29.99</v>
      </c>
      <c r="H13" s="193">
        <v>29.99</v>
      </c>
      <c r="I13" s="160">
        <v>1</v>
      </c>
      <c r="J13" s="194">
        <v>29.99</v>
      </c>
      <c r="K13" s="193">
        <v>29.99</v>
      </c>
      <c r="L13" s="160"/>
      <c r="M13" s="194"/>
      <c r="N13" s="193">
        <v>29.99</v>
      </c>
      <c r="O13" s="160"/>
      <c r="P13" s="194"/>
    </row>
    <row r="14" spans="1:16" ht="15.5" x14ac:dyDescent="0.35">
      <c r="A14" s="182" t="s">
        <v>236</v>
      </c>
      <c r="B14" s="191">
        <v>14.98</v>
      </c>
      <c r="C14" s="160">
        <v>1</v>
      </c>
      <c r="D14" s="192">
        <v>15</v>
      </c>
      <c r="E14" s="191">
        <v>14.98</v>
      </c>
      <c r="F14" s="160">
        <v>1</v>
      </c>
      <c r="G14" s="192">
        <v>15</v>
      </c>
      <c r="H14" s="193">
        <v>14.98</v>
      </c>
      <c r="I14" s="160">
        <v>1</v>
      </c>
      <c r="J14" s="194">
        <v>15</v>
      </c>
      <c r="K14" s="193">
        <v>14.98</v>
      </c>
      <c r="L14" s="160">
        <v>1</v>
      </c>
      <c r="M14" s="194">
        <v>15</v>
      </c>
      <c r="N14" s="193">
        <v>14.98</v>
      </c>
      <c r="O14" s="160"/>
      <c r="P14" s="194"/>
    </row>
    <row r="15" spans="1:16" ht="16" thickBot="1" x14ac:dyDescent="0.4">
      <c r="A15" s="200" t="s">
        <v>240</v>
      </c>
      <c r="B15" s="201">
        <v>59.97</v>
      </c>
      <c r="C15" s="160">
        <v>3</v>
      </c>
      <c r="D15" s="202">
        <v>19.989999999999998</v>
      </c>
      <c r="E15" s="201">
        <v>59.97</v>
      </c>
      <c r="F15" s="160">
        <v>3</v>
      </c>
      <c r="G15" s="202">
        <v>19.989999999999998</v>
      </c>
      <c r="H15" s="203">
        <v>59.97</v>
      </c>
      <c r="I15" s="160">
        <v>3</v>
      </c>
      <c r="J15" s="202">
        <v>19.989999999999998</v>
      </c>
      <c r="K15" s="203">
        <v>59.97</v>
      </c>
      <c r="L15" s="160">
        <v>3</v>
      </c>
      <c r="M15" s="202">
        <v>19.989999999999998</v>
      </c>
      <c r="N15" s="203">
        <v>59.97</v>
      </c>
      <c r="O15" s="160"/>
      <c r="P15" s="202"/>
    </row>
    <row r="16" spans="1:16" ht="16" thickTop="1" x14ac:dyDescent="0.35">
      <c r="A16" s="182"/>
      <c r="B16" s="187"/>
      <c r="C16" s="187"/>
      <c r="D16" s="188"/>
      <c r="E16" s="187"/>
      <c r="F16" s="187"/>
      <c r="G16" s="188"/>
      <c r="H16" s="177"/>
      <c r="I16" s="177"/>
      <c r="J16" s="189"/>
      <c r="K16" s="177"/>
      <c r="L16" s="177"/>
      <c r="M16" s="189"/>
      <c r="N16" s="177"/>
      <c r="O16" s="177"/>
      <c r="P16" s="189"/>
    </row>
    <row r="17" spans="1:16" ht="15.5" x14ac:dyDescent="0.35">
      <c r="A17" s="204" t="s">
        <v>239</v>
      </c>
      <c r="B17" s="205"/>
      <c r="C17" s="205"/>
      <c r="D17" s="206">
        <f>SUMPRODUCT(C7:C15,D7:D15)</f>
        <v>668.91000000000008</v>
      </c>
      <c r="E17" s="205"/>
      <c r="F17" s="205"/>
      <c r="G17" s="206">
        <f>SUMPRODUCT(F7:F15,G7:G15)</f>
        <v>768.91000000000008</v>
      </c>
      <c r="H17" s="207"/>
      <c r="I17" s="207"/>
      <c r="J17" s="206">
        <f>SUMPRODUCT(I7:I15,J7:J15)</f>
        <v>848.91000000000008</v>
      </c>
      <c r="K17" s="207"/>
      <c r="L17" s="207"/>
      <c r="M17" s="206">
        <f>SUMPRODUCT(L7:L15,M7:M15)</f>
        <v>918.91000000000008</v>
      </c>
      <c r="N17" s="207"/>
      <c r="O17" s="177"/>
      <c r="P17" s="206">
        <f>SUMPRODUCT(O7:O15,P7:P15)</f>
        <v>0</v>
      </c>
    </row>
    <row r="18" spans="1:16" ht="15.5" x14ac:dyDescent="0.35">
      <c r="A18" s="208" t="s">
        <v>237</v>
      </c>
      <c r="B18" s="187"/>
      <c r="C18" s="187"/>
      <c r="D18" s="191"/>
      <c r="E18" s="187"/>
      <c r="F18" s="187"/>
      <c r="G18" s="187"/>
      <c r="H18" s="177"/>
      <c r="I18" s="177"/>
      <c r="J18" s="177"/>
      <c r="K18" s="177"/>
      <c r="L18" s="177"/>
      <c r="M18" s="177"/>
      <c r="N18" s="177"/>
      <c r="O18" s="177"/>
    </row>
    <row r="19" spans="1:16" ht="15.5" x14ac:dyDescent="0.35">
      <c r="A19" s="204" t="s">
        <v>241</v>
      </c>
      <c r="B19" s="187"/>
      <c r="C19" s="187"/>
      <c r="D19" s="205">
        <f>D17*12</f>
        <v>8026.920000000001</v>
      </c>
      <c r="E19" s="187"/>
      <c r="F19" s="187"/>
      <c r="G19" s="205">
        <f>G17*12</f>
        <v>9226.9200000000019</v>
      </c>
      <c r="H19" s="177"/>
      <c r="I19" s="177"/>
      <c r="J19" s="205">
        <f>J17*12</f>
        <v>10186.920000000002</v>
      </c>
      <c r="K19" s="177"/>
      <c r="L19" s="177"/>
      <c r="M19" s="205">
        <f>M17*12</f>
        <v>11026.920000000002</v>
      </c>
      <c r="N19" s="177"/>
      <c r="O19" s="177"/>
      <c r="P19" s="205">
        <f>P17*12</f>
        <v>0</v>
      </c>
    </row>
    <row r="20" spans="1:16" ht="15.5" x14ac:dyDescent="0.35">
      <c r="A20" s="204" t="s">
        <v>242</v>
      </c>
      <c r="B20" s="205"/>
      <c r="C20" s="205">
        <f>SUM(C19:O19)</f>
        <v>38467.680000000008</v>
      </c>
      <c r="D20" s="205"/>
      <c r="E20" s="187"/>
      <c r="F20" s="187"/>
      <c r="G20" s="205"/>
      <c r="H20" s="177"/>
      <c r="I20" s="177"/>
      <c r="J20" s="205"/>
      <c r="K20" s="177"/>
      <c r="L20" s="177"/>
      <c r="M20" s="205"/>
      <c r="N20" s="177"/>
      <c r="O20" s="177"/>
    </row>
    <row r="21" spans="1:16" ht="15.5" x14ac:dyDescent="0.35">
      <c r="A21" s="177"/>
      <c r="B21" s="187"/>
      <c r="C21" s="187"/>
      <c r="D21" s="187"/>
      <c r="E21" s="187"/>
      <c r="F21" s="187"/>
      <c r="G21" s="187"/>
      <c r="H21" s="177"/>
      <c r="I21" s="177"/>
      <c r="J21" s="177"/>
      <c r="K21" s="177"/>
      <c r="L21" s="177"/>
      <c r="M21" s="177"/>
      <c r="N21" s="177"/>
      <c r="O21" s="177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C18" sqref="C18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5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6">
        <v>25</v>
      </c>
    </row>
    <row r="3" spans="2:11" x14ac:dyDescent="0.4">
      <c r="B3" s="103" t="s">
        <v>52</v>
      </c>
      <c r="C3" s="226">
        <v>45</v>
      </c>
    </row>
    <row r="4" spans="2:11" x14ac:dyDescent="0.4">
      <c r="B4" s="103" t="s">
        <v>53</v>
      </c>
      <c r="C4" s="227">
        <f>+C3-C2</f>
        <v>20</v>
      </c>
    </row>
    <row r="5" spans="2:11" ht="6" customHeight="1" x14ac:dyDescent="0.4">
      <c r="C5" s="228"/>
    </row>
    <row r="6" spans="2:11" x14ac:dyDescent="0.4">
      <c r="B6" s="103" t="s">
        <v>54</v>
      </c>
      <c r="C6" s="226" t="s">
        <v>264</v>
      </c>
    </row>
    <row r="7" spans="2:11" x14ac:dyDescent="0.4">
      <c r="B7" s="103" t="s">
        <v>55</v>
      </c>
      <c r="C7" s="227">
        <f>IFERROR(INDEX('Preise Output'!$B$19:$E$24,MATCH(Preisvergleich!$C$6,'Preise Output'!$B$19:$B$24,0),4)/INDEX('Preise Output'!$B$19:$E$24,MATCH(Preisvergleich!$C$6,'Preise Output'!$B$19:$B$24,0),3),"--")</f>
        <v>270</v>
      </c>
    </row>
    <row r="9" spans="2:11" x14ac:dyDescent="0.4">
      <c r="B9" s="109" t="s">
        <v>56</v>
      </c>
      <c r="C9" s="229"/>
    </row>
    <row r="11" spans="2:11" ht="14.5" thickBot="1" x14ac:dyDescent="0.45">
      <c r="B11" s="106" t="s">
        <v>255</v>
      </c>
      <c r="C11" s="230">
        <f>INDEX(Produktpreise!$B$33:$S$54,MATCH(Preisvergleich!$C$6,Produktpreise!$C$33:$C$54,0),MATCH(Preisvergleich!B11,Produktpreise!$B$32:$S$32,0))</f>
        <v>8396.2016806722695</v>
      </c>
    </row>
    <row r="12" spans="2:11" x14ac:dyDescent="0.4">
      <c r="B12" s="213" t="s">
        <v>285</v>
      </c>
      <c r="C12" s="231">
        <f>INDEX(Produktpreise!$B$33:$S$54,MATCH(Preisvergleich!$C$6,Produktpreise!$C$33:$C$54,0),MATCH(Preisvergleich!B11,Produktpreise!$B$32:$S$32,0))</f>
        <v>8396.2016806722695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2">
        <f>E13*F13</f>
        <v>0</v>
      </c>
      <c r="E13" s="224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3">
        <f>F14*E14</f>
        <v>1595.2783193277312</v>
      </c>
      <c r="E14" s="224">
        <v>0.19</v>
      </c>
      <c r="F14" s="163">
        <f>C12-F13</f>
        <v>8396.2016806722695</v>
      </c>
    </row>
    <row r="15" spans="2:11" hidden="1" x14ac:dyDescent="0.4">
      <c r="B15" s="105" t="s">
        <v>61</v>
      </c>
      <c r="C15" s="234"/>
      <c r="K15" s="163"/>
    </row>
    <row r="16" spans="2:11" hidden="1" x14ac:dyDescent="0.4">
      <c r="B16" s="98" t="s">
        <v>179</v>
      </c>
      <c r="D16" s="163"/>
    </row>
    <row r="17" spans="2:8" ht="14.5" hidden="1" thickBot="1" x14ac:dyDescent="0.45">
      <c r="B17" s="99" t="s">
        <v>62</v>
      </c>
      <c r="C17" s="236"/>
      <c r="D17" s="97" t="s">
        <v>184</v>
      </c>
    </row>
    <row r="18" spans="2:8" x14ac:dyDescent="0.4">
      <c r="B18" s="100" t="s">
        <v>180</v>
      </c>
      <c r="C18" s="237">
        <f>SUM(C12:C14)</f>
        <v>9991.4800000000014</v>
      </c>
    </row>
    <row r="21" spans="2:8" x14ac:dyDescent="0.4">
      <c r="B21" s="109" t="s">
        <v>63</v>
      </c>
      <c r="C21" s="229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270 Gutscheine x 37€ je Gutschein</v>
      </c>
      <c r="C24" s="238">
        <f>IFERROR(C7*'Preise Output'!$F$7,"--")</f>
        <v>9990</v>
      </c>
    </row>
    <row r="25" spans="2:8" x14ac:dyDescent="0.4">
      <c r="B25" s="97" t="str">
        <f>"Das enspricht "&amp;TEXT('Preise Output'!E26/('Preise Output'!C10),"0,0%") &amp; " des Leerstands p.a."</f>
        <v>Das enspricht 14,1% des Leerstands p.a.</v>
      </c>
      <c r="C25" s="232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5">
        <f>IFERROR(F26*E26,"--")</f>
        <v>604.80000000000007</v>
      </c>
      <c r="E26" s="224">
        <v>7.0000000000000007E-2</v>
      </c>
      <c r="F26" s="163">
        <f>C24-F27</f>
        <v>8640</v>
      </c>
    </row>
    <row r="27" spans="2:8" ht="14.5" thickBot="1" x14ac:dyDescent="0.45">
      <c r="B27" s="99" t="str">
        <f>"Mehrwertsteuer " &amp; TEXT(E27,"0%")</f>
        <v>Mehrwertsteuer 19%</v>
      </c>
      <c r="C27" s="235">
        <f>IFERROR(F27*E27,"--")</f>
        <v>256.5</v>
      </c>
      <c r="E27" s="224">
        <v>0.19</v>
      </c>
      <c r="F27" s="163">
        <f>G27*C7</f>
        <v>1350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270 Roomnights</v>
      </c>
      <c r="C31" s="238">
        <f>C7*C4</f>
        <v>5400</v>
      </c>
    </row>
    <row r="32" spans="2:8" x14ac:dyDescent="0.4">
      <c r="B32" s="108" t="s">
        <v>293</v>
      </c>
      <c r="C32" s="230">
        <f>C26+C27</f>
        <v>861.30000000000007</v>
      </c>
    </row>
    <row r="33" spans="2:3" ht="14.5" thickBot="1" x14ac:dyDescent="0.45">
      <c r="B33" s="115" t="s">
        <v>288</v>
      </c>
      <c r="C33" s="239">
        <f>-(C13+C14)</f>
        <v>-1595.2783193277312</v>
      </c>
    </row>
    <row r="34" spans="2:3" x14ac:dyDescent="0.4">
      <c r="B34" s="96" t="s">
        <v>271</v>
      </c>
      <c r="C34" s="237">
        <f>SUM(C31:C33)</f>
        <v>4666.0216806722692</v>
      </c>
    </row>
    <row r="36" spans="2:3" x14ac:dyDescent="0.4">
      <c r="B36" s="102" t="s">
        <v>65</v>
      </c>
      <c r="C36" s="240">
        <f>C12-C34</f>
        <v>3730.1800000000003</v>
      </c>
    </row>
    <row r="37" spans="2:3" x14ac:dyDescent="0.4">
      <c r="B37" s="97" t="s">
        <v>289</v>
      </c>
      <c r="C37" s="241">
        <f>C36/C12</f>
        <v>0.44426993798716508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4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4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6">
        <f>(Sixt!F15*Sixt!G15/SUM(Sixt!F7:F9))*12/1.19</f>
        <v>604.73949579831935</v>
      </c>
      <c r="I13" s="216">
        <f>(Sixt!F13*Sixt!G13/SUM(Sixt!F7:F9))*12/1.19</f>
        <v>302.42016806722688</v>
      </c>
      <c r="J13" s="216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2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7">
        <f>(Sixt!I15*Sixt!J15/SUM(Sixt!I7:I9))*12/1.19</f>
        <v>604.73949579831935</v>
      </c>
      <c r="I14" s="217">
        <f>(Sixt!I13*Sixt!J13/SUM(Sixt!I7:I9))*12/1.19</f>
        <v>302.42016806722688</v>
      </c>
      <c r="J14" s="217"/>
      <c r="K14" s="11"/>
      <c r="L14" s="217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7">
        <f>(Sixt!L15*Sixt!M15/SUM(Sixt!L7:L9))*12/1.19</f>
        <v>604.73949579831935</v>
      </c>
      <c r="I15" s="217">
        <f>(Sixt!L13*Sixt!M13/SUM(Sixt!L7:L9))*12/1.19</f>
        <v>0</v>
      </c>
      <c r="J15" s="217"/>
      <c r="K15" s="217"/>
      <c r="L15" s="217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8396.2016806722695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8396.2016806722695</v>
      </c>
      <c r="R16" s="35">
        <f t="shared" si="4"/>
        <v>2798.733893557423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70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70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2">
        <f>20*2+35</f>
        <v>75</v>
      </c>
      <c r="J23" s="22"/>
      <c r="K23" s="170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2">
        <f>I23*2</f>
        <v>150</v>
      </c>
      <c r="J24" s="22"/>
      <c r="K24" s="170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2">
        <f>20*2+35</f>
        <v>75</v>
      </c>
      <c r="J25" s="22"/>
      <c r="K25" s="170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2">
        <f>I25*2</f>
        <v>150</v>
      </c>
      <c r="J26" s="22"/>
      <c r="K26" s="170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3"/>
      <c r="G27" s="173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5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2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8396.2016806722695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9836.2016806722695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70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1">
        <f t="shared" ref="H50:I53" si="20">H23</f>
        <v>840</v>
      </c>
      <c r="I50" s="171">
        <f t="shared" si="20"/>
        <v>75</v>
      </c>
      <c r="J50" s="161">
        <f t="shared" ref="J50:L51" si="21">J23*1.19</f>
        <v>0</v>
      </c>
      <c r="K50" s="171">
        <f>K23</f>
        <v>0</v>
      </c>
      <c r="L50" s="161">
        <f t="shared" si="21"/>
        <v>0</v>
      </c>
      <c r="M50" s="161">
        <f>19.95*12</f>
        <v>239.39999999999998</v>
      </c>
      <c r="N50" s="161">
        <f t="shared" ref="N50:O51" si="22">N23</f>
        <v>0</v>
      </c>
      <c r="O50" s="161">
        <f t="shared" si="22"/>
        <v>0</v>
      </c>
      <c r="P50" s="19">
        <v>3</v>
      </c>
      <c r="Q50" s="24">
        <f>G50+H50+I50*(P50-1)+M50*(P50-1)+L50*P50</f>
        <v>6268.7</v>
      </c>
      <c r="R50" s="16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1">
        <f t="shared" si="20"/>
        <v>1680</v>
      </c>
      <c r="I51" s="171">
        <f t="shared" si="20"/>
        <v>150</v>
      </c>
      <c r="J51" s="161">
        <f t="shared" si="21"/>
        <v>0</v>
      </c>
      <c r="K51" s="171">
        <f>K24</f>
        <v>0</v>
      </c>
      <c r="L51" s="161">
        <f t="shared" si="21"/>
        <v>0</v>
      </c>
      <c r="M51" s="161">
        <f>19.95*12*2</f>
        <v>478.79999999999995</v>
      </c>
      <c r="N51" s="161">
        <f t="shared" si="22"/>
        <v>0</v>
      </c>
      <c r="O51" s="16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1">
        <f t="shared" ref="R51:R53" si="24">Q51/P51</f>
        <v>3512.5</v>
      </c>
      <c r="S51" s="19"/>
      <c r="T51" s="166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1">
        <f t="shared" si="20"/>
        <v>840</v>
      </c>
      <c r="I52" s="171">
        <f t="shared" si="20"/>
        <v>75</v>
      </c>
      <c r="J52" s="27"/>
      <c r="K52" s="171">
        <f>K25</f>
        <v>0</v>
      </c>
      <c r="L52" s="27"/>
      <c r="M52" s="16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1">
        <f t="shared" si="20"/>
        <v>1680</v>
      </c>
      <c r="I53" s="171">
        <f t="shared" si="20"/>
        <v>150</v>
      </c>
      <c r="J53" s="27"/>
      <c r="K53" s="171">
        <f>K26</f>
        <v>0</v>
      </c>
      <c r="L53" s="27"/>
      <c r="M53" s="16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8100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8100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8100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8100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506.25</v>
      </c>
      <c r="F7" s="129">
        <f>IF($B$6=100%,(('Preise Output'!$F$10-INDEX(Annahmen!$B$18:$C$22,MATCH('Preise Output'!$C$7,Annahmen!$B$18:$B$22,0),2))*'Preise Output'!$E$26)/10,('Preise Output'!$E$26*'Preise Output'!$F$10-$D$6)/10)</f>
        <v>506.25</v>
      </c>
      <c r="G7" s="129">
        <f>IF($B$6=100%,(('Preise Output'!$F$10-INDEX(Annahmen!$B$18:$C$22,MATCH('Preise Output'!$C$7,Annahmen!$B$18:$B$22,0),2))*'Preise Output'!$E$26)/10,('Preise Output'!$E$26*'Preise Output'!$F$10-$D$6)/10)</f>
        <v>506.25</v>
      </c>
      <c r="H7" s="129">
        <f>IF($B$6=100%,(('Preise Output'!$F$10-INDEX(Annahmen!$B$18:$C$22,MATCH('Preise Output'!$C$7,Annahmen!$B$18:$B$22,0),2))*'Preise Output'!$E$26)/10,('Preise Output'!$E$26*'Preise Output'!$F$10-$D$6)/10)</f>
        <v>506.25</v>
      </c>
      <c r="I7" s="129">
        <f>IF($B$6=100%,(('Preise Output'!$F$10-INDEX(Annahmen!$B$18:$C$22,MATCH('Preise Output'!$C$7,Annahmen!$B$18:$B$22,0),2))*'Preise Output'!$E$26)/10,('Preise Output'!$E$26*'Preise Output'!$F$10-$D$6)/10)</f>
        <v>506.25</v>
      </c>
      <c r="J7" s="129">
        <f>IF($B$6=100%,(('Preise Output'!$F$10-INDEX(Annahmen!$B$18:$C$22,MATCH('Preise Output'!$C$7,Annahmen!$B$18:$B$22,0),2))*'Preise Output'!$E$26)/10,('Preise Output'!$E$26*'Preise Output'!$F$10-$D$6)/10)</f>
        <v>506.25</v>
      </c>
      <c r="K7" s="129">
        <f>IF($B$6=100%,(('Preise Output'!$F$10-INDEX(Annahmen!$B$18:$C$22,MATCH('Preise Output'!$C$7,Annahmen!$B$18:$B$22,0),2))*'Preise Output'!$E$26)/10,('Preise Output'!$E$26*'Preise Output'!$F$10-$D$6)/10)</f>
        <v>506.25</v>
      </c>
      <c r="L7" s="129">
        <f>IF($B$6=100%,(('Preise Output'!$F$10-INDEX(Annahmen!$B$18:$C$22,MATCH('Preise Output'!$C$7,Annahmen!$B$18:$B$22,0),2))*'Preise Output'!$E$26)/10,('Preise Output'!$E$26*'Preise Output'!$F$10-$D$6)/10)</f>
        <v>506.25</v>
      </c>
      <c r="M7" s="129">
        <f>IF($B$6=100%,(('Preise Output'!$F$10-INDEX(Annahmen!$B$18:$C$22,MATCH('Preise Output'!$C$7,Annahmen!$B$18:$B$22,0),2))*'Preise Output'!$E$26)/10,('Preise Output'!$E$26*'Preise Output'!$F$10-$D$6)/10)</f>
        <v>506.25</v>
      </c>
      <c r="N7" s="129">
        <f>IF($B$6=100%,(('Preise Output'!$F$10-INDEX(Annahmen!$B$18:$C$22,MATCH('Preise Output'!$C$7,Annahmen!$B$18:$B$22,0),2))*'Preise Output'!$E$26)/10,('Preise Output'!$E$26*'Preise Output'!$F$10-$D$6)/10)</f>
        <v>506.25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506.25</v>
      </c>
      <c r="R7" s="129">
        <f>IF($B$6=100%,(('Preise Output'!$F$10-INDEX(Annahmen!$B$18:$C$22,MATCH('Preise Output'!$C$7,Annahmen!$B$18:$B$22,0),2))*'Preise Output'!$E$26)/10,('Preise Output'!$E$26*'Preise Output'!$F$10-$D$6)/10)</f>
        <v>506.25</v>
      </c>
      <c r="S7" s="129">
        <f>IF($B$6=100%,(('Preise Output'!$F$10-INDEX(Annahmen!$B$18:$C$22,MATCH('Preise Output'!$C$7,Annahmen!$B$18:$B$22,0),2))*'Preise Output'!$E$26)/10,('Preise Output'!$E$26*'Preise Output'!$F$10-$D$6)/10)</f>
        <v>506.25</v>
      </c>
      <c r="T7" s="129">
        <f>IF($B$6=100%,(('Preise Output'!$F$10-INDEX(Annahmen!$B$18:$C$22,MATCH('Preise Output'!$C$7,Annahmen!$B$18:$B$22,0),2))*'Preise Output'!$E$26)/10,('Preise Output'!$E$26*'Preise Output'!$F$10-$D$6)/10)</f>
        <v>506.25</v>
      </c>
      <c r="U7" s="129">
        <f>IF($B$6=100%,(('Preise Output'!$F$10-INDEX(Annahmen!$B$18:$C$22,MATCH('Preise Output'!$C$7,Annahmen!$B$18:$B$22,0),2))*'Preise Output'!$E$26)/10,('Preise Output'!$E$26*'Preise Output'!$F$10-$D$6)/10)</f>
        <v>506.25</v>
      </c>
      <c r="V7" s="129">
        <f>IF($B$6=100%,(('Preise Output'!$F$10-INDEX(Annahmen!$B$18:$C$22,MATCH('Preise Output'!$C$7,Annahmen!$B$18:$B$22,0),2))*'Preise Output'!$E$26)/10,('Preise Output'!$E$26*'Preise Output'!$F$10-$D$6)/10)</f>
        <v>506.25</v>
      </c>
      <c r="W7" s="129">
        <f>IF($B$6=100%,(('Preise Output'!$F$10-INDEX(Annahmen!$B$18:$C$22,MATCH('Preise Output'!$C$7,Annahmen!$B$18:$B$22,0),2))*'Preise Output'!$E$26)/10,('Preise Output'!$E$26*'Preise Output'!$F$10-$D$6)/10)</f>
        <v>506.25</v>
      </c>
      <c r="X7" s="129">
        <f>IF($B$6=100%,(('Preise Output'!$F$10-INDEX(Annahmen!$B$18:$C$22,MATCH('Preise Output'!$C$7,Annahmen!$B$18:$B$22,0),2))*'Preise Output'!$E$26)/10,('Preise Output'!$E$26*'Preise Output'!$F$10-$D$6)/10)</f>
        <v>506.25</v>
      </c>
      <c r="Y7" s="129">
        <f>IF($B$6=100%,(('Preise Output'!$F$10-INDEX(Annahmen!$B$18:$C$22,MATCH('Preise Output'!$C$7,Annahmen!$B$18:$B$22,0),2))*'Preise Output'!$E$26)/10,('Preise Output'!$E$26*'Preise Output'!$F$10-$D$6)/10)</f>
        <v>506.25</v>
      </c>
      <c r="Z7" s="129">
        <f>IF($B$6=100%,(('Preise Output'!$F$10-INDEX(Annahmen!$B$18:$C$22,MATCH('Preise Output'!$C$7,Annahmen!$B$18:$B$22,0),2))*'Preise Output'!$E$26)/10,('Preise Output'!$E$26*'Preise Output'!$F$10-$D$6)/10)</f>
        <v>506.25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506.25</v>
      </c>
      <c r="AD7" s="129">
        <f>IF($B$6=100%,(('Preise Output'!$F$10-INDEX(Annahmen!$B$18:$C$22,MATCH('Preise Output'!$C$7,Annahmen!$B$18:$B$22,0),2))*'Preise Output'!$E$26)/10,('Preise Output'!$E$26*'Preise Output'!$F$10-$D$6)/10)</f>
        <v>506.25</v>
      </c>
      <c r="AE7" s="129">
        <f>IF($B$6=100%,(('Preise Output'!$F$10-INDEX(Annahmen!$B$18:$C$22,MATCH('Preise Output'!$C$7,Annahmen!$B$18:$B$22,0),2))*'Preise Output'!$E$26)/10,('Preise Output'!$E$26*'Preise Output'!$F$10-$D$6)/10)</f>
        <v>506.25</v>
      </c>
      <c r="AF7" s="129">
        <f>IF($B$6=100%,(('Preise Output'!$F$10-INDEX(Annahmen!$B$18:$C$22,MATCH('Preise Output'!$C$7,Annahmen!$B$18:$B$22,0),2))*'Preise Output'!$E$26)/10,('Preise Output'!$E$26*'Preise Output'!$F$10-$D$6)/10)</f>
        <v>506.25</v>
      </c>
      <c r="AG7" s="129">
        <f>IF($B$6=100%,(('Preise Output'!$F$10-INDEX(Annahmen!$B$18:$C$22,MATCH('Preise Output'!$C$7,Annahmen!$B$18:$B$22,0),2))*'Preise Output'!$E$26)/10,('Preise Output'!$E$26*'Preise Output'!$F$10-$D$6)/10)</f>
        <v>506.25</v>
      </c>
      <c r="AH7" s="129">
        <f>IF($B$6=100%,(('Preise Output'!$F$10-INDEX(Annahmen!$B$18:$C$22,MATCH('Preise Output'!$C$7,Annahmen!$B$18:$B$22,0),2))*'Preise Output'!$E$26)/10,('Preise Output'!$E$26*'Preise Output'!$F$10-$D$6)/10)</f>
        <v>506.25</v>
      </c>
      <c r="AI7" s="129">
        <f>IF($B$6=100%,(('Preise Output'!$F$10-INDEX(Annahmen!$B$18:$C$22,MATCH('Preise Output'!$C$7,Annahmen!$B$18:$B$22,0),2))*'Preise Output'!$E$26)/10,('Preise Output'!$E$26*'Preise Output'!$F$10-$D$6)/10)</f>
        <v>506.25</v>
      </c>
      <c r="AJ7" s="129">
        <f>IF($B$6=100%,(('Preise Output'!$F$10-INDEX(Annahmen!$B$18:$C$22,MATCH('Preise Output'!$C$7,Annahmen!$B$18:$B$22,0),2))*'Preise Output'!$E$26)/10,('Preise Output'!$E$26*'Preise Output'!$F$10-$D$6)/10)</f>
        <v>506.25</v>
      </c>
      <c r="AK7" s="129">
        <f>IF($B$6=100%,(('Preise Output'!$F$10-INDEX(Annahmen!$B$18:$C$22,MATCH('Preise Output'!$C$7,Annahmen!$B$18:$B$22,0),2))*'Preise Output'!$E$26)/10,('Preise Output'!$E$26*'Preise Output'!$F$10-$D$6)/10)</f>
        <v>506.25</v>
      </c>
      <c r="AL7" s="129">
        <f>IF($B$6=100%,(('Preise Output'!$F$10-INDEX(Annahmen!$B$18:$C$22,MATCH('Preise Output'!$C$7,Annahmen!$B$18:$B$22,0),2))*'Preise Output'!$E$26)/10,('Preise Output'!$E$26*'Preise Output'!$F$10-$D$6)/10)</f>
        <v>506.25</v>
      </c>
      <c r="AM7" s="130"/>
      <c r="AN7" s="130">
        <f t="shared" ref="AN7:AN43" si="0">SUM(D7:AM7)</f>
        <v>15187.5</v>
      </c>
      <c r="AQ7" s="130">
        <f t="shared" ref="AQ7:AQ45" si="1">SUM(D7:F7)</f>
        <v>1012.5</v>
      </c>
      <c r="AR7" s="130">
        <f t="shared" ref="AR7:AR45" si="2">SUM(G7:I7)</f>
        <v>1518.75</v>
      </c>
      <c r="AS7" s="130">
        <f t="shared" ref="AS7:AS45" si="3">SUM(J7:L7)</f>
        <v>1518.75</v>
      </c>
      <c r="AT7" s="130">
        <f t="shared" ref="AT7:AT45" si="4">SUM(M7:O7)</f>
        <v>1012.5</v>
      </c>
      <c r="AU7" s="130">
        <f t="shared" ref="AU7:AU45" si="5">SUM(P7:R7)</f>
        <v>1012.5</v>
      </c>
      <c r="AV7" s="130">
        <f t="shared" ref="AV7:AV45" si="6">SUM(S7:U7)</f>
        <v>1518.75</v>
      </c>
      <c r="AW7" s="130">
        <f t="shared" ref="AW7:AW45" si="7">SUM(V7:X7)</f>
        <v>1518.75</v>
      </c>
      <c r="AX7" s="130">
        <f t="shared" ref="AX7:AX45" si="8">SUM(Y7:AA7)</f>
        <v>1012.5</v>
      </c>
      <c r="AY7" s="130">
        <f t="shared" ref="AY7:AY45" si="9">SUM(AB7:AD7)</f>
        <v>1012.5</v>
      </c>
      <c r="AZ7" s="130">
        <f t="shared" ref="AZ7:AZ45" si="10">SUM(AE7:AG7)</f>
        <v>1518.75</v>
      </c>
      <c r="BA7" s="130">
        <f t="shared" ref="BA7:BA45" si="11">SUM(AH7:AJ7)</f>
        <v>1518.75</v>
      </c>
      <c r="BB7" s="130">
        <f t="shared" ref="BB7:BB45" si="12">SUM(AK7:AM7)</f>
        <v>1012.5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-9991.48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-9991.48</v>
      </c>
      <c r="AQ42" s="134">
        <f t="shared" si="1"/>
        <v>-9991.48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14478.750000000002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5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6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6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1">
        <v>50</v>
      </c>
      <c r="H20" s="166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1">
        <v>60</v>
      </c>
      <c r="H21" s="166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1">
        <v>75</v>
      </c>
      <c r="H22" s="166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F94E150-CA02-40BC-8918-4FAFA7B3BACB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2024-03-03T12:10:56Z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