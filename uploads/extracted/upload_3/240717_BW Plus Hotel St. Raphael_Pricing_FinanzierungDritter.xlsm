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Hotel St. Raphael/"/>
    </mc:Choice>
  </mc:AlternateContent>
  <xr:revisionPtr revIDLastSave="41" documentId="8_{207F9823-9F7A-439A-86BD-E629EE244269}" xr6:coauthVersionLast="47" xr6:coauthVersionMax="47" xr10:uidLastSave="{E9857C62-06A1-4BFB-BE4D-0FC0C74DA2E5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<sst xmlns="http://schemas.openxmlformats.org/spreadsheetml/2006/main" count="510" uniqueCount="297">
  <si>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</si>
  <si>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</si>
  <si>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</si>
  <si>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</si>
  <si>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</si>
  <si>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</si>
  <si>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</si>
  <si>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</si>
  <si>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</si>
  <si>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</si>
  <si>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</si>
  <si>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</si>
  <si>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</si>
  <si>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</si>
  <si>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</si>
  <si>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</si>
  <si>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</si>
  <si>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</si>
  <si>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</si>
  <si>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</si>
  <si>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</si>
  <si>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</si>
  <si>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</si>
  <si>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</si>
  <si>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</si>
  <si>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</si>
  <si>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</si>
  <si>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</si>
  <si>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</si>
  <si>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</si>
  <si>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</si>
  <si>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</si>
  <si>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</si>
  <si>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</si>
  <si>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</si>
  <si>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</si>
  <si>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</si>
  <si>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</si>
  <si>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</si>
  <si>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</si>
  <si>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</si>
  <si>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</si>
  <si>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</si>
  <si>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</si>
  <si>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</si>
  <si>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</si>
  <si>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</si>
  <si>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</si>
  <si>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</si>
  <si>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</si>
  <si>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</si>
  <si>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</si>
  <si>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</si>
  <si>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</si>
  <si>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</si>
  <si>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</si>
  <si>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</si>
  <si>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</si>
  <si>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</si>
  <si>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</si>
  <si>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</si>
  <si>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</si>
  <si>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</si>
  <si>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</si>
  <si>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</si>
  <si>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</si>
  <si>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</si>
  <si>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</si>
  <si>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</si>
  <si>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</si>
  <si>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</si>
  <si>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</si>
  <si>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</si>
  <si>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</si>
  <si>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</si>
  <si>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</si>
  <si>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</si>
  <si>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</si>
  <si>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</si>
  <si>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</si>
  <si>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</si>
  <si>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</si>
  <si>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</si>
  <si>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</si>
  <si>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</si>
  <si>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</si>
  <si>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</si>
  <si>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</si>
  <si>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</si>
  <si>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</si>
  <si>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</si>
  <si>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</si>
  <si>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</si>
  <si>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</si>
  <si>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</si>
  <si>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</si>
  <si>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</si>
  <si>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</si>
  <si>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</si>
  <si>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</si>
  <si>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</si>
  <si>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</si>
  <si>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</si>
  <si>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</si>
  <si>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</si>
  <si>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</si>
  <si>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</si>
  <si>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</si>
  <si>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</si>
  <si>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</si>
  <si>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</si>
  <si>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</si>
  <si>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</si>
  <si>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</si>
  <si>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</si>
  <si>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</si>
  <si>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</si>
  <si>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</si>
  <si>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</si>
  <si>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</si>
  <si>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</si>
  <si>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</si>
  <si>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</si>
  <si>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</si>
  <si>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</si>
  <si>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</si>
  <si>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</si>
  <si>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</si>
  <si>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</si>
  <si>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</si>
  <si>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</si>
  <si>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</si>
  <si>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</si>
  <si>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</si>
  <si>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</si>
  <si>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</si>
  <si>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</si>
  <si>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</si>
  <si>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</si>
  <si>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</si>
  <si>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</si>
  <si>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</si>
  <si>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</si>
  <si>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</si>
  <si>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</si>
  <si>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</si>
  <si>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</si>
  <si>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</si>
  <si>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</si>
  <si>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</si>
  <si>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</si>
  <si>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</si>
  <si>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</si>
  <si>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</si>
  <si>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</si>
  <si>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</si>
  <si>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</si>
  <si>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</si>
  <si>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</si>
  <si>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</si>
  <si>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</si>
  <si>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</si>
  <si>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</si>
  <si>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</si>
  <si>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</si>
  <si>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</si>
  <si>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</si>
  <si>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</si>
  <si>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</si>
  <si>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</si>
  <si>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</si>
  <si>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</si>
  <si>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</si>
  <si>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</si>
  <si>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</si>
  <si>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</si>
  <si>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</si>
  <si>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</si>
  <si>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</si>
  <si>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</si>
  <si>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</si>
  <si>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</si>
  <si>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</si>
  <si>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</si>
  <si>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</si>
  <si>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</si>
  <si>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</si>
  <si>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</si>
  <si>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</si>
  <si>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</si>
  <si>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</si>
  <si>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</si>
  <si>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</si>
  <si>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</si>
  <si>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</si>
  <si>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</si>
  <si>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</si>
  <si>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</si>
  <si>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</si>
  <si>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</si>
  <si>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</si>
  <si>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</si>
  <si>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</si>
  <si>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</si>
  <si>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</si>
  <si>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</si>
  <si>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</si>
  <si>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</si>
  <si>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</si>
  <si>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</si>
  <si>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</si>
  <si>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</si>
  <si>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</si>
  <si>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</si>
  <si>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</si>
  <si>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</si>
  <si>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</si>
  <si>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</si>
  <si>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</si>
  <si>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</si>
  <si>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</si>
  <si>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</si>
  <si>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</si>
  <si>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</si>
  <si>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</si>
  <si>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</si>
  <si>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</si>
  <si>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</si>
  <si>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</si>
  <si>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</si>
  <si>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</si>
  <si>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</si>
  <si>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</si>
  <si>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</si>
  <si>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</si>
  <si>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</si>
  <si>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</si>
  <si>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</si>
  <si>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</si>
  <si>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</si>
  <si>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</si>
  <si>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</si>
  <si>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</si>
  <si>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</si>
  <si>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</si>
  <si>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</si>
  <si>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</si>
  <si>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</si>
  <si>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</si>
  <si>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</si>
  <si>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</si>
  <si>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</si>
  <si>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</si>
  <si>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</si>
  <si>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</si>
  <si>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</si>
  <si>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</si>
  <si>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</si>
  <si>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</si>
  <si>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</si>
  <si>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</si>
  <si>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</si>
  <si>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</si>
  <si>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</si>
  <si>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</si>
  <si>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</si>
  <si>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</si>
  <si>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</si>
  <si>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</si>
  <si>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</si>
  <si>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</si>
  <si>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</si>
  <si>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</si>
  <si>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</si>
  <si>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</si>
  <si>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</si>
  <si>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</si>
  <si>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</si>
  <si>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</si>
  <si>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</si>
  <si>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</si>
  <si>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</si>
  <si>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</si>
  <si>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</si>
  <si>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</si>
  <si>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</si>
  <si>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</si>
  <si>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</si>
  <si>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</si>
  <si>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</si>
  <si>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</si>
  <si>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</si>
  <si>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</si>
  <si>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</si>
  <si>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</si>
  <si>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</si>
  <si>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Plus Hotel St. Raphael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</si>
</sst>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45490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ht="31.5" x14ac:dyDescent="0.3">
      <c r="B6" s="48" t="s">
        <v>4</v>
      </c>
      <c r="C6" s="49" t="s">
        <v>296</v>
      </c>
      <c r="E6" s="152" t="s">
        <v>290</v>
      </c>
      <c r="F6" s="37">
        <f>C12*0.65</f>
        <v>57.2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118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12921.000000000002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88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6,6%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3" zoomScale="115" zoomScaleNormal="115" workbookViewId="0">
      <selection activeCell="G27" sqref="G27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25210.084033613446</v>
      </c>
    </row>
    <row r="12" spans="2:11" x14ac:dyDescent="0.2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25">
      <c r="B25" s="97" t="str">
        <f>"Das enspricht "&amp;TEXT('Preise Output'!E26/('Preise Output'!C10),"0,0%") &amp; " des Leerstands p.a."</f>
        <v>Das enspricht 6,6%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25">
      <c r="B32" s="108" t="s">
        <v>293</v>
      </c>
      <c r="C32" s="229">
        <f>C26+C27</f>
        <v>2614.4499000000001</v>
      </c>
    </row>
    <row r="33" spans="2:3" ht="14.25" thickBot="1" x14ac:dyDescent="0.3">
      <c r="B33" s="115" t="s">
        <v>288</v>
      </c>
      <c r="C33" s="238">
        <f>-(C13+C14)</f>
        <v>-4789.9159663865548</v>
      </c>
    </row>
    <row r="34" spans="2:3" x14ac:dyDescent="0.25">
      <c r="B34" s="96" t="s">
        <v>271</v>
      </c>
      <c r="C34" s="236">
        <f>SUM(C31:C33)</f>
        <v>14964.533933613446</v>
      </c>
    </row>
    <row r="36" spans="2:3" x14ac:dyDescent="0.25">
      <c r="B36" s="102" t="s">
        <v>65</v>
      </c>
      <c r="C36" s="239">
        <f>C12-C34</f>
        <v>10245.5501</v>
      </c>
    </row>
    <row r="37" spans="2:3" x14ac:dyDescent="0.25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64EDD42-781F-43FC-80A1-230EFFA4886C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2024-08-29T11:47:37Z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