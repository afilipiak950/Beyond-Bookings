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Olymp/"/>
    </mc:Choice>
  </mc:AlternateContent>
  <xr:revisionPtr revIDLastSave="79" documentId="8_{207F9823-9F7A-439A-86BD-E629EE244269}" xr6:coauthVersionLast="47" xr6:coauthVersionMax="47" xr10:uidLastSave="{ED07FABD-CEF0-41C2-99DC-1EEF4BF37801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<sst xmlns="http://schemas.openxmlformats.org/spreadsheetml/2006/main" count="512" uniqueCount="299">
  <si>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</si>
  <si>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</si>
  <si>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</si>
  <si>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</si>
  <si>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</si>
  <si>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</si>
  <si>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</si>
  <si>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</si>
  <si>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</si>
  <si>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</si>
  <si>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</si>
  <si>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</si>
  <si>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</si>
  <si>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</si>
  <si>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</si>
  <si>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</si>
  <si>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</si>
  <si>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</si>
  <si>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</si>
  <si>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</si>
  <si>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</si>
  <si>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</si>
  <si>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</si>
  <si>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</si>
  <si>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</si>
  <si>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</si>
  <si>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</si>
  <si>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</si>
  <si>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</si>
  <si>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</si>
  <si>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</si>
  <si>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</si>
  <si>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</si>
  <si>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</si>
  <si>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</si>
  <si>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</si>
  <si>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</si>
  <si>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</si>
  <si>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</si>
  <si>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</si>
  <si>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</si>
  <si>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</si>
  <si>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</si>
  <si>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</si>
  <si>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</si>
  <si>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</si>
  <si>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</si>
  <si>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</si>
  <si>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</si>
  <si>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</si>
  <si>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</si>
  <si>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</si>
  <si>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</si>
  <si>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</si>
  <si>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</si>
  <si>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</si>
  <si>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</si>
  <si>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</si>
  <si>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</si>
  <si>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</si>
  <si>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</si>
  <si>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</si>
  <si>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</si>
  <si>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</si>
  <si>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</si>
  <si>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</si>
  <si>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</si>
  <si>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</si>
  <si>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</si>
  <si>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</si>
  <si>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</si>
  <si>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</si>
  <si>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</si>
  <si>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</si>
  <si>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</si>
  <si>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</si>
  <si>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</si>
  <si>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</si>
  <si>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</si>
  <si>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</si>
  <si>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</si>
  <si>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</si>
  <si>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</si>
  <si>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</si>
  <si>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</si>
  <si>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</si>
  <si>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</si>
  <si>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</si>
  <si>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</si>
  <si>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</si>
  <si>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</si>
  <si>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</si>
  <si>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</si>
  <si>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</si>
  <si>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</si>
  <si>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</si>
  <si>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</si>
  <si>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</si>
  <si>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</si>
  <si>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</si>
  <si>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</si>
  <si>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</si>
  <si>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</si>
  <si>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</si>
  <si>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</si>
  <si>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</si>
  <si>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</si>
  <si>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</si>
  <si>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</si>
  <si>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</si>
  <si>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</si>
  <si>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</si>
  <si>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</si>
  <si>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</si>
  <si>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</si>
  <si>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</si>
  <si>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</si>
  <si>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</si>
  <si>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</si>
  <si>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</si>
  <si>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</si>
  <si>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</si>
  <si>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</si>
  <si>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</si>
  <si>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</si>
  <si>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</si>
  <si>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</si>
  <si>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</si>
  <si>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</si>
  <si>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</si>
  <si>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</si>
  <si>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</si>
  <si>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</si>
  <si>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</si>
  <si>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</si>
  <si>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</si>
  <si>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</si>
  <si>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</si>
  <si>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</si>
  <si>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</si>
  <si>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</si>
  <si>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</si>
  <si>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</si>
  <si>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</si>
  <si>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</si>
  <si>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</si>
  <si>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</si>
  <si>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</si>
  <si>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</si>
  <si>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</si>
  <si>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</si>
  <si>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</si>
  <si>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</si>
  <si>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</si>
  <si>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</si>
  <si>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</si>
  <si>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</si>
  <si>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</si>
  <si>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</si>
  <si>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</si>
  <si>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</si>
  <si>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</si>
  <si>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</si>
  <si>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</si>
  <si>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</si>
  <si>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</si>
  <si>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</si>
  <si>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</si>
  <si>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</si>
  <si>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</si>
  <si>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</si>
  <si>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</si>
  <si>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</si>
  <si>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</si>
  <si>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</si>
  <si>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</si>
  <si>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</si>
  <si>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</si>
  <si>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</si>
  <si>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</si>
  <si>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</si>
  <si>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</si>
  <si>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</si>
  <si>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</si>
  <si>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</si>
  <si>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</si>
  <si>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</si>
  <si>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</si>
  <si>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</si>
  <si>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</si>
  <si>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</si>
  <si>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</si>
  <si>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</si>
  <si>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</si>
  <si>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</si>
  <si>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</si>
  <si>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</si>
  <si>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</si>
  <si>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</si>
  <si>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</si>
  <si>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</si>
  <si>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</si>
  <si>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</si>
  <si>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</si>
  <si>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</si>
  <si>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</si>
  <si>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</si>
  <si>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</si>
  <si>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</si>
  <si>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</si>
  <si>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</si>
  <si>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</si>
  <si>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</si>
  <si>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</si>
  <si>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</si>
  <si>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</si>
  <si>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</si>
  <si>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</si>
  <si>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</si>
  <si>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</si>
  <si>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</si>
  <si>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</si>
  <si>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</si>
  <si>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</si>
  <si>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</si>
  <si>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</si>
  <si>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</si>
  <si>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</si>
  <si>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</si>
  <si>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</si>
  <si>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</si>
  <si>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</si>
  <si>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</si>
  <si>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</si>
  <si>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</si>
  <si>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</si>
  <si>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</si>
  <si>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</si>
  <si>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</si>
  <si>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</si>
  <si>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</si>
  <si>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</si>
  <si>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</si>
  <si>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</si>
  <si>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</si>
  <si>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</si>
  <si>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</si>
  <si>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</si>
  <si>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</si>
  <si>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</si>
  <si>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</si>
  <si>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</si>
  <si>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</si>
  <si>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</si>
  <si>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</si>
  <si>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</si>
  <si>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</si>
  <si>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</si>
  <si>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</si>
  <si>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</si>
  <si>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</si>
  <si>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</si>
  <si>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</si>
  <si>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</si>
  <si>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</si>
  <si>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</si>
  <si>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</si>
  <si>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</si>
  <si>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</si>
  <si>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</si>
  <si>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</si>
  <si>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</si>
  <si>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</si>
  <si>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</si>
  <si>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</si>
  <si>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</si>
  <si>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</si>
  <si>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</si>
  <si>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</si>
  <si>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</si>
  <si>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</si>
  <si>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</si>
  <si>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</si>
  <si>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</si>
  <si>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</si>
  <si>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</si>
  <si>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</si>
  <si>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</si>
  <si>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</si>
  <si>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</si>
  <si>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</si>
  <si>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</si>
  <si>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</si>
  <si>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</si>
  <si>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</si>
  <si>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</si>
  <si>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Olymp</t>
  </si>
  <si>
    <t>inkl. Frst.</t>
  </si>
  <si>
    <t>lt. Animod 79 ok, 69 lieber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</si>
</sst>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F12" sqref="F12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45707</v>
      </c>
      <c r="E5" s="151" t="s">
        <v>5</v>
      </c>
      <c r="F5" s="153">
        <v>69</v>
      </c>
      <c r="G5" s="44" t="s">
        <v>298</v>
      </c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101.4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39.5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132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0.6</v>
      </c>
      <c r="E9" s="156" t="s">
        <v>246</v>
      </c>
      <c r="F9" s="157">
        <f>IFERROR(J26,"Bitte Produkt auswählen")</f>
        <v>0.30620165526409088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19272</v>
      </c>
      <c r="E10" s="152" t="s">
        <v>13</v>
      </c>
      <c r="F10" s="168">
        <f>F5*0.75</f>
        <v>51.75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1000</v>
      </c>
      <c r="E11" s="167" t="s">
        <v>14</v>
      </c>
      <c r="F11" s="242">
        <f>+I26</f>
        <v>72067.05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156</v>
      </c>
      <c r="D12" s="61"/>
      <c r="E12" s="155" t="s">
        <v>243</v>
      </c>
      <c r="F12" s="241">
        <v>50000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1266</v>
      </c>
      <c r="F24" s="76">
        <v>3</v>
      </c>
      <c r="G24" s="77">
        <f>F12*D24</f>
        <v>50000</v>
      </c>
      <c r="H24" s="77">
        <f>$E24*$F$10*1.1-$G24</f>
        <v>22067.050000000003</v>
      </c>
      <c r="I24" s="77">
        <f>G24+H24</f>
        <v>72067.05</v>
      </c>
      <c r="J24" s="78">
        <f t="shared" si="16"/>
        <v>0.30620165526409088</v>
      </c>
      <c r="K24" s="77">
        <v>0</v>
      </c>
      <c r="L24" s="77">
        <v>0</v>
      </c>
      <c r="M24" s="77">
        <f>G24*1.19-G24</f>
        <v>9500</v>
      </c>
      <c r="N24" s="77">
        <f t="shared" si="5"/>
        <v>3111.9862499999999</v>
      </c>
      <c r="O24" s="77">
        <f>L24-M24-N24</f>
        <v>-12611.98625</v>
      </c>
      <c r="P24" s="79">
        <f>IFERROR($H24-L24,"")</f>
        <v>22067.050000000003</v>
      </c>
      <c r="Q24" s="78">
        <f>IFERROR(($H24-L24)/$I24,"")</f>
        <v>0.30620165526409088</v>
      </c>
      <c r="R24" s="80">
        <f>IFERROR((1-Q24)*F24,"")</f>
        <v>2.081395034207727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1266</v>
      </c>
      <c r="F26" s="89"/>
      <c r="G26" s="89">
        <f>SUBTOTAL(9,G19:G24)</f>
        <v>50000</v>
      </c>
      <c r="H26" s="89">
        <f>SUBTOTAL(9,H19:H24)</f>
        <v>22067.050000000003</v>
      </c>
      <c r="I26" s="89">
        <f>SUBTOTAL(9,I19:I24)</f>
        <v>72067.05</v>
      </c>
      <c r="J26" s="90">
        <f>H26/I26</f>
        <v>0.30620165526409088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9500</v>
      </c>
      <c r="N26" s="89">
        <f t="shared" si="25"/>
        <v>3111.9862499999999</v>
      </c>
      <c r="O26" s="89">
        <f t="shared" si="25"/>
        <v>-12611.98625</v>
      </c>
      <c r="P26" s="89">
        <f t="shared" si="25"/>
        <v>22067.050000000003</v>
      </c>
      <c r="Q26" s="90">
        <f>($H26-L26)/$I26</f>
        <v>0.30620165526409088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6,6%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topLeftCell="A7" zoomScale="70" zoomScaleNormal="70" workbookViewId="0">
      <selection activeCell="G10" sqref="G10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v>24.4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1266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42016.806722689078</v>
      </c>
    </row>
    <row r="12" spans="2:11" x14ac:dyDescent="0.4">
      <c r="B12" s="212" t="s">
        <v>285</v>
      </c>
      <c r="C12" s="230">
        <f>F13+F14</f>
        <v>42016.806722689078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7983.1932773109247</v>
      </c>
      <c r="E14" s="223">
        <v>0.19</v>
      </c>
      <c r="F14" s="162">
        <f>(F18-F13*(1+E13))/(1+E14)</f>
        <v>42016.806722689078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50000</v>
      </c>
      <c r="F18" s="97">
        <f>'Preise Output'!G26</f>
        <v>50000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1266 Gutscheine x 39,5€ je Gutschein</v>
      </c>
      <c r="C24" s="237">
        <f>IFERROR(C7*'Preise Output'!$F$7,"--")</f>
        <v>50007</v>
      </c>
    </row>
    <row r="25" spans="2:8" x14ac:dyDescent="0.4">
      <c r="B25" s="97" t="str">
        <f>"Das enspricht "&amp;TEXT('Preise Output'!E26/('Preise Output'!C10),"0,0%") &amp; " des Leerstands p.a."</f>
        <v>Das enspricht 6,6%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3057.3900000000003</v>
      </c>
      <c r="E26" s="223">
        <v>7.0000000000000007E-2</v>
      </c>
      <c r="F26" s="162">
        <f>C24-F27</f>
        <v>43677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1202.7</v>
      </c>
      <c r="E27" s="223">
        <v>0.19</v>
      </c>
      <c r="F27" s="162">
        <f>G27*C7</f>
        <v>6330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24,4€ je Gutschein x 1266 Roomnights</v>
      </c>
      <c r="C31" s="237">
        <f>C7*C4</f>
        <v>30890.399999999998</v>
      </c>
    </row>
    <row r="32" spans="2:8" x14ac:dyDescent="0.4">
      <c r="B32" s="108" t="s">
        <v>293</v>
      </c>
      <c r="C32" s="229">
        <f>C26+C27</f>
        <v>4260.09</v>
      </c>
    </row>
    <row r="33" spans="2:3" ht="14.5" thickBot="1" x14ac:dyDescent="0.45">
      <c r="B33" s="115" t="s">
        <v>288</v>
      </c>
      <c r="C33" s="238">
        <f>-(C13+C14)</f>
        <v>-7983.1932773109247</v>
      </c>
    </row>
    <row r="34" spans="2:3" x14ac:dyDescent="0.4">
      <c r="B34" s="96" t="s">
        <v>271</v>
      </c>
      <c r="C34" s="236">
        <f>SUM(C31:C33)</f>
        <v>27167.296722689072</v>
      </c>
    </row>
    <row r="36" spans="2:3" x14ac:dyDescent="0.4">
      <c r="B36" s="102" t="s">
        <v>65</v>
      </c>
      <c r="C36" s="239">
        <f>C12-C34</f>
        <v>14849.510000000006</v>
      </c>
    </row>
    <row r="37" spans="2:3" x14ac:dyDescent="0.4">
      <c r="B37" s="97" t="s">
        <v>289</v>
      </c>
      <c r="C37" s="240">
        <f>C36/C12</f>
        <v>0.35341833800000011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42016.806722689078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42016.806722689078</v>
      </c>
      <c r="R16" s="35">
        <f t="shared" si="4"/>
        <v>14005.60224089636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42016.806722689078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43456.806722689078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44310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44310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44310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44310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F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G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H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I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J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K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L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M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N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R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S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T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U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V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W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X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Y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Z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AD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AE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AF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AG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AH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AI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AJ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AK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AL7" s="129">
        <f>IF($B$6=100%,(('Preise Output'!$F$10-INDEX(Annahmen!$B$18:$C$22,MATCH('Preise Output'!$C$7,Annahmen!$B$18:$B$22,0),2))*'Preise Output'!$E$26)/10,('Preise Output'!$E$26*'Preise Output'!$F$10-$D$6)/10)</f>
        <v>2120.5500000000002</v>
      </c>
      <c r="AM7" s="130"/>
      <c r="AN7" s="130">
        <f t="shared" ref="AN7:AN43" si="0">SUM(D7:AM7)</f>
        <v>63616.500000000036</v>
      </c>
      <c r="AQ7" s="130">
        <f t="shared" ref="AQ7:AQ45" si="1">SUM(D7:F7)</f>
        <v>4241.1000000000004</v>
      </c>
      <c r="AR7" s="130">
        <f t="shared" ref="AR7:AR45" si="2">SUM(G7:I7)</f>
        <v>6361.6500000000005</v>
      </c>
      <c r="AS7" s="130">
        <f t="shared" ref="AS7:AS45" si="3">SUM(J7:L7)</f>
        <v>6361.6500000000005</v>
      </c>
      <c r="AT7" s="130">
        <f t="shared" ref="AT7:AT45" si="4">SUM(M7:O7)</f>
        <v>4241.1000000000004</v>
      </c>
      <c r="AU7" s="130">
        <f t="shared" ref="AU7:AU45" si="5">SUM(P7:R7)</f>
        <v>4241.1000000000004</v>
      </c>
      <c r="AV7" s="130">
        <f t="shared" ref="AV7:AV45" si="6">SUM(S7:U7)</f>
        <v>6361.6500000000005</v>
      </c>
      <c r="AW7" s="130">
        <f t="shared" ref="AW7:AW45" si="7">SUM(V7:X7)</f>
        <v>6361.6500000000005</v>
      </c>
      <c r="AX7" s="130">
        <f t="shared" ref="AX7:AX45" si="8">SUM(Y7:AA7)</f>
        <v>4241.1000000000004</v>
      </c>
      <c r="AY7" s="130">
        <f t="shared" ref="AY7:AY45" si="9">SUM(AB7:AD7)</f>
        <v>4241.1000000000004</v>
      </c>
      <c r="AZ7" s="130">
        <f t="shared" ref="AZ7:AZ45" si="10">SUM(AE7:AG7)</f>
        <v>6361.6500000000005</v>
      </c>
      <c r="BA7" s="130">
        <f t="shared" ref="BA7:BA45" si="11">SUM(AH7:AJ7)</f>
        <v>6361.6500000000005</v>
      </c>
      <c r="BB7" s="130">
        <f t="shared" ref="BB7:BB45" si="12">SUM(AK7:AM7)</f>
        <v>4241.1000000000004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-50000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-50000</v>
      </c>
      <c r="AQ42" s="134">
        <f t="shared" si="1"/>
        <v>-50000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72067.05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F625EB1-FD05-434A-A07D-CD875F5925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fe551f1-9bb4-42df-b25d-b04c42b39031"/>
    <ds:schemaRef ds:uri="0ff8542a-a91c-4213-8a41-8808dc7548c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Kim-Kristin Weber</cp:lastModifiedBy>
  <cp:revision/>
  <dcterms:created xsi:type="dcterms:W3CDTF">2019-06-03T13:08:51Z</dcterms:created>
  <dcterms:modified xsi:type="dcterms:W3CDTF">2025-02-27T13:04:34Z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