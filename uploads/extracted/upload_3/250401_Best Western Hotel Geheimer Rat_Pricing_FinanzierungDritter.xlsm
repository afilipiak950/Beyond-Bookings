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est Western Hotel Geheimer Rat/"/>
    </mc:Choice>
  </mc:AlternateContent>
  <xr:revisionPtr revIDLastSave="48" documentId="8_{207F9823-9F7A-439A-86BD-E629EE244269}" xr6:coauthVersionLast="47" xr6:coauthVersionMax="47" xr10:uidLastSave="{2E791E27-C636-4D44-A1A3-4F21D15D433B}"/>
  <bookViews>
    <workbookView xWindow="-96" yWindow="0" windowWidth="11712" windowHeight="12336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<sst xmlns="http://schemas.openxmlformats.org/spreadsheetml/2006/main" count="510" uniqueCount="297">
  <si>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</si>
  <si>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</si>
  <si>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</si>
  <si>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</si>
  <si>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</si>
  <si>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</si>
  <si>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</si>
  <si>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</si>
  <si>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</si>
  <si>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</si>
  <si>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</si>
  <si>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</si>
  <si>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</si>
  <si>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</si>
  <si>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</si>
  <si>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</si>
  <si>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</si>
  <si>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</si>
  <si>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</si>
  <si>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</si>
  <si>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</si>
  <si>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</si>
  <si>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</si>
  <si>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</si>
  <si>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</si>
  <si>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</si>
  <si>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</si>
  <si>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</si>
  <si>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</si>
  <si>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</si>
  <si>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</si>
  <si>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</si>
  <si>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</si>
  <si>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</si>
  <si>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</si>
  <si>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</si>
  <si>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</si>
  <si>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</si>
  <si>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</si>
  <si>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</si>
  <si>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</si>
  <si>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</si>
  <si>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</si>
  <si>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</si>
  <si>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</si>
  <si>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</si>
  <si>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</si>
  <si>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</si>
  <si>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</si>
  <si>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</si>
  <si>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</si>
  <si>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</si>
  <si>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</si>
  <si>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</si>
  <si>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</si>
  <si>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</si>
  <si>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</si>
  <si>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</si>
  <si>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</si>
  <si>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</si>
  <si>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</si>
  <si>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</si>
  <si>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</si>
  <si>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</si>
  <si>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</si>
  <si>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</si>
  <si>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</si>
  <si>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</si>
  <si>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</si>
  <si>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</si>
  <si>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</si>
  <si>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</si>
  <si>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</si>
  <si>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</si>
  <si>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</si>
  <si>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</si>
  <si>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</si>
  <si>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</si>
  <si>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</si>
  <si>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</si>
  <si>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</si>
  <si>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</si>
  <si>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</si>
  <si>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</si>
  <si>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</si>
  <si>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</si>
  <si>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</si>
  <si>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</si>
  <si>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</si>
  <si>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</si>
  <si>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</si>
  <si>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</si>
  <si>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</si>
  <si>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</si>
  <si>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</si>
  <si>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</si>
  <si>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</si>
  <si>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</si>
  <si>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</si>
  <si>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</si>
  <si>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</si>
  <si>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</si>
  <si>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</si>
  <si>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</si>
  <si>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</si>
  <si>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</si>
  <si>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</si>
  <si>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</si>
  <si>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</si>
  <si>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</si>
  <si>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</si>
  <si>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</si>
  <si>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</si>
  <si>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</si>
  <si>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</si>
  <si>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</si>
  <si>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</si>
  <si>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</si>
  <si>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</si>
  <si>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</si>
  <si>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</si>
  <si>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</si>
  <si>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</si>
  <si>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</si>
  <si>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</si>
  <si>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</si>
  <si>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</si>
  <si>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</si>
  <si>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</si>
  <si>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</si>
  <si>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</si>
  <si>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</si>
  <si>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</si>
  <si>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</si>
  <si>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</si>
  <si>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</si>
  <si>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</si>
  <si>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</si>
  <si>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</si>
  <si>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</si>
  <si>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</si>
  <si>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</si>
  <si>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</si>
  <si>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</si>
  <si>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</si>
  <si>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</si>
  <si>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</si>
  <si>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</si>
  <si>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</si>
  <si>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</si>
  <si>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</si>
  <si>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</si>
  <si>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</si>
  <si>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</si>
  <si>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</si>
  <si>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</si>
  <si>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</si>
  <si>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</si>
  <si>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</si>
  <si>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</si>
  <si>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</si>
  <si>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</si>
  <si>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</si>
  <si>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</si>
  <si>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</si>
  <si>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</si>
  <si>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</si>
  <si>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</si>
  <si>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</si>
  <si>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</si>
  <si>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</si>
  <si>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</si>
  <si>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</si>
  <si>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</si>
  <si>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</si>
  <si>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</si>
  <si>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</si>
  <si>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</si>
  <si>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</si>
  <si>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</si>
  <si>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</si>
  <si>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</si>
  <si>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</si>
  <si>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</si>
  <si>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</si>
  <si>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</si>
  <si>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</si>
  <si>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</si>
  <si>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</si>
  <si>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</si>
  <si>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</si>
  <si>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</si>
  <si>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</si>
  <si>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</si>
  <si>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</si>
  <si>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</si>
  <si>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</si>
  <si>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</si>
  <si>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</si>
  <si>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</si>
  <si>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</si>
  <si>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</si>
  <si>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</si>
  <si>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</si>
  <si>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</si>
  <si>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</si>
  <si>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</si>
  <si>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</si>
  <si>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</si>
  <si>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</si>
  <si>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</si>
  <si>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</si>
  <si>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</si>
  <si>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</si>
  <si>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</si>
  <si>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</si>
  <si>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</si>
  <si>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</si>
  <si>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</si>
  <si>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</si>
  <si>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</si>
  <si>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</si>
  <si>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</si>
  <si>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</si>
  <si>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</si>
  <si>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</si>
  <si>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</si>
  <si>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</si>
  <si>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</si>
  <si>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</si>
  <si>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</si>
  <si>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</si>
  <si>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</si>
  <si>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</si>
  <si>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</si>
  <si>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</si>
  <si>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</si>
  <si>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</si>
  <si>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</si>
  <si>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</si>
  <si>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</si>
  <si>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</si>
  <si>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</si>
  <si>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</si>
  <si>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</si>
  <si>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</si>
  <si>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</si>
  <si>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</si>
  <si>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</si>
  <si>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</si>
  <si>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</si>
  <si>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</si>
  <si>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</si>
  <si>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</si>
  <si>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</si>
  <si>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</si>
  <si>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</si>
  <si>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</si>
  <si>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</si>
  <si>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</si>
  <si>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</si>
  <si>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</si>
  <si>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</si>
  <si>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</si>
  <si>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</si>
  <si>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</si>
  <si>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</si>
  <si>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</si>
  <si>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</si>
  <si>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</si>
  <si>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</si>
  <si>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</si>
  <si>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</si>
  <si>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</si>
  <si>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</si>
  <si>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</si>
  <si>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</si>
  <si>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</si>
  <si>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</si>
  <si>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</si>
  <si>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</si>
  <si>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</si>
  <si>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</si>
  <si>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</si>
  <si>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</si>
  <si>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</si>
  <si>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</si>
  <si>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</si>
  <si>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</si>
  <si>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</si>
  <si>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</si>
  <si>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</si>
  <si>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</si>
  <si>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</si>
  <si>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</si>
  <si>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</si>
  <si>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BWH Geheimer 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</si>
</sst>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85" zoomScaleNormal="85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8" sqref="F8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45749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35">
      <c r="B6" s="48" t="s">
        <v>4</v>
      </c>
      <c r="C6" s="143" t="s">
        <v>296</v>
      </c>
      <c r="E6" s="152" t="s">
        <v>290</v>
      </c>
      <c r="F6" s="37">
        <f>C12*0.65</f>
        <v>63.7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65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7117.5000000000009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98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12,0%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9" workbookViewId="0">
      <selection activeCell="C5" sqref="C5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25210.084033613446</v>
      </c>
    </row>
    <row r="12" spans="2:11" x14ac:dyDescent="0.3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 x14ac:dyDescent="0.35">
      <c r="B25" s="97" t="str">
        <f>"Das enspricht "&amp;TEXT('Preise Output'!E26/('Preise Output'!C10),"0,0%") &amp; " des Leerstands p.a."</f>
        <v>Das enspricht 12,0%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 x14ac:dyDescent="0.35">
      <c r="B32" s="108" t="s">
        <v>293</v>
      </c>
      <c r="C32" s="229">
        <f>C26+C27</f>
        <v>2614.4499000000001</v>
      </c>
    </row>
    <row r="33" spans="2:3" ht="15" thickBot="1" x14ac:dyDescent="0.4">
      <c r="B33" s="115" t="s">
        <v>288</v>
      </c>
      <c r="C33" s="238">
        <f>-(C13+C14)</f>
        <v>-4789.9159663865548</v>
      </c>
    </row>
    <row r="34" spans="2:3" x14ac:dyDescent="0.35">
      <c r="B34" s="96" t="s">
        <v>271</v>
      </c>
      <c r="C34" s="236">
        <f>SUM(C31:C33)</f>
        <v>14964.533933613446</v>
      </c>
    </row>
    <row r="36" spans="2:3" x14ac:dyDescent="0.35">
      <c r="B36" s="102" t="s">
        <v>65</v>
      </c>
      <c r="C36" s="239">
        <f>C12-C34</f>
        <v>10245.5501</v>
      </c>
    </row>
    <row r="37" spans="2:3" x14ac:dyDescent="0.35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B7A7E9DC-5FBD-4306-B019-557943396146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2025-04-03T09:48:19Z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