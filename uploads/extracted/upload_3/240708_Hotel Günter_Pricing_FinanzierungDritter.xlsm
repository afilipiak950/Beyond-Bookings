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Günter Lenting/"/>
    </mc:Choice>
  </mc:AlternateContent>
  <xr:revisionPtr revIDLastSave="41" documentId="8_{207F9823-9F7A-439A-86BD-E629EE244269}" xr6:coauthVersionLast="47" xr6:coauthVersionMax="47" xr10:uidLastSave="{4830233F-3E9B-4231-9FCD-BC73FFFDDBBF}"/>
  <bookViews>
    <workbookView minimized="1" xWindow="2685" yWindow="540" windowWidth="14355" windowHeight="1522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C12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1" i="8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<sst xmlns="http://schemas.openxmlformats.org/spreadsheetml/2006/main" count="510" uniqueCount="297">
  <si>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</si>
  <si>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</si>
  <si>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</si>
  <si>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</si>
  <si>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</si>
  <si>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</si>
  <si>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</si>
  <si>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</si>
  <si>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</si>
  <si>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</si>
  <si>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</si>
  <si>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</si>
  <si>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</si>
  <si>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</si>
  <si>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</si>
  <si>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</si>
  <si>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</si>
  <si>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</si>
  <si>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</si>
  <si>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</si>
  <si>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</si>
  <si>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</si>
  <si>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</si>
  <si>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</si>
  <si>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</si>
  <si>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</si>
  <si>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</si>
  <si>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</si>
  <si>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</si>
  <si>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</si>
  <si>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</si>
  <si>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</si>
  <si>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</si>
  <si>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</si>
  <si>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</si>
  <si>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</si>
  <si>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</si>
  <si>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</si>
  <si>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</si>
  <si>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</si>
  <si>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</si>
  <si>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</si>
  <si>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</si>
  <si>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</si>
  <si>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</si>
  <si>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</si>
  <si>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</si>
  <si>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</si>
  <si>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</si>
  <si>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</si>
  <si>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</si>
  <si>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</si>
  <si>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</si>
  <si>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</si>
  <si>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</si>
  <si>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</si>
  <si>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</si>
  <si>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</si>
  <si>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</si>
  <si>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</si>
  <si>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</si>
  <si>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</si>
  <si>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</si>
  <si>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</si>
  <si>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</si>
  <si>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</si>
  <si>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</si>
  <si>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</si>
  <si>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</si>
  <si>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</si>
  <si>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</si>
  <si>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</si>
  <si>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</si>
  <si>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</si>
  <si>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</si>
  <si>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</si>
  <si>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</si>
  <si>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</si>
  <si>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</si>
  <si>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</si>
  <si>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</si>
  <si>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</si>
  <si>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</si>
  <si>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</si>
  <si>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</si>
  <si>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</si>
  <si>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</si>
  <si>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</si>
  <si>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</si>
  <si>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</si>
  <si>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</si>
  <si>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</si>
  <si>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</si>
  <si>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</si>
  <si>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</si>
  <si>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</si>
  <si>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</si>
  <si>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</si>
  <si>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</si>
  <si>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</si>
  <si>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</si>
  <si>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</si>
  <si>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</si>
  <si>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</si>
  <si>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</si>
  <si>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</si>
  <si>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</si>
  <si>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</si>
  <si>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</si>
  <si>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</si>
  <si>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</si>
  <si>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</si>
  <si>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</si>
  <si>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</si>
  <si>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</si>
  <si>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</si>
  <si>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</si>
  <si>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</si>
  <si>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</si>
  <si>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</si>
  <si>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</si>
  <si>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</si>
  <si>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</si>
  <si>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</si>
  <si>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</si>
  <si>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</si>
  <si>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</si>
  <si>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</si>
  <si>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</si>
  <si>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</si>
  <si>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</si>
  <si>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</si>
  <si>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</si>
  <si>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</si>
  <si>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</si>
  <si>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</si>
  <si>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</si>
  <si>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</si>
  <si>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</si>
  <si>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</si>
  <si>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</si>
  <si>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</si>
  <si>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</si>
  <si>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</si>
  <si>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</si>
  <si>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</si>
  <si>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</si>
  <si>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</si>
  <si>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</si>
  <si>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</si>
  <si>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</si>
  <si>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</si>
  <si>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</si>
  <si>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</si>
  <si>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</si>
  <si>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</si>
  <si>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</si>
  <si>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</si>
  <si>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</si>
  <si>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</si>
  <si>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</si>
  <si>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</si>
  <si>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</si>
  <si>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</si>
  <si>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</si>
  <si>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</si>
  <si>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</si>
  <si>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</si>
  <si>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</si>
  <si>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</si>
  <si>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</si>
  <si>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</si>
  <si>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</si>
  <si>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</si>
  <si>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</si>
  <si>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</si>
  <si>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</si>
  <si>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</si>
  <si>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</si>
  <si>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</si>
  <si>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</si>
  <si>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</si>
  <si>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</si>
  <si>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</si>
  <si>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</si>
  <si>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</si>
  <si>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</si>
  <si>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</si>
  <si>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</si>
  <si>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</si>
  <si>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</si>
  <si>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</si>
  <si>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</si>
  <si>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</si>
  <si>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</si>
  <si>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</si>
  <si>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</si>
  <si>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</si>
  <si>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</si>
  <si>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</si>
  <si>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</si>
  <si>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</si>
  <si>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</si>
  <si>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</si>
  <si>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</si>
  <si>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</si>
  <si>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</si>
  <si>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</si>
  <si>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</si>
  <si>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</si>
  <si>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</si>
  <si>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</si>
  <si>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</si>
  <si>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</si>
  <si>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</si>
  <si>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</si>
  <si>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</si>
  <si>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</si>
  <si>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</si>
  <si>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</si>
  <si>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</si>
  <si>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</si>
  <si>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</si>
  <si>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</si>
  <si>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</si>
  <si>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</si>
  <si>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</si>
  <si>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</si>
  <si>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</si>
  <si>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</si>
  <si>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</si>
  <si>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</si>
  <si>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</si>
  <si>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</si>
  <si>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</si>
  <si>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</si>
  <si>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</si>
  <si>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</si>
  <si>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</si>
  <si>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</si>
  <si>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</si>
  <si>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</si>
  <si>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</si>
  <si>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</si>
  <si>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</si>
  <si>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</si>
  <si>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</si>
  <si>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</si>
  <si>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</si>
  <si>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</si>
  <si>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</si>
  <si>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</si>
  <si>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</si>
  <si>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</si>
  <si>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</si>
  <si>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</si>
  <si>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</si>
  <si>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</si>
  <si>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</si>
  <si>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</si>
  <si>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</si>
  <si>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</si>
  <si>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</si>
  <si>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</si>
  <si>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</si>
  <si>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</si>
  <si>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</si>
  <si>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</si>
  <si>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</si>
  <si>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</si>
  <si>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</si>
  <si>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</si>
  <si>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</si>
  <si>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</si>
  <si>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</si>
  <si>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</si>
  <si>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</si>
  <si>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</si>
  <si>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</si>
  <si>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</si>
  <si>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</si>
  <si>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</si>
  <si>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</si>
  <si>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</si>
  <si>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</si>
  <si>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</si>
  <si>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</si>
  <si>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</si>
  <si>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</si>
  <si>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</si>
  <si>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</si>
  <si>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</si>
  <si>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</si>
  <si>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</si>
  <si>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</si>
  <si>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</si>
  <si>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Günter Lenting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</si>
</sst>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45481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59.800000000000004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121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13249.500000000002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92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5,0%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D25" sqref="D25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42</v>
      </c>
    </row>
    <row r="4" spans="2:11" x14ac:dyDescent="0.25">
      <c r="B4" s="103" t="s">
        <v>53</v>
      </c>
      <c r="C4" s="226">
        <f>+C3-C2</f>
        <v>17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16806.722689075632</v>
      </c>
    </row>
    <row r="12" spans="2:11" x14ac:dyDescent="0.2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25">
      <c r="B25" s="97" t="str">
        <f>"Das enspricht "&amp;TEXT('Preise Output'!E26/('Preise Output'!C10),"0,0%") &amp; " des Leerstands p.a."</f>
        <v>Das enspricht 5,0%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25">
      <c r="B32" s="108" t="s">
        <v>293</v>
      </c>
      <c r="C32" s="229">
        <f>C26+C27</f>
        <v>1800.9</v>
      </c>
    </row>
    <row r="33" spans="2:3" ht="14.25" thickBot="1" x14ac:dyDescent="0.3">
      <c r="B33" s="115" t="s">
        <v>288</v>
      </c>
      <c r="C33" s="238">
        <f>-(C13+C14)</f>
        <v>-3193.2773109243699</v>
      </c>
    </row>
    <row r="34" spans="2:3" x14ac:dyDescent="0.25">
      <c r="B34" s="96" t="s">
        <v>271</v>
      </c>
      <c r="C34" s="236">
        <f>SUM(C31:C33)</f>
        <v>9946.6226890756298</v>
      </c>
    </row>
    <row r="36" spans="2:3" x14ac:dyDescent="0.25">
      <c r="B36" s="102" t="s">
        <v>65</v>
      </c>
      <c r="C36" s="239">
        <f>C12-C34</f>
        <v>6860.1000000000022</v>
      </c>
    </row>
    <row r="37" spans="2:3" x14ac:dyDescent="0.25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023F8764-3AD6-4396-B85E-F0B28228F8F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2024-07-17T08:38:29Z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