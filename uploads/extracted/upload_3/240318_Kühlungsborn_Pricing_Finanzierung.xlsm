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Upstalsboom/Upstalsboom Kühlungsborn/Vertragsdokumente Upstalsboom Kühlungsborn Upsell/"/>
    </mc:Choice>
  </mc:AlternateContent>
  <xr:revisionPtr revIDLastSave="2698" documentId="8_{D50F03F6-6C51-4C91-8437-F501A1E56D3F}" xr6:coauthVersionLast="47" xr6:coauthVersionMax="47" xr10:uidLastSave="{EE0BDDAA-C09D-46EA-A8A7-6FEEE4973E64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1" l="1"/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F27" i="8" s="1"/>
  <c r="C27" i="8" s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B24" i="8" l="1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<sst xmlns="http://schemas.openxmlformats.org/spreadsheetml/2006/main" count="511" uniqueCount="298">
  <si>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</si>
  <si>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</si>
  <si>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</si>
  <si>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</si>
  <si>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</si>
  <si>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</si>
  <si>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</si>
  <si>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</si>
  <si>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</si>
  <si>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</si>
  <si>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</si>
  <si>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</si>
  <si>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</si>
  <si>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</si>
  <si>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</si>
  <si>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</si>
  <si>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</si>
  <si>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</si>
  <si>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</si>
  <si>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</si>
  <si>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</si>
  <si>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</si>
  <si>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</si>
  <si>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</si>
  <si>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</si>
  <si>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</si>
  <si>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</si>
  <si>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</si>
  <si>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</si>
  <si>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</si>
  <si>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</si>
  <si>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</si>
  <si>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</si>
  <si>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</si>
  <si>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</si>
  <si>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</si>
  <si>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</si>
  <si>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</si>
  <si>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</si>
  <si>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</si>
  <si>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</si>
  <si>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</si>
  <si>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</si>
  <si>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</si>
  <si>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</si>
  <si>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</si>
  <si>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</si>
  <si>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</si>
  <si>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</si>
  <si>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</si>
  <si>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</si>
  <si>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</si>
  <si>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</si>
  <si>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</si>
  <si>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</si>
  <si>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</si>
  <si>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</si>
  <si>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</si>
  <si>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</si>
  <si>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</si>
  <si>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</si>
  <si>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</si>
  <si>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</si>
  <si>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</si>
  <si>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</si>
  <si>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</si>
  <si>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</si>
  <si>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</si>
  <si>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</si>
  <si>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</si>
  <si>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</si>
  <si>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</si>
  <si>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</si>
  <si>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</si>
  <si>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</si>
  <si>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</si>
  <si>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</si>
  <si>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</si>
  <si>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</si>
  <si>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</si>
  <si>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</si>
  <si>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</si>
  <si>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</si>
  <si>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</si>
  <si>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</si>
  <si>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</si>
  <si>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</si>
  <si>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</si>
  <si>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</si>
  <si>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</si>
  <si>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</si>
  <si>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</si>
  <si>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</si>
  <si>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</si>
  <si>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</si>
  <si>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</si>
  <si>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</si>
  <si>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</si>
  <si>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</si>
  <si>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</si>
  <si>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</si>
  <si>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</si>
  <si>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</si>
  <si>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</si>
  <si>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</si>
  <si>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</si>
  <si>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</si>
  <si>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</si>
  <si>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</si>
  <si>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</si>
  <si>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</si>
  <si>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</si>
  <si>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</si>
  <si>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</si>
  <si>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</si>
  <si>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</si>
  <si>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</si>
  <si>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</si>
  <si>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</si>
  <si>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</si>
  <si>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</si>
  <si>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</si>
  <si>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</si>
  <si>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</si>
  <si>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</si>
  <si>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</si>
  <si>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</si>
  <si>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</si>
  <si>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</si>
  <si>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</si>
  <si>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</si>
  <si>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</si>
  <si>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</si>
  <si>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</si>
  <si>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</si>
  <si>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</si>
  <si>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</si>
  <si>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</si>
  <si>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</si>
  <si>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</si>
  <si>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</si>
  <si>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</si>
  <si>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</si>
  <si>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</si>
  <si>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</si>
  <si>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</si>
  <si>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</si>
  <si>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</si>
  <si>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</si>
  <si>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</si>
  <si>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</si>
  <si>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</si>
  <si>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</si>
  <si>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</si>
  <si>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</si>
  <si>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</si>
  <si>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</si>
  <si>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</si>
  <si>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</si>
  <si>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</si>
  <si>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</si>
  <si>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</si>
  <si>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</si>
  <si>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</si>
  <si>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</si>
  <si>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</si>
  <si>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</si>
  <si>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</si>
  <si>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</si>
  <si>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</si>
  <si>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</si>
  <si>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</si>
  <si>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</si>
  <si>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</si>
  <si>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</si>
  <si>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</si>
  <si>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</si>
  <si>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</si>
  <si>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</si>
  <si>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</si>
  <si>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</si>
  <si>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</si>
  <si>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</si>
  <si>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</si>
  <si>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</si>
  <si>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</si>
  <si>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</si>
  <si>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</si>
  <si>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</si>
  <si>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</si>
  <si>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</si>
  <si>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</si>
  <si>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</si>
  <si>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</si>
  <si>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</si>
  <si>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</si>
  <si>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</si>
  <si>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</si>
  <si>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</si>
  <si>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</si>
  <si>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</si>
  <si>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</si>
  <si>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</si>
  <si>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</si>
  <si>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</si>
  <si>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</si>
  <si>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</si>
  <si>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</si>
  <si>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</si>
  <si>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</si>
  <si>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</si>
  <si>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</si>
  <si>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</si>
  <si>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</si>
  <si>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</si>
  <si>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</si>
  <si>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</si>
  <si>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</si>
  <si>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</si>
  <si>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</si>
  <si>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</si>
  <si>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</si>
  <si>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</si>
  <si>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</si>
  <si>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</si>
  <si>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</si>
  <si>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</si>
  <si>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</si>
  <si>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</si>
  <si>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</si>
  <si>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</si>
  <si>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</si>
  <si>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</si>
  <si>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</si>
  <si>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</si>
  <si>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</si>
  <si>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</si>
  <si>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</si>
  <si>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</si>
  <si>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</si>
  <si>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</si>
  <si>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</si>
  <si>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</si>
  <si>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</si>
  <si>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</si>
  <si>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</si>
  <si>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</si>
  <si>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</si>
  <si>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</si>
  <si>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</si>
  <si>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</si>
  <si>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</si>
  <si>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</si>
  <si>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</si>
  <si>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</si>
  <si>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</si>
  <si>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</si>
  <si>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</si>
  <si>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</si>
  <si>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</si>
  <si>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</si>
  <si>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</si>
  <si>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</si>
  <si>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</si>
  <si>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</si>
  <si>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</si>
  <si>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</si>
  <si>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</si>
  <si>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</si>
  <si>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</si>
  <si>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</si>
  <si>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</si>
  <si>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</si>
  <si>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</si>
  <si>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</si>
  <si>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</si>
  <si>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</si>
  <si>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</si>
  <si>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</si>
  <si>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</si>
  <si>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</si>
  <si>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</si>
  <si>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</si>
  <si>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</si>
  <si>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</si>
  <si>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</si>
  <si>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</si>
  <si>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</si>
  <si>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</si>
  <si>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</si>
  <si>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</si>
  <si>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</si>
  <si>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</si>
  <si>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</si>
  <si>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</si>
  <si>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</si>
  <si>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Upstalsboom Kühlungsborn</t>
  </si>
  <si>
    <t>!!!!!!!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</si>
</sst>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60" zoomScaleNormal="6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7" sqref="F7"/>
    </sheetView>
  </sheetViews>
  <sheetFormatPr baseColWidth="10" defaultColWidth="10.7265625" defaultRowHeight="15" outlineLevelCol="2" x14ac:dyDescent="0.4"/>
  <cols>
    <col min="1" max="1" width="4.7265625" style="37" customWidth="1"/>
    <col min="2" max="2" width="61.7265625" style="37" bestFit="1" customWidth="1"/>
    <col min="3" max="3" width="29.7265625" style="37" bestFit="1" customWidth="1"/>
    <col min="4" max="4" width="17.26953125" style="38" customWidth="1"/>
    <col min="5" max="5" width="50.1796875" style="37" bestFit="1" customWidth="1"/>
    <col min="6" max="6" width="28.7265625" style="37" bestFit="1" customWidth="1"/>
    <col min="7" max="7" width="24.26953125" style="37" customWidth="1" outlineLevel="1"/>
    <col min="8" max="8" width="24.26953125" style="40" customWidth="1" outlineLevel="1"/>
    <col min="9" max="9" width="31.54296875" style="40" customWidth="1" outlineLevel="1"/>
    <col min="10" max="12" width="24.453125" style="40" customWidth="1" outlineLevel="1"/>
    <col min="13" max="13" width="18.269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26953125" style="37" customWidth="1"/>
    <col min="20" max="20" width="17.453125" style="37" customWidth="1"/>
    <col min="21" max="21" width="10.7265625" style="37"/>
    <col min="22" max="22" width="17" style="37" customWidth="1"/>
    <col min="23" max="23" width="16.54296875" style="37" customWidth="1"/>
    <col min="24" max="24" width="19" style="37" customWidth="1"/>
    <col min="25" max="25" width="15" style="37" customWidth="1"/>
    <col min="26" max="26" width="18.26953125" style="37" customWidth="1"/>
    <col min="27" max="27" width="17.7265625" style="37" customWidth="1"/>
    <col min="28" max="29" width="15.26953125" style="37" customWidth="1"/>
    <col min="30" max="32" width="10.7265625" style="37"/>
    <col min="33" max="33" width="16.453125" style="37" customWidth="1"/>
    <col min="34" max="16384" width="10.726562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/>
      <c r="E5" s="151" t="s">
        <v>5</v>
      </c>
      <c r="F5" s="153">
        <v>106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121.55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f>46*1.1</f>
        <v>50.6</v>
      </c>
      <c r="G7" s="166" t="s">
        <v>297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169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0.67</v>
      </c>
      <c r="E9" s="156" t="s">
        <v>246</v>
      </c>
      <c r="F9" s="157">
        <f>IFERROR(J26,"Bitte Produkt auswählen")</f>
        <v>0.42138364779874221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20356.05</v>
      </c>
      <c r="E10" s="152" t="s">
        <v>13</v>
      </c>
      <c r="F10" s="168">
        <f>F5*0.75</f>
        <v>79.5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112373.25000000001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187</v>
      </c>
      <c r="D12" s="61"/>
      <c r="E12" s="155" t="s">
        <v>243</v>
      </c>
      <c r="F12" s="241">
        <v>65021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6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65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14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14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14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14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1285</v>
      </c>
      <c r="F24" s="76">
        <v>3</v>
      </c>
      <c r="G24" s="77">
        <f>F12*D24</f>
        <v>65021</v>
      </c>
      <c r="H24" s="77">
        <f>$E24*$F$10*1.1-$G24</f>
        <v>47352.250000000015</v>
      </c>
      <c r="I24" s="77">
        <f>G24+H24</f>
        <v>112373.25000000001</v>
      </c>
      <c r="J24" s="78">
        <f t="shared" si="16"/>
        <v>0.42138364779874221</v>
      </c>
      <c r="K24" s="77">
        <v>0</v>
      </c>
      <c r="L24" s="77">
        <v>0</v>
      </c>
      <c r="M24" s="77">
        <f>G24*1.19-G24</f>
        <v>12353.989999999991</v>
      </c>
      <c r="N24" s="77">
        <f t="shared" si="5"/>
        <v>4852.4812499999998</v>
      </c>
      <c r="O24" s="77">
        <f>L24-M24-N24</f>
        <v>-17206.471249999991</v>
      </c>
      <c r="P24" s="79">
        <f>IFERROR($H24-L24,"")</f>
        <v>47352.250000000015</v>
      </c>
      <c r="Q24" s="78">
        <f>IFERROR(($H24-L24)/$I24,"")</f>
        <v>0.42138364779874221</v>
      </c>
      <c r="R24" s="80">
        <f>IFERROR((1-Q24)*F24,"")</f>
        <v>1.7358490566037732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1285</v>
      </c>
      <c r="F26" s="89"/>
      <c r="G26" s="89">
        <f>SUBTOTAL(9,G19:G24)</f>
        <v>65021</v>
      </c>
      <c r="H26" s="89">
        <f>SUBTOTAL(9,H19:H24)</f>
        <v>47352.250000000015</v>
      </c>
      <c r="I26" s="89">
        <f>SUBTOTAL(9,I19:I24)</f>
        <v>112373.25000000001</v>
      </c>
      <c r="J26" s="90">
        <f>H26/I26</f>
        <v>0.42138364779874221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12353.989999999991</v>
      </c>
      <c r="N26" s="89">
        <f t="shared" si="25"/>
        <v>4852.4812499999998</v>
      </c>
      <c r="O26" s="89">
        <f t="shared" si="25"/>
        <v>-17206.471249999991</v>
      </c>
      <c r="P26" s="89">
        <f t="shared" si="25"/>
        <v>47352.250000000015</v>
      </c>
      <c r="Q26" s="90">
        <f>($H26-L26)/$I26</f>
        <v>0.42138364779874221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6,3%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54296875" customWidth="1"/>
    <col min="11" max="11" width="0" hidden="1" customWidth="1"/>
    <col min="13" max="13" width="13.5429687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5" zoomScale="90" zoomScaleNormal="90" workbookViewId="0">
      <selection activeCell="B24" sqref="B24"/>
    </sheetView>
  </sheetViews>
  <sheetFormatPr baseColWidth="10" defaultColWidth="8.7265625" defaultRowHeight="14" x14ac:dyDescent="0.4"/>
  <cols>
    <col min="1" max="1" width="3" style="97" customWidth="1"/>
    <col min="2" max="2" width="41" style="97" bestFit="1" customWidth="1"/>
    <col min="3" max="3" width="37.26953125" style="234" bestFit="1" customWidth="1"/>
    <col min="4" max="5" width="8.7265625" style="97"/>
    <col min="6" max="6" width="11.81640625" style="97" bestFit="1" customWidth="1"/>
    <col min="7" max="16384" width="8.726562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50</v>
      </c>
    </row>
    <row r="4" spans="2:11" x14ac:dyDescent="0.4">
      <c r="B4" s="103" t="s">
        <v>53</v>
      </c>
      <c r="C4" s="226">
        <f>+C3-C2</f>
        <v>25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1285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54649.579831932773</v>
      </c>
    </row>
    <row r="12" spans="2:11" x14ac:dyDescent="0.4">
      <c r="B12" s="212" t="s">
        <v>285</v>
      </c>
      <c r="C12" s="230">
        <f>F13+F14</f>
        <v>54649.579831932773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7.0000000000000009</v>
      </c>
      <c r="E13" s="223">
        <v>7.0000000000000007E-2</v>
      </c>
      <c r="F13" s="104">
        <v>100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10364.420168067227</v>
      </c>
      <c r="E14" s="223">
        <v>0.19</v>
      </c>
      <c r="F14" s="162">
        <f>(F18-F13*(1+E13))/(1+E14)</f>
        <v>54549.579831932773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65021</v>
      </c>
      <c r="F18" s="97">
        <f>'Preise Output'!G26</f>
        <v>65021</v>
      </c>
    </row>
    <row r="21" spans="2:8" x14ac:dyDescent="0.4">
      <c r="B21" s="109" t="s">
        <v>63</v>
      </c>
      <c r="C21" s="228"/>
    </row>
    <row r="22" spans="2:8" ht="6.6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Output'!F7,0)&amp;"€"&amp;" "&amp;"je"&amp;" "&amp;"Gutschein"</f>
        <v>1285 Gutscheine x 51€ je Gutschein</v>
      </c>
      <c r="C24" s="237">
        <f>IFERROR(C7*'Preise Output'!$F$7,"--")</f>
        <v>65021</v>
      </c>
    </row>
    <row r="25" spans="2:8" x14ac:dyDescent="0.4">
      <c r="B25" s="97" t="str">
        <f>"Das enspricht "&amp;TEXT('Preise Output'!E26/('Preise Output'!C10),"0,0%") &amp; " des Leerstands p.a."</f>
        <v>Das enspricht 6,3%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4551.47</v>
      </c>
      <c r="E26" s="223">
        <v>7.0000000000000007E-2</v>
      </c>
      <c r="F26" s="162">
        <f>C24-F27</f>
        <v>65021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0</v>
      </c>
      <c r="E27" s="223">
        <v>0.19</v>
      </c>
      <c r="F27" s="162">
        <f>G27*C7</f>
        <v>0</v>
      </c>
      <c r="G27" s="104">
        <v>0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25€ je Gutschein x 1285 Roomnights</v>
      </c>
      <c r="C31" s="237">
        <f>C7*C4</f>
        <v>32125</v>
      </c>
    </row>
    <row r="32" spans="2:8" x14ac:dyDescent="0.4">
      <c r="B32" s="108" t="s">
        <v>293</v>
      </c>
      <c r="C32" s="229">
        <f>C26+C27</f>
        <v>4551.47</v>
      </c>
    </row>
    <row r="33" spans="2:3" ht="14.5" thickBot="1" x14ac:dyDescent="0.45">
      <c r="B33" s="115" t="s">
        <v>288</v>
      </c>
      <c r="C33" s="238">
        <f>-(C13+C14)</f>
        <v>-10371.420168067227</v>
      </c>
    </row>
    <row r="34" spans="2:3" x14ac:dyDescent="0.4">
      <c r="B34" s="96" t="s">
        <v>271</v>
      </c>
      <c r="C34" s="236">
        <f>SUM(C31:C33)</f>
        <v>26305.049831932774</v>
      </c>
    </row>
    <row r="36" spans="2:3" x14ac:dyDescent="0.4">
      <c r="B36" s="102" t="s">
        <v>65</v>
      </c>
      <c r="C36" s="239">
        <f>C12-C34</f>
        <v>28344.53</v>
      </c>
    </row>
    <row r="37" spans="2:3" x14ac:dyDescent="0.4">
      <c r="B37" s="97" t="s">
        <v>289</v>
      </c>
      <c r="C37" s="240">
        <f>C36/C12</f>
        <v>0.51865961434963781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7265625" defaultRowHeight="14.5" x14ac:dyDescent="0.35"/>
  <cols>
    <col min="1" max="1" width="7.26953125" customWidth="1"/>
    <col min="2" max="2" width="21.26953125" customWidth="1"/>
    <col min="3" max="3" width="42" customWidth="1"/>
    <col min="4" max="5" width="24.7265625" customWidth="1"/>
    <col min="6" max="6" width="24.26953125" customWidth="1"/>
    <col min="7" max="7" width="20" customWidth="1"/>
    <col min="8" max="8" width="17.26953125" customWidth="1"/>
    <col min="9" max="10" width="20.453125" customWidth="1"/>
    <col min="11" max="12" width="20.26953125" customWidth="1"/>
    <col min="13" max="13" width="18.453125" customWidth="1"/>
    <col min="14" max="14" width="13.453125" bestFit="1" customWidth="1"/>
    <col min="15" max="15" width="13.453125" customWidth="1"/>
    <col min="16" max="16" width="19.54296875" customWidth="1"/>
    <col min="17" max="17" width="20" style="7" customWidth="1"/>
    <col min="18" max="18" width="14.453125" customWidth="1"/>
    <col min="19" max="19" width="15.269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54639.495798319331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54639.495798319331</v>
      </c>
      <c r="R16" s="35">
        <f t="shared" si="4"/>
        <v>18213.165266106444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54639.495798319331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56079.495798319331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26953125" defaultRowHeight="14.5" outlineLevelRow="1" x14ac:dyDescent="0.35"/>
  <cols>
    <col min="3" max="3" width="26.7265625" customWidth="1"/>
    <col min="4" max="4" width="12.1796875" style="127" customWidth="1"/>
    <col min="5" max="5" width="11.26953125" style="126" bestFit="1" customWidth="1"/>
    <col min="6" max="6" width="11.7265625" style="126" bestFit="1" customWidth="1"/>
    <col min="7" max="7" width="11.26953125" style="126" bestFit="1" customWidth="1"/>
    <col min="8" max="8" width="14.54296875" style="126" customWidth="1"/>
    <col min="9" max="15" width="11.26953125" style="126" bestFit="1" customWidth="1"/>
    <col min="16" max="16" width="10.54296875" bestFit="1" customWidth="1"/>
    <col min="17" max="27" width="11.26953125" bestFit="1" customWidth="1"/>
    <col min="28" max="28" width="10.54296875" bestFit="1" customWidth="1"/>
    <col min="29" max="39" width="11.26953125" bestFit="1" customWidth="1"/>
    <col min="40" max="40" width="12.26953125" bestFit="1" customWidth="1"/>
    <col min="41" max="41" width="10.54296875" bestFit="1" customWidth="1"/>
    <col min="43" max="43" width="12.7265625" bestFit="1" customWidth="1"/>
    <col min="44" max="44" width="11.26953125" bestFit="1" customWidth="1"/>
    <col min="45" max="50" width="10.26953125" bestFit="1" customWidth="1"/>
    <col min="51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44975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44975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44975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44975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5718.25</v>
      </c>
      <c r="F7" s="129">
        <f>IF($B$6=100%,(('Preise Output'!$F$10-INDEX(Annahmen!$B$18:$C$22,MATCH('Preise Output'!$C$7,Annahmen!$B$18:$B$22,0),2))*'Preise Output'!$E$26)/10,('Preise Output'!$E$26*'Preise Output'!$F$10-$D$6)/10)</f>
        <v>5718.25</v>
      </c>
      <c r="G7" s="129">
        <f>IF($B$6=100%,(('Preise Output'!$F$10-INDEX(Annahmen!$B$18:$C$22,MATCH('Preise Output'!$C$7,Annahmen!$B$18:$B$22,0),2))*'Preise Output'!$E$26)/10,('Preise Output'!$E$26*'Preise Output'!$F$10-$D$6)/10)</f>
        <v>5718.25</v>
      </c>
      <c r="H7" s="129">
        <f>IF($B$6=100%,(('Preise Output'!$F$10-INDEX(Annahmen!$B$18:$C$22,MATCH('Preise Output'!$C$7,Annahmen!$B$18:$B$22,0),2))*'Preise Output'!$E$26)/10,('Preise Output'!$E$26*'Preise Output'!$F$10-$D$6)/10)</f>
        <v>5718.25</v>
      </c>
      <c r="I7" s="129">
        <f>IF($B$6=100%,(('Preise Output'!$F$10-INDEX(Annahmen!$B$18:$C$22,MATCH('Preise Output'!$C$7,Annahmen!$B$18:$B$22,0),2))*'Preise Output'!$E$26)/10,('Preise Output'!$E$26*'Preise Output'!$F$10-$D$6)/10)</f>
        <v>5718.25</v>
      </c>
      <c r="J7" s="129">
        <f>IF($B$6=100%,(('Preise Output'!$F$10-INDEX(Annahmen!$B$18:$C$22,MATCH('Preise Output'!$C$7,Annahmen!$B$18:$B$22,0),2))*'Preise Output'!$E$26)/10,('Preise Output'!$E$26*'Preise Output'!$F$10-$D$6)/10)</f>
        <v>5718.25</v>
      </c>
      <c r="K7" s="129">
        <f>IF($B$6=100%,(('Preise Output'!$F$10-INDEX(Annahmen!$B$18:$C$22,MATCH('Preise Output'!$C$7,Annahmen!$B$18:$B$22,0),2))*'Preise Output'!$E$26)/10,('Preise Output'!$E$26*'Preise Output'!$F$10-$D$6)/10)</f>
        <v>5718.25</v>
      </c>
      <c r="L7" s="129">
        <f>IF($B$6=100%,(('Preise Output'!$F$10-INDEX(Annahmen!$B$18:$C$22,MATCH('Preise Output'!$C$7,Annahmen!$B$18:$B$22,0),2))*'Preise Output'!$E$26)/10,('Preise Output'!$E$26*'Preise Output'!$F$10-$D$6)/10)</f>
        <v>5718.25</v>
      </c>
      <c r="M7" s="129">
        <f>IF($B$6=100%,(('Preise Output'!$F$10-INDEX(Annahmen!$B$18:$C$22,MATCH('Preise Output'!$C$7,Annahmen!$B$18:$B$22,0),2))*'Preise Output'!$E$26)/10,('Preise Output'!$E$26*'Preise Output'!$F$10-$D$6)/10)</f>
        <v>5718.25</v>
      </c>
      <c r="N7" s="129">
        <f>IF($B$6=100%,(('Preise Output'!$F$10-INDEX(Annahmen!$B$18:$C$22,MATCH('Preise Output'!$C$7,Annahmen!$B$18:$B$22,0),2))*'Preise Output'!$E$26)/10,('Preise Output'!$E$26*'Preise Output'!$F$10-$D$6)/10)</f>
        <v>5718.25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5718.25</v>
      </c>
      <c r="R7" s="129">
        <f>IF($B$6=100%,(('Preise Output'!$F$10-INDEX(Annahmen!$B$18:$C$22,MATCH('Preise Output'!$C$7,Annahmen!$B$18:$B$22,0),2))*'Preise Output'!$E$26)/10,('Preise Output'!$E$26*'Preise Output'!$F$10-$D$6)/10)</f>
        <v>5718.25</v>
      </c>
      <c r="S7" s="129">
        <f>IF($B$6=100%,(('Preise Output'!$F$10-INDEX(Annahmen!$B$18:$C$22,MATCH('Preise Output'!$C$7,Annahmen!$B$18:$B$22,0),2))*'Preise Output'!$E$26)/10,('Preise Output'!$E$26*'Preise Output'!$F$10-$D$6)/10)</f>
        <v>5718.25</v>
      </c>
      <c r="T7" s="129">
        <f>IF($B$6=100%,(('Preise Output'!$F$10-INDEX(Annahmen!$B$18:$C$22,MATCH('Preise Output'!$C$7,Annahmen!$B$18:$B$22,0),2))*'Preise Output'!$E$26)/10,('Preise Output'!$E$26*'Preise Output'!$F$10-$D$6)/10)</f>
        <v>5718.25</v>
      </c>
      <c r="U7" s="129">
        <f>IF($B$6=100%,(('Preise Output'!$F$10-INDEX(Annahmen!$B$18:$C$22,MATCH('Preise Output'!$C$7,Annahmen!$B$18:$B$22,0),2))*'Preise Output'!$E$26)/10,('Preise Output'!$E$26*'Preise Output'!$F$10-$D$6)/10)</f>
        <v>5718.25</v>
      </c>
      <c r="V7" s="129">
        <f>IF($B$6=100%,(('Preise Output'!$F$10-INDEX(Annahmen!$B$18:$C$22,MATCH('Preise Output'!$C$7,Annahmen!$B$18:$B$22,0),2))*'Preise Output'!$E$26)/10,('Preise Output'!$E$26*'Preise Output'!$F$10-$D$6)/10)</f>
        <v>5718.25</v>
      </c>
      <c r="W7" s="129">
        <f>IF($B$6=100%,(('Preise Output'!$F$10-INDEX(Annahmen!$B$18:$C$22,MATCH('Preise Output'!$C$7,Annahmen!$B$18:$B$22,0),2))*'Preise Output'!$E$26)/10,('Preise Output'!$E$26*'Preise Output'!$F$10-$D$6)/10)</f>
        <v>5718.25</v>
      </c>
      <c r="X7" s="129">
        <f>IF($B$6=100%,(('Preise Output'!$F$10-INDEX(Annahmen!$B$18:$C$22,MATCH('Preise Output'!$C$7,Annahmen!$B$18:$B$22,0),2))*'Preise Output'!$E$26)/10,('Preise Output'!$E$26*'Preise Output'!$F$10-$D$6)/10)</f>
        <v>5718.25</v>
      </c>
      <c r="Y7" s="129">
        <f>IF($B$6=100%,(('Preise Output'!$F$10-INDEX(Annahmen!$B$18:$C$22,MATCH('Preise Output'!$C$7,Annahmen!$B$18:$B$22,0),2))*'Preise Output'!$E$26)/10,('Preise Output'!$E$26*'Preise Output'!$F$10-$D$6)/10)</f>
        <v>5718.25</v>
      </c>
      <c r="Z7" s="129">
        <f>IF($B$6=100%,(('Preise Output'!$F$10-INDEX(Annahmen!$B$18:$C$22,MATCH('Preise Output'!$C$7,Annahmen!$B$18:$B$22,0),2))*'Preise Output'!$E$26)/10,('Preise Output'!$E$26*'Preise Output'!$F$10-$D$6)/10)</f>
        <v>5718.25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5718.25</v>
      </c>
      <c r="AD7" s="129">
        <f>IF($B$6=100%,(('Preise Output'!$F$10-INDEX(Annahmen!$B$18:$C$22,MATCH('Preise Output'!$C$7,Annahmen!$B$18:$B$22,0),2))*'Preise Output'!$E$26)/10,('Preise Output'!$E$26*'Preise Output'!$F$10-$D$6)/10)</f>
        <v>5718.25</v>
      </c>
      <c r="AE7" s="129">
        <f>IF($B$6=100%,(('Preise Output'!$F$10-INDEX(Annahmen!$B$18:$C$22,MATCH('Preise Output'!$C$7,Annahmen!$B$18:$B$22,0),2))*'Preise Output'!$E$26)/10,('Preise Output'!$E$26*'Preise Output'!$F$10-$D$6)/10)</f>
        <v>5718.25</v>
      </c>
      <c r="AF7" s="129">
        <f>IF($B$6=100%,(('Preise Output'!$F$10-INDEX(Annahmen!$B$18:$C$22,MATCH('Preise Output'!$C$7,Annahmen!$B$18:$B$22,0),2))*'Preise Output'!$E$26)/10,('Preise Output'!$E$26*'Preise Output'!$F$10-$D$6)/10)</f>
        <v>5718.25</v>
      </c>
      <c r="AG7" s="129">
        <f>IF($B$6=100%,(('Preise Output'!$F$10-INDEX(Annahmen!$B$18:$C$22,MATCH('Preise Output'!$C$7,Annahmen!$B$18:$B$22,0),2))*'Preise Output'!$E$26)/10,('Preise Output'!$E$26*'Preise Output'!$F$10-$D$6)/10)</f>
        <v>5718.25</v>
      </c>
      <c r="AH7" s="129">
        <f>IF($B$6=100%,(('Preise Output'!$F$10-INDEX(Annahmen!$B$18:$C$22,MATCH('Preise Output'!$C$7,Annahmen!$B$18:$B$22,0),2))*'Preise Output'!$E$26)/10,('Preise Output'!$E$26*'Preise Output'!$F$10-$D$6)/10)</f>
        <v>5718.25</v>
      </c>
      <c r="AI7" s="129">
        <f>IF($B$6=100%,(('Preise Output'!$F$10-INDEX(Annahmen!$B$18:$C$22,MATCH('Preise Output'!$C$7,Annahmen!$B$18:$B$22,0),2))*'Preise Output'!$E$26)/10,('Preise Output'!$E$26*'Preise Output'!$F$10-$D$6)/10)</f>
        <v>5718.25</v>
      </c>
      <c r="AJ7" s="129">
        <f>IF($B$6=100%,(('Preise Output'!$F$10-INDEX(Annahmen!$B$18:$C$22,MATCH('Preise Output'!$C$7,Annahmen!$B$18:$B$22,0),2))*'Preise Output'!$E$26)/10,('Preise Output'!$E$26*'Preise Output'!$F$10-$D$6)/10)</f>
        <v>5718.25</v>
      </c>
      <c r="AK7" s="129">
        <f>IF($B$6=100%,(('Preise Output'!$F$10-INDEX(Annahmen!$B$18:$C$22,MATCH('Preise Output'!$C$7,Annahmen!$B$18:$B$22,0),2))*'Preise Output'!$E$26)/10,('Preise Output'!$E$26*'Preise Output'!$F$10-$D$6)/10)</f>
        <v>5718.25</v>
      </c>
      <c r="AL7" s="129">
        <f>IF($B$6=100%,(('Preise Output'!$F$10-INDEX(Annahmen!$B$18:$C$22,MATCH('Preise Output'!$C$7,Annahmen!$B$18:$B$22,0),2))*'Preise Output'!$E$26)/10,('Preise Output'!$E$26*'Preise Output'!$F$10-$D$6)/10)</f>
        <v>5718.25</v>
      </c>
      <c r="AM7" s="130"/>
      <c r="AN7" s="130">
        <f t="shared" ref="AN7:AN43" si="0">SUM(D7:AM7)</f>
        <v>171547.5</v>
      </c>
      <c r="AQ7" s="130">
        <f t="shared" ref="AQ7:AQ45" si="1">SUM(D7:F7)</f>
        <v>11436.5</v>
      </c>
      <c r="AR7" s="130">
        <f t="shared" ref="AR7:AR45" si="2">SUM(G7:I7)</f>
        <v>17154.75</v>
      </c>
      <c r="AS7" s="130">
        <f t="shared" ref="AS7:AS45" si="3">SUM(J7:L7)</f>
        <v>17154.75</v>
      </c>
      <c r="AT7" s="130">
        <f t="shared" ref="AT7:AT45" si="4">SUM(M7:O7)</f>
        <v>11436.5</v>
      </c>
      <c r="AU7" s="130">
        <f t="shared" ref="AU7:AU45" si="5">SUM(P7:R7)</f>
        <v>11436.5</v>
      </c>
      <c r="AV7" s="130">
        <f t="shared" ref="AV7:AV45" si="6">SUM(S7:U7)</f>
        <v>17154.75</v>
      </c>
      <c r="AW7" s="130">
        <f t="shared" ref="AW7:AW45" si="7">SUM(V7:X7)</f>
        <v>17154.75</v>
      </c>
      <c r="AX7" s="130">
        <f t="shared" ref="AX7:AX45" si="8">SUM(Y7:AA7)</f>
        <v>11436.5</v>
      </c>
      <c r="AY7" s="130">
        <f t="shared" ref="AY7:AY45" si="9">SUM(AB7:AD7)</f>
        <v>11436.5</v>
      </c>
      <c r="AZ7" s="130">
        <f t="shared" ref="AZ7:AZ45" si="10">SUM(AE7:AG7)</f>
        <v>17154.75</v>
      </c>
      <c r="BA7" s="130">
        <f t="shared" ref="BA7:BA45" si="11">SUM(AH7:AJ7)</f>
        <v>17154.75</v>
      </c>
      <c r="BB7" s="130">
        <f t="shared" ref="BB7:BB45" si="12">SUM(AK7:AM7)</f>
        <v>11436.5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-65021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-65021</v>
      </c>
      <c r="AQ42" s="134">
        <f t="shared" si="1"/>
        <v>-65021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7265625" defaultRowHeight="14.5" x14ac:dyDescent="0.35"/>
  <cols>
    <col min="1" max="1" width="7.26953125" customWidth="1"/>
    <col min="2" max="2" width="21.26953125" customWidth="1"/>
    <col min="3" max="4" width="35" customWidth="1"/>
    <col min="5" max="5" width="24.26953125" customWidth="1"/>
    <col min="6" max="6" width="21.26953125" bestFit="1" customWidth="1"/>
    <col min="7" max="7" width="20.26953125" customWidth="1"/>
    <col min="8" max="8" width="17.269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54296875" style="137" customWidth="1"/>
    <col min="17" max="17" width="15.453125" style="137" customWidth="1"/>
    <col min="18" max="18" width="12.26953125" style="137" bestFit="1" customWidth="1"/>
    <col min="19" max="19" width="12.7265625" style="137" bestFit="1" customWidth="1"/>
    <col min="20" max="20" width="12.7265625" style="137" customWidth="1"/>
    <col min="21" max="21" width="13.269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112373.25000000001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7265625" defaultRowHeight="14.5" x14ac:dyDescent="0.35"/>
  <cols>
    <col min="1" max="1" width="6.26953125" customWidth="1"/>
    <col min="2" max="2" width="23.7265625" bestFit="1" customWidth="1"/>
    <col min="3" max="3" width="18.453125" customWidth="1"/>
    <col min="4" max="5" width="17.453125" customWidth="1"/>
    <col min="7" max="7" width="26.7265625" customWidth="1"/>
    <col min="8" max="8" width="12.7265625" customWidth="1"/>
    <col min="9" max="9" width="11.54296875" bestFit="1" customWidth="1"/>
    <col min="10" max="10" width="23.7265625" bestFit="1" customWidth="1"/>
    <col min="11" max="11" width="11.54296875" bestFit="1" customWidth="1"/>
    <col min="12" max="12" width="12.54296875" bestFit="1" customWidth="1"/>
    <col min="14" max="14" width="28.726562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63B8B54-7B2F-4B61-9081-1FE1E0C39FF5}"/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schemas.microsoft.com/office/2006/metadata/properties"/>
    <ds:schemaRef ds:uri="http://schemas.microsoft.com/office/infopath/2007/PartnerControls"/>
    <ds:schemaRef ds:uri="0ff8542a-a91c-4213-8a41-8808dc7548c9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2024-04-26T11:47:16Z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