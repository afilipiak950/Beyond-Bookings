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st Western Hotels/Best Western Plus Ostseehotel Waldschlösschen/"/>
    </mc:Choice>
  </mc:AlternateContent>
  <xr:revisionPtr revIDLastSave="89" documentId="8_{207F9823-9F7A-439A-86BD-E629EE244269}" xr6:coauthVersionLast="47" xr6:coauthVersionMax="47" xr10:uidLastSave="{B1A32BC3-A4DA-4292-A181-FC7EDF673D43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<sst xmlns="http://schemas.openxmlformats.org/spreadsheetml/2006/main" count="514" uniqueCount="301">
  <si>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</si>
  <si>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</si>
  <si>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</si>
  <si>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</si>
  <si>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</si>
  <si>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</si>
  <si>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</si>
  <si>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</si>
  <si>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</si>
  <si>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</si>
  <si>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</si>
  <si>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</si>
  <si>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</si>
  <si>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</si>
  <si>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</si>
  <si>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</si>
  <si>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</si>
  <si>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</si>
  <si>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</si>
  <si>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</si>
  <si>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</si>
  <si>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</si>
  <si>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</si>
  <si>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</si>
  <si>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</si>
  <si>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</si>
  <si>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</si>
  <si>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</si>
  <si>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</si>
  <si>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</si>
  <si>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</si>
  <si>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</si>
  <si>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</si>
  <si>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</si>
  <si>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</si>
  <si>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</si>
  <si>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</si>
  <si>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</si>
  <si>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</si>
  <si>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</si>
  <si>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</si>
  <si>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</si>
  <si>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</si>
  <si>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</si>
  <si>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</si>
  <si>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</si>
  <si>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</si>
  <si>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</si>
  <si>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</si>
  <si>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</si>
  <si>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</si>
  <si>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</si>
  <si>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</si>
  <si>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</si>
  <si>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</si>
  <si>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</si>
  <si>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</si>
  <si>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</si>
  <si>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</si>
  <si>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</si>
  <si>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</si>
  <si>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</si>
  <si>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</si>
  <si>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</si>
  <si>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</si>
  <si>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</si>
  <si>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</si>
  <si>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</si>
  <si>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</si>
  <si>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</si>
  <si>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</si>
  <si>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</si>
  <si>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</si>
  <si>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</si>
  <si>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</si>
  <si>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</si>
  <si>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</si>
  <si>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</si>
  <si>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</si>
  <si>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</si>
  <si>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</si>
  <si>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</si>
  <si>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</si>
  <si>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</si>
  <si>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</si>
  <si>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</si>
  <si>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</si>
  <si>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</si>
  <si>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</si>
  <si>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</si>
  <si>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</si>
  <si>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</si>
  <si>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</si>
  <si>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</si>
  <si>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</si>
  <si>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</si>
  <si>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</si>
  <si>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</si>
  <si>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</si>
  <si>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</si>
  <si>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</si>
  <si>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</si>
  <si>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</si>
  <si>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</si>
  <si>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</si>
  <si>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</si>
  <si>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</si>
  <si>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</si>
  <si>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</si>
  <si>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</si>
  <si>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</si>
  <si>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</si>
  <si>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</si>
  <si>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</si>
  <si>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</si>
  <si>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</si>
  <si>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</si>
  <si>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</si>
  <si>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</si>
  <si>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</si>
  <si>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</si>
  <si>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</si>
  <si>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</si>
  <si>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</si>
  <si>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</si>
  <si>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</si>
  <si>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</si>
  <si>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</si>
  <si>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</si>
  <si>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</si>
  <si>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</si>
  <si>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</si>
  <si>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</si>
  <si>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</si>
  <si>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</si>
  <si>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</si>
  <si>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</si>
  <si>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</si>
  <si>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</si>
  <si>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</si>
  <si>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</si>
  <si>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</si>
  <si>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</si>
  <si>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</si>
  <si>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</si>
  <si>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</si>
  <si>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</si>
  <si>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</si>
  <si>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</si>
  <si>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</si>
  <si>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</si>
  <si>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</si>
  <si>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</si>
  <si>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</si>
  <si>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</si>
  <si>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</si>
  <si>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</si>
  <si>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</si>
  <si>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</si>
  <si>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</si>
  <si>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</si>
  <si>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</si>
  <si>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</si>
  <si>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</si>
  <si>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</si>
  <si>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</si>
  <si>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</si>
  <si>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</si>
  <si>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</si>
  <si>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</si>
  <si>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</si>
  <si>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</si>
  <si>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</si>
  <si>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</si>
  <si>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</si>
  <si>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</si>
  <si>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</si>
  <si>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</si>
  <si>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</si>
  <si>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</si>
  <si>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</si>
  <si>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</si>
  <si>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</si>
  <si>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</si>
  <si>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</si>
  <si>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</si>
  <si>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</si>
  <si>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</si>
  <si>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</si>
  <si>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</si>
  <si>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</si>
  <si>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</si>
  <si>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</si>
  <si>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</si>
  <si>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</si>
  <si>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</si>
  <si>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</si>
  <si>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</si>
  <si>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</si>
  <si>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</si>
  <si>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</si>
  <si>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</si>
  <si>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</si>
  <si>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</si>
  <si>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</si>
  <si>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</si>
  <si>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</si>
  <si>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</si>
  <si>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</si>
  <si>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</si>
  <si>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</si>
  <si>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</si>
  <si>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</si>
  <si>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</si>
  <si>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</si>
  <si>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</si>
  <si>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</si>
  <si>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</si>
  <si>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</si>
  <si>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</si>
  <si>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</si>
  <si>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</si>
  <si>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</si>
  <si>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</si>
  <si>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</si>
  <si>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</si>
  <si>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</si>
  <si>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</si>
  <si>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</si>
  <si>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</si>
  <si>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</si>
  <si>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</si>
  <si>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</si>
  <si>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</si>
  <si>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</si>
  <si>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</si>
  <si>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</si>
  <si>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</si>
  <si>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</si>
  <si>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</si>
  <si>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</si>
  <si>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</si>
  <si>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</si>
  <si>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</si>
  <si>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</si>
  <si>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</si>
  <si>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</si>
  <si>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</si>
  <si>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</si>
  <si>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</si>
  <si>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</si>
  <si>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</si>
  <si>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</si>
  <si>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</si>
  <si>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</si>
  <si>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</si>
  <si>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</si>
  <si>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</si>
  <si>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</si>
  <si>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</si>
  <si>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</si>
  <si>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</si>
  <si>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</si>
  <si>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</si>
  <si>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</si>
  <si>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</si>
  <si>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</si>
  <si>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</si>
  <si>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</si>
  <si>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</si>
  <si>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</si>
  <si>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</si>
  <si>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</si>
  <si>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</si>
  <si>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</si>
  <si>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</si>
  <si>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</si>
  <si>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</si>
  <si>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</si>
  <si>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</si>
  <si>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</si>
  <si>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</si>
  <si>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</si>
  <si>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</si>
  <si>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</si>
  <si>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</si>
  <si>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</si>
  <si>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</si>
  <si>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</si>
  <si>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</si>
  <si>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</si>
  <si>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</si>
  <si>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</si>
  <si>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</si>
  <si>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</si>
  <si>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</si>
  <si>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24.04.205</t>
  </si>
  <si>
    <t>Best Western Plus Ostseehotel Waldschlösschen</t>
  </si>
  <si>
    <t>22,5 MLOS2</t>
  </si>
  <si>
    <t>ok. MB</t>
  </si>
  <si>
    <t xml:space="preserve">99 Euro via Tripz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</si>
</sst>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G11" sqref="G11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089843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ht="30" x14ac:dyDescent="0.4">
      <c r="B5" s="48" t="s">
        <v>3</v>
      </c>
      <c r="C5" s="143" t="s">
        <v>297</v>
      </c>
      <c r="E5" s="151" t="s">
        <v>5</v>
      </c>
      <c r="F5" s="153">
        <v>99</v>
      </c>
      <c r="G5" s="44" t="s">
        <v>300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143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44.52</v>
      </c>
      <c r="G7" s="37" t="s">
        <v>299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40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0.65</v>
      </c>
      <c r="E9" s="156" t="s">
        <v>246</v>
      </c>
      <c r="F9" s="157">
        <f>IFERROR(J26,"Bitte Produkt auswählen")</f>
        <v>0.45503047742055031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5110</v>
      </c>
      <c r="E10" s="152" t="s">
        <v>13</v>
      </c>
      <c r="F10" s="168">
        <f>F5*0.75</f>
        <v>74.25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766.5</v>
      </c>
      <c r="E11" s="167" t="s">
        <v>14</v>
      </c>
      <c r="F11" s="242">
        <f>+I26</f>
        <v>27524.475000000002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220</v>
      </c>
      <c r="D12" s="61"/>
      <c r="E12" s="155" t="s">
        <v>243</v>
      </c>
      <c r="F12" s="241">
        <v>15000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337</v>
      </c>
      <c r="F24" s="76">
        <v>3</v>
      </c>
      <c r="G24" s="77">
        <f>F12*D24</f>
        <v>15000</v>
      </c>
      <c r="H24" s="77">
        <f>$E24*$F$10*1.1-$G24</f>
        <v>12524.475000000002</v>
      </c>
      <c r="I24" s="77">
        <f>G24+H24</f>
        <v>27524.475000000002</v>
      </c>
      <c r="J24" s="78">
        <f t="shared" si="16"/>
        <v>0.45503047742055031</v>
      </c>
      <c r="K24" s="77">
        <v>0</v>
      </c>
      <c r="L24" s="77">
        <v>0</v>
      </c>
      <c r="M24" s="77">
        <f>G24*1.19-G24</f>
        <v>2850</v>
      </c>
      <c r="N24" s="77">
        <f t="shared" si="5"/>
        <v>1188.556875</v>
      </c>
      <c r="O24" s="77">
        <f>L24-M24-N24</f>
        <v>-4038.5568750000002</v>
      </c>
      <c r="P24" s="79">
        <f>IFERROR($H24-L24,"")</f>
        <v>12524.475000000002</v>
      </c>
      <c r="Q24" s="78">
        <f>IFERROR(($H24-L24)/$I24,"")</f>
        <v>0.45503047742055031</v>
      </c>
      <c r="R24" s="80">
        <f>IFERROR((1-Q24)*F24,"")</f>
        <v>1.6349085677383492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337</v>
      </c>
      <c r="F26" s="89"/>
      <c r="G26" s="89">
        <f>SUBTOTAL(9,G19:G24)</f>
        <v>15000</v>
      </c>
      <c r="H26" s="89">
        <f>SUBTOTAL(9,H19:H24)</f>
        <v>12524.475000000002</v>
      </c>
      <c r="I26" s="89">
        <f>SUBTOTAL(9,I19:I24)</f>
        <v>27524.475000000002</v>
      </c>
      <c r="J26" s="90">
        <f>H26/I26</f>
        <v>0.45503047742055031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2850</v>
      </c>
      <c r="N26" s="89">
        <f t="shared" si="25"/>
        <v>1188.556875</v>
      </c>
      <c r="O26" s="89">
        <f t="shared" si="25"/>
        <v>-4038.5568750000002</v>
      </c>
      <c r="P26" s="89">
        <f t="shared" si="25"/>
        <v>12524.475000000002</v>
      </c>
      <c r="Q26" s="90">
        <f>($H26-L26)/$I26</f>
        <v>0.45503047742055031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6,6%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08984375" bestFit="1" customWidth="1"/>
    <col min="2" max="2" width="10.90625" hidden="1" customWidth="1"/>
    <col min="3" max="3" width="11.9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9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4" workbookViewId="0">
      <selection activeCell="C37" sqref="C3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9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  <c r="D4" s="97" t="s">
        <v>298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337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12605.042016806723</v>
      </c>
    </row>
    <row r="12" spans="2:11" x14ac:dyDescent="0.4">
      <c r="B12" s="212" t="s">
        <v>285</v>
      </c>
      <c r="C12" s="230">
        <f>F13+F14</f>
        <v>12605.042016806723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2394.9579831932774</v>
      </c>
      <c r="E14" s="223">
        <v>0.19</v>
      </c>
      <c r="F14" s="162">
        <f>(F18-F13*(1+E13))/(1+E14)</f>
        <v>12605.042016806723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15000</v>
      </c>
      <c r="F18" s="97">
        <f>'Preise Output'!G26</f>
        <v>15000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337 Gutscheine x 44,52€ je Gutschein</v>
      </c>
      <c r="C24" s="237">
        <f>IFERROR(C7*'Preise Output'!$F$7,"--")</f>
        <v>15003.240000000002</v>
      </c>
    </row>
    <row r="25" spans="2:8" x14ac:dyDescent="0.4">
      <c r="B25" s="97" t="str">
        <f>"Das enspricht "&amp;TEXT('Preise Output'!E26/('Preise Output'!C10),"0,0%") &amp; " des Leerstands p.a."</f>
        <v>Das enspricht 6,6%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932.27680000000021</v>
      </c>
      <c r="E26" s="223">
        <v>7.0000000000000007E-2</v>
      </c>
      <c r="F26" s="162">
        <f>C24-F27</f>
        <v>13318.240000000002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320.14999999999998</v>
      </c>
      <c r="E27" s="223">
        <v>0.19</v>
      </c>
      <c r="F27" s="162">
        <f>G27*C7</f>
        <v>1685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337 Roomnights</v>
      </c>
      <c r="C31" s="237">
        <f>C7*C4</f>
        <v>6740</v>
      </c>
    </row>
    <row r="32" spans="2:8" x14ac:dyDescent="0.4">
      <c r="B32" s="108" t="s">
        <v>293</v>
      </c>
      <c r="C32" s="229">
        <f>C26+C27</f>
        <v>1252.4268000000002</v>
      </c>
    </row>
    <row r="33" spans="2:3" ht="14.5" thickBot="1" x14ac:dyDescent="0.45">
      <c r="B33" s="115" t="s">
        <v>288</v>
      </c>
      <c r="C33" s="238">
        <f>-(C13+C14)</f>
        <v>-2394.9579831932774</v>
      </c>
    </row>
    <row r="34" spans="2:3" x14ac:dyDescent="0.4">
      <c r="B34" s="96" t="s">
        <v>271</v>
      </c>
      <c r="C34" s="236">
        <f>SUM(C31:C33)</f>
        <v>5597.4688168067223</v>
      </c>
    </row>
    <row r="36" spans="2:3" x14ac:dyDescent="0.4">
      <c r="B36" s="102" t="s">
        <v>65</v>
      </c>
      <c r="C36" s="239">
        <f>C12-C34</f>
        <v>7007.5732000000007</v>
      </c>
    </row>
    <row r="37" spans="2:3" x14ac:dyDescent="0.4">
      <c r="B37" s="97" t="s">
        <v>289</v>
      </c>
      <c r="C37" s="240">
        <f>C36/C12</f>
        <v>0.55593414053333334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12605.042016806723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12605.042016806723</v>
      </c>
      <c r="R16" s="35">
        <f t="shared" si="4"/>
        <v>4201.680672268908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12605.042016806723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14045.042016806723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089843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11795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11795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11795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11795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F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G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H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I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J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K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L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M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N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R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S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T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U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V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W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X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Y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Z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AD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AE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AF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AG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AH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AI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AJ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AK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AL7" s="129">
        <f>IF($B$6=100%,(('Preise Output'!$F$10-INDEX(Annahmen!$B$18:$C$22,MATCH('Preise Output'!$C$7,Annahmen!$B$18:$B$22,0),2))*'Preise Output'!$E$26)/10,('Preise Output'!$E$26*'Preise Output'!$F$10-$D$6)/10)</f>
        <v>1322.7249999999999</v>
      </c>
      <c r="AM7" s="130"/>
      <c r="AN7" s="130">
        <f t="shared" ref="AN7:AN43" si="0">SUM(D7:AM7)</f>
        <v>39681.749999999978</v>
      </c>
      <c r="AQ7" s="130">
        <f t="shared" ref="AQ7:AQ45" si="1">SUM(D7:F7)</f>
        <v>2645.45</v>
      </c>
      <c r="AR7" s="130">
        <f t="shared" ref="AR7:AR45" si="2">SUM(G7:I7)</f>
        <v>3968.1749999999997</v>
      </c>
      <c r="AS7" s="130">
        <f t="shared" ref="AS7:AS45" si="3">SUM(J7:L7)</f>
        <v>3968.1749999999997</v>
      </c>
      <c r="AT7" s="130">
        <f t="shared" ref="AT7:AT45" si="4">SUM(M7:O7)</f>
        <v>2645.45</v>
      </c>
      <c r="AU7" s="130">
        <f t="shared" ref="AU7:AU45" si="5">SUM(P7:R7)</f>
        <v>2645.45</v>
      </c>
      <c r="AV7" s="130">
        <f t="shared" ref="AV7:AV45" si="6">SUM(S7:U7)</f>
        <v>3968.1749999999997</v>
      </c>
      <c r="AW7" s="130">
        <f t="shared" ref="AW7:AW45" si="7">SUM(V7:X7)</f>
        <v>3968.1749999999997</v>
      </c>
      <c r="AX7" s="130">
        <f t="shared" ref="AX7:AX45" si="8">SUM(Y7:AA7)</f>
        <v>2645.45</v>
      </c>
      <c r="AY7" s="130">
        <f t="shared" ref="AY7:AY45" si="9">SUM(AB7:AD7)</f>
        <v>2645.45</v>
      </c>
      <c r="AZ7" s="130">
        <f t="shared" ref="AZ7:AZ45" si="10">SUM(AE7:AG7)</f>
        <v>3968.1749999999997</v>
      </c>
      <c r="BA7" s="130">
        <f t="shared" ref="BA7:BA45" si="11">SUM(AH7:AJ7)</f>
        <v>3968.1749999999997</v>
      </c>
      <c r="BB7" s="130">
        <f t="shared" ref="BB7:BB45" si="12">SUM(AK7:AM7)</f>
        <v>2645.45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-15000</v>
      </c>
      <c r="AQ42" s="134">
        <f t="shared" si="1"/>
        <v>-15000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27524.475000000002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A04262AF-9858-45E9-A32A-60DF6A73A1DB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2025-05-27T09:48:53Z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