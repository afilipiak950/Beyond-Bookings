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Wyk auf Föhr/1. Vertrag 2024/Vertragsdokumente/"/>
    </mc:Choice>
  </mc:AlternateContent>
  <xr:revisionPtr revIDLastSave="56" documentId="8_{207F9823-9F7A-439A-86BD-E629EE244269}" xr6:coauthVersionLast="47" xr6:coauthVersionMax="47" xr10:uidLastSave="{0A466980-5ADF-4DB3-8FF9-4C1025ACDAD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36" i="8" s="1"/>
  <c r="C37" i="8" s="1"/>
  <c r="C12" i="8"/>
  <c r="C11" i="8" s="1"/>
  <c r="C18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<sst xmlns="http://schemas.openxmlformats.org/spreadsheetml/2006/main" count="510" uniqueCount="297">
  <si>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</si>
  <si>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</si>
  <si>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</si>
  <si>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</si>
  <si>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</si>
  <si>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</si>
  <si>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</si>
  <si>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</si>
  <si>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</si>
  <si>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</si>
  <si>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</si>
  <si>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</si>
  <si>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</si>
  <si>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</si>
  <si>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</si>
  <si>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</si>
  <si>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</si>
  <si>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</si>
  <si>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</si>
  <si>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</si>
  <si>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</si>
  <si>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</si>
  <si>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</si>
  <si>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</si>
  <si>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</si>
  <si>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</si>
  <si>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</si>
  <si>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</si>
  <si>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</si>
  <si>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</si>
  <si>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</si>
  <si>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</si>
  <si>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</si>
  <si>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</si>
  <si>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</si>
  <si>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</si>
  <si>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</si>
  <si>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</si>
  <si>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</si>
  <si>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</si>
  <si>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</si>
  <si>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</si>
  <si>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</si>
  <si>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</si>
  <si>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</si>
  <si>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</si>
  <si>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</si>
  <si>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</si>
  <si>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</si>
  <si>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</si>
  <si>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</si>
  <si>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</si>
  <si>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</si>
  <si>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</si>
  <si>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</si>
  <si>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</si>
  <si>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</si>
  <si>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</si>
  <si>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</si>
  <si>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</si>
  <si>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</si>
  <si>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</si>
  <si>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</si>
  <si>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</si>
  <si>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</si>
  <si>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</si>
  <si>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</si>
  <si>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</si>
  <si>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</si>
  <si>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</si>
  <si>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</si>
  <si>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</si>
  <si>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</si>
  <si>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</si>
  <si>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</si>
  <si>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</si>
  <si>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</si>
  <si>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</si>
  <si>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</si>
  <si>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</si>
  <si>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</si>
  <si>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</si>
  <si>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</si>
  <si>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</si>
  <si>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</si>
  <si>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</si>
  <si>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</si>
  <si>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</si>
  <si>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</si>
  <si>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</si>
  <si>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</si>
  <si>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</si>
  <si>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</si>
  <si>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</si>
  <si>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</si>
  <si>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</si>
  <si>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</si>
  <si>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</si>
  <si>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</si>
  <si>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</si>
  <si>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</si>
  <si>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</si>
  <si>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</si>
  <si>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</si>
  <si>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</si>
  <si>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</si>
  <si>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</si>
  <si>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</si>
  <si>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</si>
  <si>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</si>
  <si>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</si>
  <si>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</si>
  <si>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</si>
  <si>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</si>
  <si>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</si>
  <si>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</si>
  <si>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</si>
  <si>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</si>
  <si>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</si>
  <si>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</si>
  <si>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</si>
  <si>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</si>
  <si>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</si>
  <si>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</si>
  <si>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</si>
  <si>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</si>
  <si>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</si>
  <si>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</si>
  <si>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</si>
  <si>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</si>
  <si>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</si>
  <si>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</si>
  <si>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</si>
  <si>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</si>
  <si>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</si>
  <si>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</si>
  <si>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</si>
  <si>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</si>
  <si>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</si>
  <si>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</si>
  <si>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</si>
  <si>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</si>
  <si>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</si>
  <si>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</si>
  <si>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</si>
  <si>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</si>
  <si>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</si>
  <si>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</si>
  <si>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</si>
  <si>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</si>
  <si>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</si>
  <si>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</si>
  <si>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</si>
  <si>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</si>
  <si>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</si>
  <si>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</si>
  <si>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</si>
  <si>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</si>
  <si>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</si>
  <si>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</si>
  <si>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</si>
  <si>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</si>
  <si>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</si>
  <si>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</si>
  <si>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</si>
  <si>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</si>
  <si>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</si>
  <si>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</si>
  <si>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</si>
  <si>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</si>
  <si>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</si>
  <si>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</si>
  <si>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</si>
  <si>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</si>
  <si>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</si>
  <si>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</si>
  <si>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</si>
  <si>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</si>
  <si>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</si>
  <si>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</si>
  <si>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</si>
  <si>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</si>
  <si>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</si>
  <si>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</si>
  <si>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</si>
  <si>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</si>
  <si>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</si>
  <si>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</si>
  <si>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</si>
  <si>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</si>
  <si>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</si>
  <si>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</si>
  <si>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</si>
  <si>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</si>
  <si>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</si>
  <si>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</si>
  <si>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</si>
  <si>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</si>
  <si>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</si>
  <si>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</si>
  <si>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</si>
  <si>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</si>
  <si>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</si>
  <si>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</si>
  <si>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</si>
  <si>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</si>
  <si>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</si>
  <si>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</si>
  <si>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</si>
  <si>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</si>
  <si>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</si>
  <si>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</si>
  <si>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</si>
  <si>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</si>
  <si>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</si>
  <si>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</si>
  <si>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</si>
  <si>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</si>
  <si>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</si>
  <si>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</si>
  <si>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</si>
  <si>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</si>
  <si>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</si>
  <si>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</si>
  <si>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</si>
  <si>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</si>
  <si>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</si>
  <si>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</si>
  <si>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</si>
  <si>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</si>
  <si>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</si>
  <si>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</si>
  <si>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</si>
  <si>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</si>
  <si>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</si>
  <si>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</si>
  <si>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</si>
  <si>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</si>
  <si>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</si>
  <si>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</si>
  <si>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</si>
  <si>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</si>
  <si>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</si>
  <si>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</si>
  <si>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</si>
  <si>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</si>
  <si>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</si>
  <si>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</si>
  <si>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</si>
  <si>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</si>
  <si>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</si>
  <si>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</si>
  <si>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</si>
  <si>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</si>
  <si>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</si>
  <si>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</si>
  <si>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</si>
  <si>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</si>
  <si>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</si>
  <si>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</si>
  <si>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</si>
  <si>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</si>
  <si>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</si>
  <si>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</si>
  <si>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</si>
  <si>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</si>
  <si>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</si>
  <si>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</si>
  <si>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</si>
  <si>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</si>
  <si>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</si>
  <si>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</si>
  <si>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</si>
  <si>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</si>
  <si>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</si>
  <si>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</si>
  <si>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</si>
  <si>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</si>
  <si>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</si>
  <si>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</si>
  <si>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</si>
  <si>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</si>
  <si>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</si>
  <si>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</si>
  <si>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</si>
  <si>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</si>
  <si>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</si>
  <si>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</si>
  <si>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</si>
  <si>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</si>
  <si>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</si>
  <si>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</si>
  <si>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</si>
  <si>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</si>
  <si>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</si>
  <si>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</si>
  <si>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Upstalsboom Wyk auf Föh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</si>
</sst>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3" borderId="1" xfId="1" applyFont="1" applyFill="1" applyBorder="1" applyAlignment="1" applyProtection="1">
      <alignment vertical="top" wrapText="1"/>
      <protection locked="0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45369</v>
      </c>
      <c r="E5" s="151" t="s">
        <v>5</v>
      </c>
      <c r="F5" s="153">
        <v>130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178.75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170</v>
      </c>
      <c r="E7" s="154" t="s">
        <v>8</v>
      </c>
      <c r="F7" s="210">
        <v>54.41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144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0.49270895952071148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15768.000000000002</v>
      </c>
      <c r="E10" s="152" t="s">
        <v>13</v>
      </c>
      <c r="F10" s="168">
        <f>F5*0.75</f>
        <v>97.5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98562.750000000015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243">
        <v>275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919</v>
      </c>
      <c r="F24" s="76">
        <v>3</v>
      </c>
      <c r="G24" s="77">
        <f>F12*D24</f>
        <v>50000</v>
      </c>
      <c r="H24" s="77">
        <f>$E24*$F$10*1.1-$G24</f>
        <v>48562.750000000015</v>
      </c>
      <c r="I24" s="77">
        <f>G24+H24</f>
        <v>98562.750000000015</v>
      </c>
      <c r="J24" s="78">
        <f t="shared" si="16"/>
        <v>0.49270895952071148</v>
      </c>
      <c r="K24" s="77">
        <v>0</v>
      </c>
      <c r="L24" s="77">
        <v>0</v>
      </c>
      <c r="M24" s="77">
        <f>G24*1.19-G24</f>
        <v>9500</v>
      </c>
      <c r="N24" s="77">
        <f t="shared" si="5"/>
        <v>4256.1187499999996</v>
      </c>
      <c r="O24" s="77">
        <f>L24-M24-N24</f>
        <v>-13756.11875</v>
      </c>
      <c r="P24" s="79">
        <f>IFERROR($H24-L24,"")</f>
        <v>48562.750000000015</v>
      </c>
      <c r="Q24" s="78">
        <f>IFERROR(($H24-L24)/$I24,"")</f>
        <v>0.49270895952071148</v>
      </c>
      <c r="R24" s="80">
        <f>IFERROR((1-Q24)*F24,"")</f>
        <v>1.5218731214378656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919</v>
      </c>
      <c r="F26" s="89"/>
      <c r="G26" s="89">
        <f>SUBTOTAL(9,G19:G24)</f>
        <v>50000</v>
      </c>
      <c r="H26" s="89">
        <f>SUBTOTAL(9,H19:H24)</f>
        <v>48562.750000000015</v>
      </c>
      <c r="I26" s="89">
        <f>SUBTOTAL(9,I19:I24)</f>
        <v>98562.750000000015</v>
      </c>
      <c r="J26" s="90">
        <f>H26/I26</f>
        <v>0.49270895952071148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4256.1187499999996</v>
      </c>
      <c r="O26" s="89">
        <f t="shared" si="25"/>
        <v>-13756.11875</v>
      </c>
      <c r="P26" s="89">
        <f t="shared" si="25"/>
        <v>48562.750000000015</v>
      </c>
      <c r="Q26" s="90">
        <f>($H26-L26)/$I26</f>
        <v>0.49270895952071148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32" sqref="E32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50</v>
      </c>
    </row>
    <row r="4" spans="2:11">
      <c r="B4" s="103" t="s">
        <v>53</v>
      </c>
      <c r="C4" s="226">
        <f>+C3-C2</f>
        <v>25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919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42016.806722689078</v>
      </c>
    </row>
    <row r="12" spans="2:11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919 Gutscheine x 54,41€ je Gutschein</v>
      </c>
      <c r="C24" s="237">
        <f>IFERROR(C7*'Preise Output'!$F$7,"--")</f>
        <v>50002.789999999994</v>
      </c>
    </row>
    <row r="25" spans="2:8">
      <c r="B25" s="97" t="str">
        <f>"Das enspricht "&amp;TEXT('Preise Output'!E26/('Preise Output'!C10),"0,0%") &amp; " des Leerstands p.a."</f>
        <v>Das enspricht 5,8%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1608.2499999999995</v>
      </c>
      <c r="E26" s="223">
        <v>7.0000000000000007E-2</v>
      </c>
      <c r="F26" s="162">
        <f>C24-F27</f>
        <v>22974.999999999993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5135.2800999999999</v>
      </c>
      <c r="E27" s="223">
        <v>0.19</v>
      </c>
      <c r="F27" s="162">
        <f>G27*C7</f>
        <v>27027.79</v>
      </c>
      <c r="G27" s="104">
        <v>29.41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25€ je Gutschein x 919 Roomnights</v>
      </c>
      <c r="C31" s="237">
        <f>C7*C4</f>
        <v>22975</v>
      </c>
    </row>
    <row r="32" spans="2:8">
      <c r="B32" s="108" t="s">
        <v>293</v>
      </c>
      <c r="C32" s="229">
        <f>C26+C27</f>
        <v>6743.5300999999999</v>
      </c>
    </row>
    <row r="33" spans="2:3" ht="14.5" thickBot="1">
      <c r="B33" s="115" t="s">
        <v>288</v>
      </c>
      <c r="C33" s="238">
        <f>-(C13+C14)</f>
        <v>-7983.1932773109247</v>
      </c>
    </row>
    <row r="34" spans="2:3">
      <c r="B34" s="96" t="s">
        <v>271</v>
      </c>
      <c r="C34" s="236">
        <f>SUM(C31:C33)</f>
        <v>21735.336822689074</v>
      </c>
    </row>
    <row r="36" spans="2:3">
      <c r="B36" s="102" t="s">
        <v>65</v>
      </c>
      <c r="C36" s="239">
        <f>C12-C34</f>
        <v>20281.469900000004</v>
      </c>
    </row>
    <row r="37" spans="2:3">
      <c r="B37" s="97" t="s">
        <v>289</v>
      </c>
      <c r="C37" s="240">
        <f>C36/C12</f>
        <v>0.48269898362000008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45950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45950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45950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45950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4365.25</v>
      </c>
      <c r="F7" s="129">
        <f>IF($B$6=100%,(('Preise Output'!$F$10-INDEX(Annahmen!$B$18:$C$22,MATCH('Preise Output'!$C$7,Annahmen!$B$18:$B$22,0),2))*'Preise Output'!$E$26)/10,('Preise Output'!$E$26*'Preise Output'!$F$10-$D$6)/10)</f>
        <v>4365.25</v>
      </c>
      <c r="G7" s="129">
        <f>IF($B$6=100%,(('Preise Output'!$F$10-INDEX(Annahmen!$B$18:$C$22,MATCH('Preise Output'!$C$7,Annahmen!$B$18:$B$22,0),2))*'Preise Output'!$E$26)/10,('Preise Output'!$E$26*'Preise Output'!$F$10-$D$6)/10)</f>
        <v>4365.25</v>
      </c>
      <c r="H7" s="129">
        <f>IF($B$6=100%,(('Preise Output'!$F$10-INDEX(Annahmen!$B$18:$C$22,MATCH('Preise Output'!$C$7,Annahmen!$B$18:$B$22,0),2))*'Preise Output'!$E$26)/10,('Preise Output'!$E$26*'Preise Output'!$F$10-$D$6)/10)</f>
        <v>4365.25</v>
      </c>
      <c r="I7" s="129">
        <f>IF($B$6=100%,(('Preise Output'!$F$10-INDEX(Annahmen!$B$18:$C$22,MATCH('Preise Output'!$C$7,Annahmen!$B$18:$B$22,0),2))*'Preise Output'!$E$26)/10,('Preise Output'!$E$26*'Preise Output'!$F$10-$D$6)/10)</f>
        <v>4365.25</v>
      </c>
      <c r="J7" s="129">
        <f>IF($B$6=100%,(('Preise Output'!$F$10-INDEX(Annahmen!$B$18:$C$22,MATCH('Preise Output'!$C$7,Annahmen!$B$18:$B$22,0),2))*'Preise Output'!$E$26)/10,('Preise Output'!$E$26*'Preise Output'!$F$10-$D$6)/10)</f>
        <v>4365.25</v>
      </c>
      <c r="K7" s="129">
        <f>IF($B$6=100%,(('Preise Output'!$F$10-INDEX(Annahmen!$B$18:$C$22,MATCH('Preise Output'!$C$7,Annahmen!$B$18:$B$22,0),2))*'Preise Output'!$E$26)/10,('Preise Output'!$E$26*'Preise Output'!$F$10-$D$6)/10)</f>
        <v>4365.25</v>
      </c>
      <c r="L7" s="129">
        <f>IF($B$6=100%,(('Preise Output'!$F$10-INDEX(Annahmen!$B$18:$C$22,MATCH('Preise Output'!$C$7,Annahmen!$B$18:$B$22,0),2))*'Preise Output'!$E$26)/10,('Preise Output'!$E$26*'Preise Output'!$F$10-$D$6)/10)</f>
        <v>4365.25</v>
      </c>
      <c r="M7" s="129">
        <f>IF($B$6=100%,(('Preise Output'!$F$10-INDEX(Annahmen!$B$18:$C$22,MATCH('Preise Output'!$C$7,Annahmen!$B$18:$B$22,0),2))*'Preise Output'!$E$26)/10,('Preise Output'!$E$26*'Preise Output'!$F$10-$D$6)/10)</f>
        <v>4365.25</v>
      </c>
      <c r="N7" s="129">
        <f>IF($B$6=100%,(('Preise Output'!$F$10-INDEX(Annahmen!$B$18:$C$22,MATCH('Preise Output'!$C$7,Annahmen!$B$18:$B$22,0),2))*'Preise Output'!$E$26)/10,('Preise Output'!$E$26*'Preise Output'!$F$10-$D$6)/10)</f>
        <v>4365.25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4365.25</v>
      </c>
      <c r="R7" s="129">
        <f>IF($B$6=100%,(('Preise Output'!$F$10-INDEX(Annahmen!$B$18:$C$22,MATCH('Preise Output'!$C$7,Annahmen!$B$18:$B$22,0),2))*'Preise Output'!$E$26)/10,('Preise Output'!$E$26*'Preise Output'!$F$10-$D$6)/10)</f>
        <v>4365.25</v>
      </c>
      <c r="S7" s="129">
        <f>IF($B$6=100%,(('Preise Output'!$F$10-INDEX(Annahmen!$B$18:$C$22,MATCH('Preise Output'!$C$7,Annahmen!$B$18:$B$22,0),2))*'Preise Output'!$E$26)/10,('Preise Output'!$E$26*'Preise Output'!$F$10-$D$6)/10)</f>
        <v>4365.25</v>
      </c>
      <c r="T7" s="129">
        <f>IF($B$6=100%,(('Preise Output'!$F$10-INDEX(Annahmen!$B$18:$C$22,MATCH('Preise Output'!$C$7,Annahmen!$B$18:$B$22,0),2))*'Preise Output'!$E$26)/10,('Preise Output'!$E$26*'Preise Output'!$F$10-$D$6)/10)</f>
        <v>4365.25</v>
      </c>
      <c r="U7" s="129">
        <f>IF($B$6=100%,(('Preise Output'!$F$10-INDEX(Annahmen!$B$18:$C$22,MATCH('Preise Output'!$C$7,Annahmen!$B$18:$B$22,0),2))*'Preise Output'!$E$26)/10,('Preise Output'!$E$26*'Preise Output'!$F$10-$D$6)/10)</f>
        <v>4365.25</v>
      </c>
      <c r="V7" s="129">
        <f>IF($B$6=100%,(('Preise Output'!$F$10-INDEX(Annahmen!$B$18:$C$22,MATCH('Preise Output'!$C$7,Annahmen!$B$18:$B$22,0),2))*'Preise Output'!$E$26)/10,('Preise Output'!$E$26*'Preise Output'!$F$10-$D$6)/10)</f>
        <v>4365.25</v>
      </c>
      <c r="W7" s="129">
        <f>IF($B$6=100%,(('Preise Output'!$F$10-INDEX(Annahmen!$B$18:$C$22,MATCH('Preise Output'!$C$7,Annahmen!$B$18:$B$22,0),2))*'Preise Output'!$E$26)/10,('Preise Output'!$E$26*'Preise Output'!$F$10-$D$6)/10)</f>
        <v>4365.25</v>
      </c>
      <c r="X7" s="129">
        <f>IF($B$6=100%,(('Preise Output'!$F$10-INDEX(Annahmen!$B$18:$C$22,MATCH('Preise Output'!$C$7,Annahmen!$B$18:$B$22,0),2))*'Preise Output'!$E$26)/10,('Preise Output'!$E$26*'Preise Output'!$F$10-$D$6)/10)</f>
        <v>4365.25</v>
      </c>
      <c r="Y7" s="129">
        <f>IF($B$6=100%,(('Preise Output'!$F$10-INDEX(Annahmen!$B$18:$C$22,MATCH('Preise Output'!$C$7,Annahmen!$B$18:$B$22,0),2))*'Preise Output'!$E$26)/10,('Preise Output'!$E$26*'Preise Output'!$F$10-$D$6)/10)</f>
        <v>4365.25</v>
      </c>
      <c r="Z7" s="129">
        <f>IF($B$6=100%,(('Preise Output'!$F$10-INDEX(Annahmen!$B$18:$C$22,MATCH('Preise Output'!$C$7,Annahmen!$B$18:$B$22,0),2))*'Preise Output'!$E$26)/10,('Preise Output'!$E$26*'Preise Output'!$F$10-$D$6)/10)</f>
        <v>4365.25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4365.25</v>
      </c>
      <c r="AD7" s="129">
        <f>IF($B$6=100%,(('Preise Output'!$F$10-INDEX(Annahmen!$B$18:$C$22,MATCH('Preise Output'!$C$7,Annahmen!$B$18:$B$22,0),2))*'Preise Output'!$E$26)/10,('Preise Output'!$E$26*'Preise Output'!$F$10-$D$6)/10)</f>
        <v>4365.25</v>
      </c>
      <c r="AE7" s="129">
        <f>IF($B$6=100%,(('Preise Output'!$F$10-INDEX(Annahmen!$B$18:$C$22,MATCH('Preise Output'!$C$7,Annahmen!$B$18:$B$22,0),2))*'Preise Output'!$E$26)/10,('Preise Output'!$E$26*'Preise Output'!$F$10-$D$6)/10)</f>
        <v>4365.25</v>
      </c>
      <c r="AF7" s="129">
        <f>IF($B$6=100%,(('Preise Output'!$F$10-INDEX(Annahmen!$B$18:$C$22,MATCH('Preise Output'!$C$7,Annahmen!$B$18:$B$22,0),2))*'Preise Output'!$E$26)/10,('Preise Output'!$E$26*'Preise Output'!$F$10-$D$6)/10)</f>
        <v>4365.25</v>
      </c>
      <c r="AG7" s="129">
        <f>IF($B$6=100%,(('Preise Output'!$F$10-INDEX(Annahmen!$B$18:$C$22,MATCH('Preise Output'!$C$7,Annahmen!$B$18:$B$22,0),2))*'Preise Output'!$E$26)/10,('Preise Output'!$E$26*'Preise Output'!$F$10-$D$6)/10)</f>
        <v>4365.25</v>
      </c>
      <c r="AH7" s="129">
        <f>IF($B$6=100%,(('Preise Output'!$F$10-INDEX(Annahmen!$B$18:$C$22,MATCH('Preise Output'!$C$7,Annahmen!$B$18:$B$22,0),2))*'Preise Output'!$E$26)/10,('Preise Output'!$E$26*'Preise Output'!$F$10-$D$6)/10)</f>
        <v>4365.25</v>
      </c>
      <c r="AI7" s="129">
        <f>IF($B$6=100%,(('Preise Output'!$F$10-INDEX(Annahmen!$B$18:$C$22,MATCH('Preise Output'!$C$7,Annahmen!$B$18:$B$22,0),2))*'Preise Output'!$E$26)/10,('Preise Output'!$E$26*'Preise Output'!$F$10-$D$6)/10)</f>
        <v>4365.25</v>
      </c>
      <c r="AJ7" s="129">
        <f>IF($B$6=100%,(('Preise Output'!$F$10-INDEX(Annahmen!$B$18:$C$22,MATCH('Preise Output'!$C$7,Annahmen!$B$18:$B$22,0),2))*'Preise Output'!$E$26)/10,('Preise Output'!$E$26*'Preise Output'!$F$10-$D$6)/10)</f>
        <v>4365.25</v>
      </c>
      <c r="AK7" s="129">
        <f>IF($B$6=100%,(('Preise Output'!$F$10-INDEX(Annahmen!$B$18:$C$22,MATCH('Preise Output'!$C$7,Annahmen!$B$18:$B$22,0),2))*'Preise Output'!$E$26)/10,('Preise Output'!$E$26*'Preise Output'!$F$10-$D$6)/10)</f>
        <v>4365.25</v>
      </c>
      <c r="AL7" s="129">
        <f>IF($B$6=100%,(('Preise Output'!$F$10-INDEX(Annahmen!$B$18:$C$22,MATCH('Preise Output'!$C$7,Annahmen!$B$18:$B$22,0),2))*'Preise Output'!$E$26)/10,('Preise Output'!$E$26*'Preise Output'!$F$10-$D$6)/10)</f>
        <v>4365.25</v>
      </c>
      <c r="AM7" s="130"/>
      <c r="AN7" s="130">
        <f t="shared" ref="AN7:AN43" si="0">SUM(D7:AM7)</f>
        <v>130957.5</v>
      </c>
      <c r="AQ7" s="130">
        <f t="shared" ref="AQ7:AQ45" si="1">SUM(D7:F7)</f>
        <v>8730.5</v>
      </c>
      <c r="AR7" s="130">
        <f t="shared" ref="AR7:AR45" si="2">SUM(G7:I7)</f>
        <v>13095.75</v>
      </c>
      <c r="AS7" s="130">
        <f t="shared" ref="AS7:AS45" si="3">SUM(J7:L7)</f>
        <v>13095.75</v>
      </c>
      <c r="AT7" s="130">
        <f t="shared" ref="AT7:AT45" si="4">SUM(M7:O7)</f>
        <v>8730.5</v>
      </c>
      <c r="AU7" s="130">
        <f t="shared" ref="AU7:AU45" si="5">SUM(P7:R7)</f>
        <v>8730.5</v>
      </c>
      <c r="AV7" s="130">
        <f t="shared" ref="AV7:AV45" si="6">SUM(S7:U7)</f>
        <v>13095.75</v>
      </c>
      <c r="AW7" s="130">
        <f t="shared" ref="AW7:AW45" si="7">SUM(V7:X7)</f>
        <v>13095.75</v>
      </c>
      <c r="AX7" s="130">
        <f t="shared" ref="AX7:AX45" si="8">SUM(Y7:AA7)</f>
        <v>8730.5</v>
      </c>
      <c r="AY7" s="130">
        <f t="shared" ref="AY7:AY45" si="9">SUM(AB7:AD7)</f>
        <v>8730.5</v>
      </c>
      <c r="AZ7" s="130">
        <f t="shared" ref="AZ7:AZ45" si="10">SUM(AE7:AG7)</f>
        <v>13095.75</v>
      </c>
      <c r="BA7" s="130">
        <f t="shared" ref="BA7:BA45" si="11">SUM(AH7:AJ7)</f>
        <v>13095.75</v>
      </c>
      <c r="BB7" s="130">
        <f t="shared" ref="BB7:BB45" si="12">SUM(AK7:AM7)</f>
        <v>8730.5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98562.750000000015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A9B916C-B25B-416F-B503-10E1E5AA5199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2024-12-16T12:08:09Z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