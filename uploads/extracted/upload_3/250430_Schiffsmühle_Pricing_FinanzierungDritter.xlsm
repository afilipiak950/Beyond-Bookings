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Erlebnishotel zur Schiffsmühle/"/>
    </mc:Choice>
  </mc:AlternateContent>
  <xr:revisionPtr revIDLastSave="58" documentId="8_{207F9823-9F7A-439A-86BD-E629EE244269}" xr6:coauthVersionLast="47" xr6:coauthVersionMax="47" xr10:uidLastSave="{44E91DDE-E0E2-407B-96D2-E8E852A59DD1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<sst xmlns="http://schemas.openxmlformats.org/spreadsheetml/2006/main" count="513" uniqueCount="300">
  <si>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</si>
  <si>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</si>
  <si>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</si>
  <si>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</si>
  <si>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</si>
  <si>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</si>
  <si>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</si>
  <si>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</si>
  <si>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</si>
  <si>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</si>
  <si>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</si>
  <si>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</si>
  <si>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</si>
  <si>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</si>
  <si>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</si>
  <si>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</si>
  <si>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</si>
  <si>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</si>
  <si>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</si>
  <si>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</si>
  <si>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</si>
  <si>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</si>
  <si>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</si>
  <si>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</si>
  <si>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</si>
  <si>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</si>
  <si>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</si>
  <si>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</si>
  <si>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</si>
  <si>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</si>
  <si>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</si>
  <si>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</si>
  <si>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</si>
  <si>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</si>
  <si>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</si>
  <si>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</si>
  <si>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</si>
  <si>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</si>
  <si>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</si>
  <si>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</si>
  <si>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</si>
  <si>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</si>
  <si>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</si>
  <si>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</si>
  <si>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</si>
  <si>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</si>
  <si>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</si>
  <si>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</si>
  <si>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</si>
  <si>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</si>
  <si>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</si>
  <si>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</si>
  <si>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</si>
  <si>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</si>
  <si>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</si>
  <si>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</si>
  <si>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</si>
  <si>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</si>
  <si>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</si>
  <si>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</si>
  <si>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</si>
  <si>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</si>
  <si>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</si>
  <si>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</si>
  <si>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</si>
  <si>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</si>
  <si>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</si>
  <si>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</si>
  <si>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</si>
  <si>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</si>
  <si>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</si>
  <si>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</si>
  <si>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</si>
  <si>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</si>
  <si>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</si>
  <si>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</si>
  <si>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</si>
  <si>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</si>
  <si>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</si>
  <si>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</si>
  <si>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</si>
  <si>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</si>
  <si>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</si>
  <si>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</si>
  <si>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</si>
  <si>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</si>
  <si>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</si>
  <si>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</si>
  <si>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</si>
  <si>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</si>
  <si>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</si>
  <si>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</si>
  <si>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</si>
  <si>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</si>
  <si>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</si>
  <si>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</si>
  <si>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</si>
  <si>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</si>
  <si>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</si>
  <si>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</si>
  <si>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</si>
  <si>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</si>
  <si>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</si>
  <si>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</si>
  <si>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</si>
  <si>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</si>
  <si>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</si>
  <si>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</si>
  <si>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</si>
  <si>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</si>
  <si>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</si>
  <si>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</si>
  <si>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</si>
  <si>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</si>
  <si>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</si>
  <si>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</si>
  <si>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</si>
  <si>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</si>
  <si>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</si>
  <si>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</si>
  <si>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</si>
  <si>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</si>
  <si>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</si>
  <si>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</si>
  <si>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</si>
  <si>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</si>
  <si>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</si>
  <si>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</si>
  <si>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</si>
  <si>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</si>
  <si>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</si>
  <si>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</si>
  <si>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</si>
  <si>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</si>
  <si>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</si>
  <si>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</si>
  <si>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</si>
  <si>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</si>
  <si>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</si>
  <si>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</si>
  <si>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</si>
  <si>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</si>
  <si>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</si>
  <si>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</si>
  <si>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</si>
  <si>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</si>
  <si>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</si>
  <si>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</si>
  <si>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</si>
  <si>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</si>
  <si>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</si>
  <si>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</si>
  <si>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</si>
  <si>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</si>
  <si>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</si>
  <si>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</si>
  <si>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</si>
  <si>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</si>
  <si>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</si>
  <si>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</si>
  <si>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</si>
  <si>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</si>
  <si>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</si>
  <si>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</si>
  <si>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</si>
  <si>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</si>
  <si>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</si>
  <si>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</si>
  <si>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</si>
  <si>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</si>
  <si>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</si>
  <si>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</si>
  <si>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</si>
  <si>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</si>
  <si>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</si>
  <si>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</si>
  <si>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</si>
  <si>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</si>
  <si>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</si>
  <si>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</si>
  <si>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</si>
  <si>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</si>
  <si>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</si>
  <si>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</si>
  <si>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</si>
  <si>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</si>
  <si>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</si>
  <si>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</si>
  <si>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</si>
  <si>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</si>
  <si>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</si>
  <si>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</si>
  <si>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</si>
  <si>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</si>
  <si>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</si>
  <si>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</si>
  <si>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</si>
  <si>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</si>
  <si>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</si>
  <si>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</si>
  <si>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</si>
  <si>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</si>
  <si>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</si>
  <si>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</si>
  <si>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</si>
  <si>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</si>
  <si>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</si>
  <si>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</si>
  <si>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</si>
  <si>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</si>
  <si>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</si>
  <si>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</si>
  <si>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</si>
  <si>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</si>
  <si>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</si>
  <si>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</si>
  <si>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</si>
  <si>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</si>
  <si>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</si>
  <si>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</si>
  <si>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</si>
  <si>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</si>
  <si>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</si>
  <si>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</si>
  <si>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</si>
  <si>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</si>
  <si>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</si>
  <si>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</si>
  <si>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</si>
  <si>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</si>
  <si>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</si>
  <si>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</si>
  <si>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</si>
  <si>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</si>
  <si>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</si>
  <si>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</si>
  <si>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</si>
  <si>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</si>
  <si>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</si>
  <si>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</si>
  <si>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</si>
  <si>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</si>
  <si>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</si>
  <si>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</si>
  <si>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</si>
  <si>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</si>
  <si>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</si>
  <si>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</si>
  <si>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</si>
  <si>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</si>
  <si>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</si>
  <si>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</si>
  <si>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</si>
  <si>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</si>
  <si>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</si>
  <si>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</si>
  <si>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</si>
  <si>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</si>
  <si>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</si>
  <si>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</si>
  <si>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</si>
  <si>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</si>
  <si>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</si>
  <si>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</si>
  <si>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</si>
  <si>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</si>
  <si>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</si>
  <si>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</si>
  <si>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</si>
  <si>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</si>
  <si>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</si>
  <si>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</si>
  <si>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</si>
  <si>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</si>
  <si>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</si>
  <si>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</si>
  <si>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</si>
  <si>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</si>
  <si>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</si>
  <si>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</si>
  <si>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</si>
  <si>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</si>
  <si>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</si>
  <si>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</si>
  <si>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</si>
  <si>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</si>
  <si>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</si>
  <si>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</si>
  <si>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</si>
  <si>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</si>
  <si>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</si>
  <si>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</si>
  <si>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</si>
  <si>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</si>
  <si>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</si>
  <si>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</si>
  <si>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Erlebnishotel zur Schiffsmühle</t>
  </si>
  <si>
    <t>inkl. Frst.</t>
  </si>
  <si>
    <t>bis €37,00 ok. Trotzdem VK bei TRIPZ verifizieren und dabei bitte mit €79,00 ins Gespräch gehen. MB</t>
  </si>
  <si>
    <t>lt. Tripz 69€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</si>
</sst>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9" sqref="H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45777</v>
      </c>
      <c r="E5" s="151" t="s">
        <v>5</v>
      </c>
      <c r="F5" s="153">
        <v>69</v>
      </c>
      <c r="G5" s="44" t="s">
        <v>299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32.590000000000003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0.8</v>
      </c>
      <c r="E9" s="156" t="s">
        <v>246</v>
      </c>
      <c r="F9" s="157">
        <f>IFERROR(J26,"Bitte Produkt auswählen")</f>
        <v>0.4277858603025011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2992.9999999999995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448.94999999999993</v>
      </c>
      <c r="E11" s="167" t="s">
        <v>14</v>
      </c>
      <c r="F11" s="242">
        <f>+I26</f>
        <v>17475.975000000002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140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307</v>
      </c>
      <c r="F24" s="76">
        <v>3</v>
      </c>
      <c r="G24" s="77">
        <f>F12*D24</f>
        <v>10000</v>
      </c>
      <c r="H24" s="77">
        <f>$E24*$F$10*1.1-$G24</f>
        <v>7475.9750000000022</v>
      </c>
      <c r="I24" s="77">
        <f>G24+H24</f>
        <v>17475.975000000002</v>
      </c>
      <c r="J24" s="78">
        <f t="shared" si="16"/>
        <v>0.4277858603025011</v>
      </c>
      <c r="K24" s="77">
        <v>0</v>
      </c>
      <c r="L24" s="77">
        <v>0</v>
      </c>
      <c r="M24" s="77">
        <f>G24*1.19-G24</f>
        <v>1900</v>
      </c>
      <c r="N24" s="77">
        <f t="shared" si="5"/>
        <v>754.64437499999997</v>
      </c>
      <c r="O24" s="77">
        <f>L24-M24-N24</f>
        <v>-2654.6443749999999</v>
      </c>
      <c r="P24" s="79">
        <f>IFERROR($H24-L24,"")</f>
        <v>7475.9750000000022</v>
      </c>
      <c r="Q24" s="78">
        <f>IFERROR(($H24-L24)/$I24,"")</f>
        <v>0.4277858603025011</v>
      </c>
      <c r="R24" s="80">
        <f>IFERROR((1-Q24)*F24,"")</f>
        <v>1.7166424190924967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307</v>
      </c>
      <c r="F26" s="89"/>
      <c r="G26" s="89">
        <f>SUBTOTAL(9,G19:G24)</f>
        <v>10000</v>
      </c>
      <c r="H26" s="89">
        <f>SUBTOTAL(9,H19:H24)</f>
        <v>7475.9750000000022</v>
      </c>
      <c r="I26" s="89">
        <f>SUBTOTAL(9,I19:I24)</f>
        <v>17475.975000000002</v>
      </c>
      <c r="J26" s="90">
        <f>H26/I26</f>
        <v>0.4277858603025011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754.64437499999997</v>
      </c>
      <c r="O26" s="89">
        <f t="shared" si="25"/>
        <v>-2654.6443749999999</v>
      </c>
      <c r="P26" s="89">
        <f t="shared" si="25"/>
        <v>7475.9750000000022</v>
      </c>
      <c r="Q26" s="90">
        <f>($H26-L26)/$I26</f>
        <v>0.4277858603025011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6" workbookViewId="0">
      <selection activeCell="F8" sqref="F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307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307 Gutscheine x 32,59€ je Gutschein</v>
      </c>
      <c r="C24" s="237">
        <f>IFERROR(C7*'Preise Output'!$F$7,"--")</f>
        <v>10005.130000000001</v>
      </c>
    </row>
    <row r="25" spans="2:8" x14ac:dyDescent="0.4">
      <c r="B25" s="97" t="str">
        <f>"Das enspricht "&amp;TEXT('Preise Output'!E26/('Preise Output'!C10),"0,0%") &amp; " des Leerstands p.a."</f>
        <v>Das enspricht 10,3%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592.90910000000008</v>
      </c>
      <c r="E26" s="223">
        <v>7.0000000000000007E-2</v>
      </c>
      <c r="F26" s="162">
        <f>C24-F27</f>
        <v>8470.130000000001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291.64999999999998</v>
      </c>
      <c r="E27" s="223">
        <v>0.19</v>
      </c>
      <c r="F27" s="162">
        <f>G27*C7</f>
        <v>1535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307 Roomnights</v>
      </c>
      <c r="C31" s="237">
        <f>C7*C4</f>
        <v>5219</v>
      </c>
    </row>
    <row r="32" spans="2:8" x14ac:dyDescent="0.4">
      <c r="B32" s="108" t="s">
        <v>293</v>
      </c>
      <c r="C32" s="229">
        <f>C26+C27</f>
        <v>884.55910000000006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4506.9204445378155</v>
      </c>
    </row>
    <row r="36" spans="2:3" x14ac:dyDescent="0.4">
      <c r="B36" s="102" t="s">
        <v>65</v>
      </c>
      <c r="C36" s="239">
        <f>C12-C34</f>
        <v>3896.4409000000005</v>
      </c>
    </row>
    <row r="37" spans="2:3" x14ac:dyDescent="0.4">
      <c r="B37" s="97" t="s">
        <v>289</v>
      </c>
      <c r="C37" s="240">
        <f>C36/C12</f>
        <v>0.46367646709999999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9210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9210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9210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9210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F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G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H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I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J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K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L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M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N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R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S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T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U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V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W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X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Y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Z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667.72500000000002</v>
      </c>
      <c r="AM7" s="130"/>
      <c r="AN7" s="130">
        <f t="shared" ref="AN7:AN43" si="0">SUM(D7:AM7)</f>
        <v>20031.749999999996</v>
      </c>
      <c r="AQ7" s="130">
        <f t="shared" ref="AQ7:AQ45" si="1">SUM(D7:F7)</f>
        <v>1335.45</v>
      </c>
      <c r="AR7" s="130">
        <f t="shared" ref="AR7:AR45" si="2">SUM(G7:I7)</f>
        <v>2003.1750000000002</v>
      </c>
      <c r="AS7" s="130">
        <f t="shared" ref="AS7:AS45" si="3">SUM(J7:L7)</f>
        <v>2003.1750000000002</v>
      </c>
      <c r="AT7" s="130">
        <f t="shared" ref="AT7:AT45" si="4">SUM(M7:O7)</f>
        <v>1335.45</v>
      </c>
      <c r="AU7" s="130">
        <f t="shared" ref="AU7:AU45" si="5">SUM(P7:R7)</f>
        <v>1335.45</v>
      </c>
      <c r="AV7" s="130">
        <f t="shared" ref="AV7:AV45" si="6">SUM(S7:U7)</f>
        <v>2003.1750000000002</v>
      </c>
      <c r="AW7" s="130">
        <f t="shared" ref="AW7:AW45" si="7">SUM(V7:X7)</f>
        <v>2003.1750000000002</v>
      </c>
      <c r="AX7" s="130">
        <f t="shared" ref="AX7:AX45" si="8">SUM(Y7:AA7)</f>
        <v>1335.45</v>
      </c>
      <c r="AY7" s="130">
        <f t="shared" ref="AY7:AY45" si="9">SUM(AB7:AD7)</f>
        <v>1335.45</v>
      </c>
      <c r="AZ7" s="130">
        <f t="shared" ref="AZ7:AZ45" si="10">SUM(AE7:AG7)</f>
        <v>2003.1750000000002</v>
      </c>
      <c r="BA7" s="130">
        <f t="shared" ref="BA7:BA45" si="11">SUM(AH7:AJ7)</f>
        <v>2003.1750000000002</v>
      </c>
      <c r="BB7" s="130">
        <f t="shared" ref="BB7:BB45" si="12">SUM(AK7:AM7)</f>
        <v>1335.45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17475.975000000002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C8564DFE-92CF-4A2A-A8B2-C85AD8B5CAFF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2025-05-02T12:35:57Z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