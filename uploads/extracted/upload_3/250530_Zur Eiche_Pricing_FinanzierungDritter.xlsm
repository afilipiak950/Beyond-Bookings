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ir Hotels/Flair Hotel Zur Eiche/"/>
    </mc:Choice>
  </mc:AlternateContent>
  <xr:revisionPtr revIDLastSave="114" documentId="8_{207F9823-9F7A-439A-86BD-E629EE244269}" xr6:coauthVersionLast="47" xr6:coauthVersionMax="47" xr10:uidLastSave="{0414C11D-2411-42FA-A990-E8EC34A41ADB}"/>
  <bookViews>
    <workbookView xWindow="951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<sst xmlns="http://schemas.openxmlformats.org/spreadsheetml/2006/main" count="512" uniqueCount="299">
  <si>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</si>
  <si>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</si>
  <si>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</si>
  <si>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</si>
  <si>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</si>
  <si>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</si>
  <si>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</si>
  <si>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</si>
  <si>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</si>
  <si>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</si>
  <si>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</si>
  <si>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</si>
  <si>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</si>
  <si>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</si>
  <si>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</si>
  <si>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</si>
  <si>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</si>
  <si>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</si>
  <si>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</si>
  <si>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</si>
  <si>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</si>
  <si>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</si>
  <si>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</si>
  <si>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</si>
  <si>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</si>
  <si>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</si>
  <si>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</si>
  <si>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</si>
  <si>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</si>
  <si>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</si>
  <si>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</si>
  <si>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</si>
  <si>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</si>
  <si>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</si>
  <si>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</si>
  <si>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</si>
  <si>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</si>
  <si>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</si>
  <si>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</si>
  <si>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</si>
  <si>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</si>
  <si>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</si>
  <si>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</si>
  <si>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</si>
  <si>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</si>
  <si>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</si>
  <si>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</si>
  <si>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</si>
  <si>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</si>
  <si>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</si>
  <si>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</si>
  <si>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</si>
  <si>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</si>
  <si>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</si>
  <si>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</si>
  <si>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</si>
  <si>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</si>
  <si>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</si>
  <si>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</si>
  <si>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</si>
  <si>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</si>
  <si>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</si>
  <si>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</si>
  <si>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</si>
  <si>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</si>
  <si>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</si>
  <si>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</si>
  <si>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</si>
  <si>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</si>
  <si>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</si>
  <si>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</si>
  <si>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</si>
  <si>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</si>
  <si>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</si>
  <si>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</si>
  <si>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</si>
  <si>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</si>
  <si>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</si>
  <si>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</si>
  <si>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</si>
  <si>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</si>
  <si>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</si>
  <si>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</si>
  <si>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</si>
  <si>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</si>
  <si>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</si>
  <si>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</si>
  <si>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</si>
  <si>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</si>
  <si>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</si>
  <si>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</si>
  <si>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</si>
  <si>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</si>
  <si>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</si>
  <si>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</si>
  <si>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</si>
  <si>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</si>
  <si>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</si>
  <si>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</si>
  <si>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</si>
  <si>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</si>
  <si>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</si>
  <si>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</si>
  <si>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</si>
  <si>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</si>
  <si>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</si>
  <si>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</si>
  <si>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</si>
  <si>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</si>
  <si>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</si>
  <si>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</si>
  <si>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</si>
  <si>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</si>
  <si>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</si>
  <si>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</si>
  <si>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</si>
  <si>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</si>
  <si>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</si>
  <si>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</si>
  <si>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</si>
  <si>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</si>
  <si>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</si>
  <si>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</si>
  <si>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</si>
  <si>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</si>
  <si>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</si>
  <si>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</si>
  <si>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</si>
  <si>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</si>
  <si>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</si>
  <si>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</si>
  <si>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</si>
  <si>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</si>
  <si>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</si>
  <si>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</si>
  <si>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</si>
  <si>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</si>
  <si>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</si>
  <si>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</si>
  <si>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</si>
  <si>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</si>
  <si>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</si>
  <si>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</si>
  <si>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</si>
  <si>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</si>
  <si>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</si>
  <si>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</si>
  <si>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</si>
  <si>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</si>
  <si>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</si>
  <si>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</si>
  <si>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</si>
  <si>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</si>
  <si>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</si>
  <si>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</si>
  <si>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</si>
  <si>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</si>
  <si>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</si>
  <si>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</si>
  <si>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</si>
  <si>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</si>
  <si>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</si>
  <si>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</si>
  <si>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</si>
  <si>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</si>
  <si>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</si>
  <si>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</si>
  <si>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</si>
  <si>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</si>
  <si>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</si>
  <si>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</si>
  <si>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</si>
  <si>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</si>
  <si>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</si>
  <si>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</si>
  <si>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</si>
  <si>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</si>
  <si>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</si>
  <si>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</si>
  <si>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</si>
  <si>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</si>
  <si>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</si>
  <si>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</si>
  <si>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</si>
  <si>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</si>
  <si>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</si>
  <si>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</si>
  <si>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</si>
  <si>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</si>
  <si>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</si>
  <si>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</si>
  <si>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</si>
  <si>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</si>
  <si>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</si>
  <si>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</si>
  <si>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</si>
  <si>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</si>
  <si>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</si>
  <si>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</si>
  <si>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</si>
  <si>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</si>
  <si>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</si>
  <si>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</si>
  <si>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</si>
  <si>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</si>
  <si>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</si>
  <si>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</si>
  <si>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</si>
  <si>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</si>
  <si>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</si>
  <si>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</si>
  <si>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</si>
  <si>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</si>
  <si>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</si>
  <si>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</si>
  <si>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</si>
  <si>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</si>
  <si>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</si>
  <si>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</si>
  <si>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</si>
  <si>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</si>
  <si>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</si>
  <si>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</si>
  <si>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</si>
  <si>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</si>
  <si>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</si>
  <si>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</si>
  <si>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</si>
  <si>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</si>
  <si>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</si>
  <si>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</si>
  <si>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</si>
  <si>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</si>
  <si>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</si>
  <si>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</si>
  <si>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</si>
  <si>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</si>
  <si>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</si>
  <si>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</si>
  <si>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</si>
  <si>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</si>
  <si>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</si>
  <si>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</si>
  <si>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</si>
  <si>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</si>
  <si>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</si>
  <si>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</si>
  <si>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</si>
  <si>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</si>
  <si>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</si>
  <si>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</si>
  <si>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</si>
  <si>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</si>
  <si>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</si>
  <si>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</si>
  <si>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</si>
  <si>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</si>
  <si>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</si>
  <si>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</si>
  <si>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</si>
  <si>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</si>
  <si>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</si>
  <si>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</si>
  <si>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</si>
  <si>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</si>
  <si>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</si>
  <si>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</si>
  <si>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</si>
  <si>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</si>
  <si>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</si>
  <si>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</si>
  <si>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</si>
  <si>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</si>
  <si>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</si>
  <si>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</si>
  <si>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</si>
  <si>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</si>
  <si>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</si>
  <si>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</si>
  <si>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</si>
  <si>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</si>
  <si>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</si>
  <si>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</si>
  <si>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</si>
  <si>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</si>
  <si>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</si>
  <si>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</si>
  <si>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</si>
  <si>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</si>
  <si>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</si>
  <si>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</si>
  <si>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</si>
  <si>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</si>
  <si>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</si>
  <si>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</si>
  <si>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</si>
  <si>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Flair Hotel Zur Eiche</t>
  </si>
  <si>
    <t>inkl. bfst</t>
  </si>
  <si>
    <t>ok via TRIPZ.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</si>
</sst>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45807</v>
      </c>
      <c r="E5" s="151" t="s">
        <v>5</v>
      </c>
      <c r="F5" s="153">
        <v>59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81.25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34.99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0.28124452510478115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2299.5000000000005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344.92500000000007</v>
      </c>
      <c r="E11" s="167" t="s">
        <v>14</v>
      </c>
      <c r="F11" s="242">
        <f>+I26</f>
        <v>16695.525000000001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125</v>
      </c>
      <c r="D12" s="61"/>
      <c r="E12" s="155" t="s">
        <v>243</v>
      </c>
      <c r="F12" s="241">
        <v>12000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343</v>
      </c>
      <c r="F24" s="76">
        <v>3</v>
      </c>
      <c r="G24" s="77">
        <f>F12*D24</f>
        <v>12000</v>
      </c>
      <c r="H24" s="77">
        <f>$E24*$F$10*1.1-$G24</f>
        <v>4695.5250000000015</v>
      </c>
      <c r="I24" s="77">
        <f>G24+H24</f>
        <v>16695.525000000001</v>
      </c>
      <c r="J24" s="78">
        <f t="shared" si="16"/>
        <v>0.28124452510478115</v>
      </c>
      <c r="K24" s="77">
        <v>0</v>
      </c>
      <c r="L24" s="77">
        <v>0</v>
      </c>
      <c r="M24" s="77">
        <f>G24*1.19-G24</f>
        <v>2280</v>
      </c>
      <c r="N24" s="77">
        <f t="shared" si="5"/>
        <v>720.94312500000001</v>
      </c>
      <c r="O24" s="77">
        <f>L24-M24-N24</f>
        <v>-3000.9431249999998</v>
      </c>
      <c r="P24" s="79">
        <f>IFERROR($H24-L24,"")</f>
        <v>4695.5250000000015</v>
      </c>
      <c r="Q24" s="78">
        <f>IFERROR(($H24-L24)/$I24,"")</f>
        <v>0.28124452510478115</v>
      </c>
      <c r="R24" s="80">
        <f>IFERROR((1-Q24)*F24,"")</f>
        <v>2.1562664246856564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343</v>
      </c>
      <c r="F26" s="89"/>
      <c r="G26" s="89">
        <f>SUBTOTAL(9,G19:G24)</f>
        <v>12000</v>
      </c>
      <c r="H26" s="89">
        <f>SUBTOTAL(9,H19:H24)</f>
        <v>4695.5250000000015</v>
      </c>
      <c r="I26" s="89">
        <f>SUBTOTAL(9,I19:I24)</f>
        <v>16695.525000000001</v>
      </c>
      <c r="J26" s="90">
        <f>H26/I26</f>
        <v>0.28124452510478115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2280</v>
      </c>
      <c r="N26" s="89">
        <f t="shared" si="25"/>
        <v>720.94312500000001</v>
      </c>
      <c r="O26" s="89">
        <f t="shared" si="25"/>
        <v>-3000.9431249999998</v>
      </c>
      <c r="P26" s="89">
        <f t="shared" si="25"/>
        <v>4695.5250000000015</v>
      </c>
      <c r="Q26" s="90">
        <f>($H26-L26)/$I26</f>
        <v>0.28124452510478115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70" zoomScaleNormal="70" workbookViewId="0">
      <selection activeCell="G7" sqref="G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343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10084.033613445379</v>
      </c>
    </row>
    <row r="12" spans="2:11" x14ac:dyDescent="0.4">
      <c r="B12" s="212" t="s">
        <v>285</v>
      </c>
      <c r="C12" s="230">
        <f>F13+F14</f>
        <v>10084.033613445379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1915.966386554622</v>
      </c>
      <c r="E14" s="223">
        <v>0.19</v>
      </c>
      <c r="F14" s="162">
        <f>(F18-F13*(1+E13))/(1+E14)</f>
        <v>10084.033613445379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12000.000000000002</v>
      </c>
      <c r="F18" s="97">
        <f>'Preise Output'!G26</f>
        <v>12000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343 Gutscheine x 34,99€ je Gutschein</v>
      </c>
      <c r="C24" s="237">
        <f>IFERROR(C7*'Preise Output'!$F$7,"--")</f>
        <v>12001.570000000002</v>
      </c>
    </row>
    <row r="25" spans="2:8" x14ac:dyDescent="0.4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720.0599000000002</v>
      </c>
      <c r="E26" s="223">
        <v>7.0000000000000007E-2</v>
      </c>
      <c r="F26" s="162">
        <f>C24-F27</f>
        <v>10286.570000000002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325.85000000000002</v>
      </c>
      <c r="E27" s="223">
        <v>0.19</v>
      </c>
      <c r="F27" s="162">
        <f>G27*C7</f>
        <v>1715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343 Roomnights</v>
      </c>
      <c r="C31" s="237">
        <f>C7*C4</f>
        <v>5831</v>
      </c>
    </row>
    <row r="32" spans="2:8" x14ac:dyDescent="0.4">
      <c r="B32" s="108" t="s">
        <v>293</v>
      </c>
      <c r="C32" s="229">
        <f>C26+C27</f>
        <v>1045.9099000000001</v>
      </c>
    </row>
    <row r="33" spans="2:3" ht="14.5" thickBot="1" x14ac:dyDescent="0.45">
      <c r="B33" s="115" t="s">
        <v>288</v>
      </c>
      <c r="C33" s="238">
        <f>-(C13+C14)</f>
        <v>-1915.966386554622</v>
      </c>
    </row>
    <row r="34" spans="2:3" x14ac:dyDescent="0.4">
      <c r="B34" s="96" t="s">
        <v>271</v>
      </c>
      <c r="C34" s="236">
        <f>SUM(C31:C33)</f>
        <v>4960.9435134453788</v>
      </c>
    </row>
    <row r="36" spans="2:3" x14ac:dyDescent="0.4">
      <c r="B36" s="102" t="s">
        <v>65</v>
      </c>
      <c r="C36" s="239">
        <f>C12-C34</f>
        <v>5123.0901000000003</v>
      </c>
    </row>
    <row r="37" spans="2:3" x14ac:dyDescent="0.4">
      <c r="B37" s="97" t="s">
        <v>289</v>
      </c>
      <c r="C37" s="240">
        <f>C36/C12</f>
        <v>0.50803976824999997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10084.033613445379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10084.033613445379</v>
      </c>
      <c r="R16" s="35">
        <f t="shared" si="4"/>
        <v>3361.3445378151264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10084.033613445379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11524.033613445379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10290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10290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10290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10290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F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G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H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I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J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K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L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M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N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R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S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T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U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V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W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X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Y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Z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488.77499999999998</v>
      </c>
      <c r="AM7" s="130"/>
      <c r="AN7" s="130">
        <f t="shared" ref="AN7:AN43" si="0">SUM(D7:AM7)</f>
        <v>14663.249999999993</v>
      </c>
      <c r="AQ7" s="130">
        <f t="shared" ref="AQ7:AQ45" si="1">SUM(D7:F7)</f>
        <v>977.55</v>
      </c>
      <c r="AR7" s="130">
        <f t="shared" ref="AR7:AR45" si="2">SUM(G7:I7)</f>
        <v>1466.3249999999998</v>
      </c>
      <c r="AS7" s="130">
        <f t="shared" ref="AS7:AS45" si="3">SUM(J7:L7)</f>
        <v>1466.3249999999998</v>
      </c>
      <c r="AT7" s="130">
        <f t="shared" ref="AT7:AT45" si="4">SUM(M7:O7)</f>
        <v>977.55</v>
      </c>
      <c r="AU7" s="130">
        <f t="shared" ref="AU7:AU45" si="5">SUM(P7:R7)</f>
        <v>977.55</v>
      </c>
      <c r="AV7" s="130">
        <f t="shared" ref="AV7:AV45" si="6">SUM(S7:U7)</f>
        <v>1466.3249999999998</v>
      </c>
      <c r="AW7" s="130">
        <f t="shared" ref="AW7:AW45" si="7">SUM(V7:X7)</f>
        <v>1466.3249999999998</v>
      </c>
      <c r="AX7" s="130">
        <f t="shared" ref="AX7:AX45" si="8">SUM(Y7:AA7)</f>
        <v>977.55</v>
      </c>
      <c r="AY7" s="130">
        <f t="shared" ref="AY7:AY45" si="9">SUM(AB7:AD7)</f>
        <v>977.55</v>
      </c>
      <c r="AZ7" s="130">
        <f t="shared" ref="AZ7:AZ45" si="10">SUM(AE7:AG7)</f>
        <v>1466.3249999999998</v>
      </c>
      <c r="BA7" s="130">
        <f t="shared" ref="BA7:BA45" si="11">SUM(AH7:AJ7)</f>
        <v>1466.3249999999998</v>
      </c>
      <c r="BB7" s="130">
        <f t="shared" ref="BB7:BB45" si="12">SUM(AK7:AM7)</f>
        <v>977.55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-12000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-12000</v>
      </c>
      <c r="AQ42" s="134">
        <f t="shared" si="1"/>
        <v>-12000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16695.525000000001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B16C4E-6D98-4BF7-9BF4-B0C9B49B9C9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2025-06-05T12:04:12Z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