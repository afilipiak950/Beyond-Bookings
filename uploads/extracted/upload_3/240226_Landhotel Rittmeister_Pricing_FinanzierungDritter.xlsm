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andhotel Rittmeister/"/>
    </mc:Choice>
  </mc:AlternateContent>
  <xr:revisionPtr revIDLastSave="24" documentId="14_{61DF49D6-C83E-4AA9-933E-0F472675CD81}" xr6:coauthVersionLast="47" xr6:coauthVersionMax="47" xr10:uidLastSave="{E3D93DA7-1D1D-4183-8E6A-9698B7713548}"/>
  <bookViews>
    <workbookView xWindow="9510" yWindow="0" windowWidth="9780" windowHeight="10170" firstSheet="2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/>
  <c r="F7" i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H45" i="4"/>
  <c r="I45" i="4"/>
  <c r="F46" i="4"/>
  <c r="H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Q42" i="4" l="1"/>
  <c r="R42" i="4" s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M52" i="4"/>
  <c r="M50" i="4"/>
  <c r="G48" i="4"/>
  <c r="G21" i="4" s="1"/>
  <c r="Q21" i="4" s="1"/>
  <c r="R21" i="4" s="1"/>
  <c r="G47" i="4"/>
  <c r="G20" i="4" s="1"/>
  <c r="H20" i="4"/>
  <c r="G49" i="4"/>
  <c r="G53" i="4"/>
  <c r="G26" i="4" s="1"/>
  <c r="G52" i="4"/>
  <c r="G25" i="4" s="1"/>
  <c r="G51" i="4"/>
  <c r="G50" i="4"/>
  <c r="G23" i="4" s="1"/>
  <c r="H25" i="4"/>
  <c r="H23" i="4"/>
  <c r="G24" i="4"/>
  <c r="G22" i="4"/>
  <c r="M26" i="4"/>
  <c r="M24" i="4"/>
  <c r="M25" i="4"/>
  <c r="M23" i="4"/>
  <c r="H26" i="4"/>
  <c r="H24" i="4"/>
  <c r="I25" i="4"/>
  <c r="Q38" i="4"/>
  <c r="C20" i="12" l="1"/>
  <c r="Q20" i="4"/>
  <c r="Q47" i="4"/>
  <c r="R47" i="4" s="1"/>
  <c r="Q25" i="4"/>
  <c r="G10" i="4"/>
  <c r="N46" i="4" l="1"/>
  <c r="N45" i="4"/>
  <c r="J46" i="4"/>
  <c r="J45" i="4"/>
  <c r="N19" i="4" l="1"/>
  <c r="N18" i="4"/>
  <c r="J19" i="4"/>
  <c r="J18" i="4"/>
  <c r="I19" i="4"/>
  <c r="I18" i="4"/>
  <c r="I46" i="4" s="1"/>
  <c r="G19" i="4"/>
  <c r="G18" i="4"/>
  <c r="G17" i="4"/>
  <c r="J17" i="4"/>
  <c r="N17" i="4"/>
  <c r="Q22" i="4"/>
  <c r="R22" i="4" s="1"/>
  <c r="H52" i="4"/>
  <c r="Q52" i="4" s="1"/>
  <c r="R52" i="4" s="1"/>
  <c r="H51" i="4"/>
  <c r="I26" i="4"/>
  <c r="Q26" i="4" s="1"/>
  <c r="I52" i="4"/>
  <c r="K53" i="4"/>
  <c r="K52" i="4"/>
  <c r="H53" i="4"/>
  <c r="H50" i="4"/>
  <c r="Q17" i="4" l="1"/>
  <c r="G45" i="4"/>
  <c r="Q45" i="4" s="1"/>
  <c r="R45" i="4" s="1"/>
  <c r="G46" i="4"/>
  <c r="Q46" i="4" s="1"/>
  <c r="R46" i="4" s="1"/>
  <c r="Q18" i="4"/>
  <c r="R18" i="4" s="1"/>
  <c r="Q19" i="4"/>
  <c r="R19" i="4" s="1"/>
  <c r="R26" i="4"/>
  <c r="R25" i="4"/>
  <c r="I53" i="4"/>
  <c r="Q53" i="4" s="1"/>
  <c r="R53" i="4" s="1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J34" i="4"/>
  <c r="J35" i="4"/>
  <c r="J36" i="4"/>
  <c r="J37" i="4"/>
  <c r="J33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Q23" i="4" l="1"/>
  <c r="I50" i="4"/>
  <c r="Q50" i="4" s="1"/>
  <c r="R50" i="4" s="1"/>
  <c r="I24" i="4"/>
  <c r="R23" i="4"/>
  <c r="Q9" i="10"/>
  <c r="J14" i="10"/>
  <c r="H14" i="10"/>
  <c r="K14" i="10"/>
  <c r="G14" i="10"/>
  <c r="I14" i="10"/>
  <c r="L14" i="10"/>
  <c r="M14" i="10"/>
  <c r="F14" i="10"/>
  <c r="R14" i="4"/>
  <c r="I51" i="4" l="1"/>
  <c r="Q51" i="4" s="1"/>
  <c r="R51" i="4" s="1"/>
  <c r="Q24" i="4"/>
  <c r="R24" i="4" s="1"/>
  <c r="Q14" i="10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R33" i="4" s="1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5" i="4" s="1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F18" i="8" l="1"/>
  <c r="F14" i="8" s="1"/>
  <c r="R7" i="4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<sst xmlns="http://schemas.openxmlformats.org/spreadsheetml/2006/main" count="510" uniqueCount="297">
  <si>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</si>
  <si>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</si>
  <si>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</si>
  <si>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</si>
  <si>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</si>
  <si>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</si>
  <si>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</si>
  <si>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</si>
  <si>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</si>
  <si>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</si>
  <si>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</si>
  <si>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</si>
  <si>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</si>
  <si>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</si>
  <si>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</si>
  <si>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</si>
  <si>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</si>
  <si>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</si>
  <si>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</si>
  <si>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</si>
  <si>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</si>
  <si>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</si>
  <si>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</si>
  <si>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</si>
  <si>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</si>
  <si>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</si>
  <si>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</si>
  <si>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</si>
  <si>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</si>
  <si>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</si>
  <si>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</si>
  <si>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</si>
  <si>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</si>
  <si>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</si>
  <si>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</si>
  <si>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</si>
  <si>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</si>
  <si>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</si>
  <si>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</si>
  <si>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</si>
  <si>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</si>
  <si>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</si>
  <si>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</si>
  <si>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</si>
  <si>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</si>
  <si>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</si>
  <si>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</si>
  <si>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</si>
  <si>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</si>
  <si>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</si>
  <si>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</si>
  <si>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</si>
  <si>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</si>
  <si>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</si>
  <si>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</si>
  <si>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</si>
  <si>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</si>
  <si>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</si>
  <si>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</si>
  <si>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</si>
  <si>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</si>
  <si>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</si>
  <si>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</si>
  <si>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</si>
  <si>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</si>
  <si>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</si>
  <si>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</si>
  <si>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</si>
  <si>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</si>
  <si>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</si>
  <si>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</si>
  <si>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</si>
  <si>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</si>
  <si>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</si>
  <si>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</si>
  <si>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</si>
  <si>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</si>
  <si>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</si>
  <si>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</si>
  <si>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</si>
  <si>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</si>
  <si>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</si>
  <si>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</si>
  <si>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</si>
  <si>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</si>
  <si>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</si>
  <si>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</si>
  <si>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</si>
  <si>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</si>
  <si>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</si>
  <si>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</si>
  <si>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</si>
  <si>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</si>
  <si>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</si>
  <si>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</si>
  <si>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</si>
  <si>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</si>
  <si>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</si>
  <si>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</si>
  <si>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</si>
  <si>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</si>
  <si>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</si>
  <si>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</si>
  <si>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</si>
  <si>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</si>
  <si>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</si>
  <si>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</si>
  <si>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</si>
  <si>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</si>
  <si>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</si>
  <si>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</si>
  <si>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</si>
  <si>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</si>
  <si>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</si>
  <si>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</si>
  <si>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</si>
  <si>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</si>
  <si>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</si>
  <si>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</si>
  <si>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</si>
  <si>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</si>
  <si>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</si>
  <si>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</si>
  <si>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</si>
  <si>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</si>
  <si>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</si>
  <si>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</si>
  <si>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</si>
  <si>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</si>
  <si>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</si>
  <si>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</si>
  <si>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</si>
  <si>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</si>
  <si>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</si>
  <si>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</si>
  <si>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</si>
  <si>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</si>
  <si>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</si>
  <si>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</si>
  <si>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</si>
  <si>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</si>
  <si>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</si>
  <si>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</si>
  <si>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</si>
  <si>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</si>
  <si>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</si>
  <si>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</si>
  <si>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</si>
  <si>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</si>
  <si>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</si>
  <si>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</si>
  <si>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</si>
  <si>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</si>
  <si>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</si>
  <si>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</si>
  <si>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</si>
  <si>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</si>
  <si>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</si>
  <si>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</si>
  <si>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</si>
  <si>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</si>
  <si>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</si>
  <si>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</si>
  <si>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</si>
  <si>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</si>
  <si>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</si>
  <si>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</si>
  <si>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</si>
  <si>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</si>
  <si>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</si>
  <si>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</si>
  <si>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</si>
  <si>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</si>
  <si>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</si>
  <si>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</si>
  <si>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</si>
  <si>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</si>
  <si>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</si>
  <si>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</si>
  <si>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</si>
  <si>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</si>
  <si>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</si>
  <si>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</si>
  <si>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</si>
  <si>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</si>
  <si>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</si>
  <si>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</si>
  <si>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</si>
  <si>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</si>
  <si>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</si>
  <si>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</si>
  <si>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</si>
  <si>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</si>
  <si>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</si>
  <si>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</si>
  <si>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</si>
  <si>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</si>
  <si>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</si>
  <si>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</si>
  <si>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</si>
  <si>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</si>
  <si>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</si>
  <si>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</si>
  <si>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</si>
  <si>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</si>
  <si>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</si>
  <si>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</si>
  <si>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</si>
  <si>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</si>
  <si>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</si>
  <si>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</si>
  <si>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</si>
  <si>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</si>
  <si>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</si>
  <si>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</si>
  <si>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</si>
  <si>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</si>
  <si>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</si>
  <si>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</si>
  <si>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</si>
  <si>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</si>
  <si>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</si>
  <si>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</si>
  <si>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</si>
  <si>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</si>
  <si>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</si>
  <si>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</si>
  <si>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</si>
  <si>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</si>
  <si>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</si>
  <si>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</si>
  <si>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</si>
  <si>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</si>
  <si>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</si>
  <si>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</si>
  <si>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</si>
  <si>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</si>
  <si>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</si>
  <si>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</si>
  <si>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</si>
  <si>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</si>
  <si>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</si>
  <si>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</si>
  <si>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</si>
  <si>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</si>
  <si>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</si>
  <si>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</si>
  <si>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</si>
  <si>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</si>
  <si>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</si>
  <si>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</si>
  <si>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</si>
  <si>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</si>
  <si>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</si>
  <si>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</si>
  <si>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</si>
  <si>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</si>
  <si>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</si>
  <si>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</si>
  <si>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</si>
  <si>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</si>
  <si>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</si>
  <si>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</si>
  <si>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</si>
  <si>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</si>
  <si>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</si>
  <si>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</si>
  <si>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</si>
  <si>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</si>
  <si>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</si>
  <si>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</si>
  <si>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</si>
  <si>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</si>
  <si>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</si>
  <si>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</si>
  <si>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</si>
  <si>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</si>
  <si>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</si>
  <si>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</si>
  <si>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</si>
  <si>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</si>
  <si>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</si>
  <si>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</si>
  <si>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</si>
  <si>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</si>
  <si>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</si>
  <si>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</si>
  <si>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</si>
  <si>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</si>
  <si>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</si>
  <si>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</si>
  <si>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</si>
  <si>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</si>
  <si>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</si>
  <si>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</si>
  <si>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</si>
  <si>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Landhotel Rittmeister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</si>
</sst>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44" fontId="12" fillId="3" borderId="19" xfId="1" applyFont="1" applyFill="1" applyBorder="1" applyAlignment="1" applyProtection="1">
      <alignment horizontal="right" indent="3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45353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92.95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0.29280616188267905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4270.5000000000009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640.57500000000016</v>
      </c>
      <c r="E11" s="167" t="s">
        <v>14</v>
      </c>
      <c r="F11" s="242">
        <f>+I26</f>
        <v>18760.5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143</v>
      </c>
      <c r="D12" s="61"/>
      <c r="E12" s="155" t="s">
        <v>243</v>
      </c>
      <c r="F12" s="225">
        <f>11149*1.19</f>
        <v>13267.31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379</v>
      </c>
      <c r="F24" s="76">
        <v>3</v>
      </c>
      <c r="G24" s="77">
        <f>F12*D24</f>
        <v>13267.31</v>
      </c>
      <c r="H24" s="77">
        <f>$E24*$F$10*1.1-$G24</f>
        <v>5493.1900000000005</v>
      </c>
      <c r="I24" s="77">
        <f>G24+H24</f>
        <v>18760.5</v>
      </c>
      <c r="J24" s="78">
        <f t="shared" si="16"/>
        <v>0.29280616188267905</v>
      </c>
      <c r="K24" s="77">
        <v>0</v>
      </c>
      <c r="L24" s="77">
        <v>0</v>
      </c>
      <c r="M24" s="77">
        <f>G24*1.19-G24</f>
        <v>2520.7888999999996</v>
      </c>
      <c r="N24" s="77">
        <f t="shared" si="5"/>
        <v>810.11250000000007</v>
      </c>
      <c r="O24" s="77">
        <f>L24-M24-N24</f>
        <v>-3330.9013999999997</v>
      </c>
      <c r="P24" s="79">
        <f>IFERROR($H24-L24,"")</f>
        <v>5493.1900000000005</v>
      </c>
      <c r="Q24" s="78">
        <f>IFERROR(($H24-L24)/$I24,"")</f>
        <v>0.29280616188267905</v>
      </c>
      <c r="R24" s="80">
        <f>IFERROR((1-Q24)*F24,"")</f>
        <v>2.1215815143519627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379</v>
      </c>
      <c r="F26" s="89"/>
      <c r="G26" s="89">
        <f>SUBTOTAL(9,G19:G24)</f>
        <v>13267.31</v>
      </c>
      <c r="H26" s="89">
        <f>SUBTOTAL(9,H19:H24)</f>
        <v>5493.1900000000005</v>
      </c>
      <c r="I26" s="89">
        <f>SUBTOTAL(9,I19:I24)</f>
        <v>18760.5</v>
      </c>
      <c r="J26" s="90">
        <f>H26/I26</f>
        <v>0.29280616188267905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2520.7888999999996</v>
      </c>
      <c r="N26" s="89">
        <f t="shared" si="25"/>
        <v>810.11250000000007</v>
      </c>
      <c r="O26" s="89">
        <f t="shared" si="25"/>
        <v>-3330.9013999999997</v>
      </c>
      <c r="P26" s="89">
        <f t="shared" si="25"/>
        <v>5493.1900000000005</v>
      </c>
      <c r="Q26" s="90">
        <f>($H26-L26)/$I26</f>
        <v>0.29280616188267905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B1" zoomScaleNormal="100" workbookViewId="0">
      <selection activeCell="C18" sqref="C18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5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6">
        <v>25</v>
      </c>
    </row>
    <row r="3" spans="2:11" x14ac:dyDescent="0.4">
      <c r="B3" s="103" t="s">
        <v>52</v>
      </c>
      <c r="C3" s="226">
        <v>45</v>
      </c>
    </row>
    <row r="4" spans="2:11" x14ac:dyDescent="0.4">
      <c r="B4" s="103" t="s">
        <v>53</v>
      </c>
      <c r="C4" s="227">
        <f>+C3-C2</f>
        <v>20</v>
      </c>
    </row>
    <row r="5" spans="2:11" ht="6" customHeight="1" x14ac:dyDescent="0.4">
      <c r="C5" s="228"/>
    </row>
    <row r="6" spans="2:11" x14ac:dyDescent="0.4">
      <c r="B6" s="103" t="s">
        <v>54</v>
      </c>
      <c r="C6" s="226" t="s">
        <v>264</v>
      </c>
    </row>
    <row r="7" spans="2:11" x14ac:dyDescent="0.4">
      <c r="B7" s="103" t="s">
        <v>55</v>
      </c>
      <c r="C7" s="227">
        <f>IFERROR(INDEX('Preise Output'!$B$19:$E$24,MATCH(Preisvergleich!$C$6,'Preise Output'!$B$19:$B$24,0),4)/INDEX('Preise Output'!$B$19:$E$24,MATCH(Preisvergleich!$C$6,'Preise Output'!$B$19:$B$24,0),3),"--")</f>
        <v>379</v>
      </c>
    </row>
    <row r="9" spans="2:11" x14ac:dyDescent="0.4">
      <c r="B9" s="109" t="s">
        <v>56</v>
      </c>
      <c r="C9" s="229"/>
    </row>
    <row r="11" spans="2:11" ht="14.5" thickBot="1" x14ac:dyDescent="0.45">
      <c r="B11" s="106" t="s">
        <v>255</v>
      </c>
      <c r="C11" s="230">
        <f>C12</f>
        <v>11149</v>
      </c>
    </row>
    <row r="12" spans="2:11" x14ac:dyDescent="0.4">
      <c r="B12" s="212" t="s">
        <v>285</v>
      </c>
      <c r="C12" s="231">
        <f>F13+F14</f>
        <v>11149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2">
        <f>E13*F13</f>
        <v>0</v>
      </c>
      <c r="E13" s="223">
        <v>7.0000000000000007E-2</v>
      </c>
      <c r="F13" s="104"/>
    </row>
    <row r="14" spans="2:11" ht="14.5" thickBot="1" x14ac:dyDescent="0.45">
      <c r="B14" s="99" t="str">
        <f>"Mehrwertsteuer " &amp; TEXT(E14,"0%")</f>
        <v>Mehrwertsteuer 19%</v>
      </c>
      <c r="C14" s="233">
        <f>F14*E14</f>
        <v>2118.31</v>
      </c>
      <c r="E14" s="223">
        <v>0.19</v>
      </c>
      <c r="F14" s="162">
        <f>(F18-F13*(1+E13))/(1+E14)</f>
        <v>11149</v>
      </c>
    </row>
    <row r="15" spans="2:11" hidden="1" x14ac:dyDescent="0.4">
      <c r="B15" s="105" t="s">
        <v>61</v>
      </c>
      <c r="C15" s="234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6"/>
      <c r="D17" s="97" t="s">
        <v>184</v>
      </c>
    </row>
    <row r="18" spans="2:8" x14ac:dyDescent="0.4">
      <c r="B18" s="100" t="s">
        <v>180</v>
      </c>
      <c r="C18" s="237">
        <f>SUM(C12:C14)</f>
        <v>13267.31</v>
      </c>
      <c r="F18" s="97">
        <f>'Preise Output'!G26</f>
        <v>13267.31</v>
      </c>
    </row>
    <row r="21" spans="2:8" x14ac:dyDescent="0.4">
      <c r="B21" s="109" t="s">
        <v>63</v>
      </c>
      <c r="C21" s="229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379 Gutscheine x 35€ je Gutschein</v>
      </c>
      <c r="C24" s="238">
        <f>IFERROR(C7*'Preise Output'!$F$7,"--")</f>
        <v>13265</v>
      </c>
    </row>
    <row r="25" spans="2:8" x14ac:dyDescent="0.4">
      <c r="B25" s="97" t="str">
        <f>"Das enspricht "&amp;TEXT('Preise Output'!E26/('Preise Output'!C10),"0,0%") &amp; " des Leerstands p.a."</f>
        <v>Das enspricht 8,9% des Leerstands p.a.</v>
      </c>
      <c r="C25" s="232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5">
        <f>IFERROR(F26*E26,"--")</f>
        <v>795.90000000000009</v>
      </c>
      <c r="E26" s="223">
        <v>7.0000000000000007E-2</v>
      </c>
      <c r="F26" s="162">
        <f>C24-F27</f>
        <v>11370</v>
      </c>
    </row>
    <row r="27" spans="2:8" ht="14.5" thickBot="1" x14ac:dyDescent="0.45">
      <c r="B27" s="99" t="str">
        <f>"Mehrwertsteuer " &amp; TEXT(E27,"0%")</f>
        <v>Mehrwertsteuer 19%</v>
      </c>
      <c r="C27" s="235">
        <f>IFERROR(F27*E27,"--")</f>
        <v>360.05</v>
      </c>
      <c r="E27" s="223">
        <v>0.19</v>
      </c>
      <c r="F27" s="162">
        <f>G27*C7</f>
        <v>1895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379 Roomnights</v>
      </c>
      <c r="C31" s="238">
        <f>C7*C4</f>
        <v>7580</v>
      </c>
    </row>
    <row r="32" spans="2:8" x14ac:dyDescent="0.4">
      <c r="B32" s="108" t="s">
        <v>293</v>
      </c>
      <c r="C32" s="230">
        <f>C26+C27</f>
        <v>1155.95</v>
      </c>
    </row>
    <row r="33" spans="2:3" ht="14.5" thickBot="1" x14ac:dyDescent="0.45">
      <c r="B33" s="115" t="s">
        <v>288</v>
      </c>
      <c r="C33" s="239">
        <f>-(C13+C14)</f>
        <v>-2118.31</v>
      </c>
    </row>
    <row r="34" spans="2:3" x14ac:dyDescent="0.4">
      <c r="B34" s="96" t="s">
        <v>271</v>
      </c>
      <c r="C34" s="237">
        <f>SUM(C31:C33)</f>
        <v>6617.6400000000012</v>
      </c>
    </row>
    <row r="36" spans="2:3" x14ac:dyDescent="0.4">
      <c r="B36" s="102" t="s">
        <v>65</v>
      </c>
      <c r="C36" s="240">
        <f>C12-C34</f>
        <v>4531.3599999999988</v>
      </c>
    </row>
    <row r="37" spans="2:3" x14ac:dyDescent="0.4">
      <c r="B37" s="97" t="s">
        <v>289</v>
      </c>
      <c r="C37" s="241">
        <f>C36/C12</f>
        <v>0.40643645169970388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11149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11149</v>
      </c>
      <c r="R16" s="35">
        <f t="shared" si="4"/>
        <v>3716.3333333333335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11149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12589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13265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13265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13265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13265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379</v>
      </c>
      <c r="F7" s="129">
        <f>IF($B$6=100%,(('Preise Output'!$F$10-INDEX(Annahmen!$B$18:$C$22,MATCH('Preise Output'!$C$7,Annahmen!$B$18:$B$22,0),2))*'Preise Output'!$E$26)/10,('Preise Output'!$E$26*'Preise Output'!$F$10-$D$6)/10)</f>
        <v>379</v>
      </c>
      <c r="G7" s="129">
        <f>IF($B$6=100%,(('Preise Output'!$F$10-INDEX(Annahmen!$B$18:$C$22,MATCH('Preise Output'!$C$7,Annahmen!$B$18:$B$22,0),2))*'Preise Output'!$E$26)/10,('Preise Output'!$E$26*'Preise Output'!$F$10-$D$6)/10)</f>
        <v>379</v>
      </c>
      <c r="H7" s="129">
        <f>IF($B$6=100%,(('Preise Output'!$F$10-INDEX(Annahmen!$B$18:$C$22,MATCH('Preise Output'!$C$7,Annahmen!$B$18:$B$22,0),2))*'Preise Output'!$E$26)/10,('Preise Output'!$E$26*'Preise Output'!$F$10-$D$6)/10)</f>
        <v>379</v>
      </c>
      <c r="I7" s="129">
        <f>IF($B$6=100%,(('Preise Output'!$F$10-INDEX(Annahmen!$B$18:$C$22,MATCH('Preise Output'!$C$7,Annahmen!$B$18:$B$22,0),2))*'Preise Output'!$E$26)/10,('Preise Output'!$E$26*'Preise Output'!$F$10-$D$6)/10)</f>
        <v>379</v>
      </c>
      <c r="J7" s="129">
        <f>IF($B$6=100%,(('Preise Output'!$F$10-INDEX(Annahmen!$B$18:$C$22,MATCH('Preise Output'!$C$7,Annahmen!$B$18:$B$22,0),2))*'Preise Output'!$E$26)/10,('Preise Output'!$E$26*'Preise Output'!$F$10-$D$6)/10)</f>
        <v>379</v>
      </c>
      <c r="K7" s="129">
        <f>IF($B$6=100%,(('Preise Output'!$F$10-INDEX(Annahmen!$B$18:$C$22,MATCH('Preise Output'!$C$7,Annahmen!$B$18:$B$22,0),2))*'Preise Output'!$E$26)/10,('Preise Output'!$E$26*'Preise Output'!$F$10-$D$6)/10)</f>
        <v>379</v>
      </c>
      <c r="L7" s="129">
        <f>IF($B$6=100%,(('Preise Output'!$F$10-INDEX(Annahmen!$B$18:$C$22,MATCH('Preise Output'!$C$7,Annahmen!$B$18:$B$22,0),2))*'Preise Output'!$E$26)/10,('Preise Output'!$E$26*'Preise Output'!$F$10-$D$6)/10)</f>
        <v>379</v>
      </c>
      <c r="M7" s="129">
        <f>IF($B$6=100%,(('Preise Output'!$F$10-INDEX(Annahmen!$B$18:$C$22,MATCH('Preise Output'!$C$7,Annahmen!$B$18:$B$22,0),2))*'Preise Output'!$E$26)/10,('Preise Output'!$E$26*'Preise Output'!$F$10-$D$6)/10)</f>
        <v>379</v>
      </c>
      <c r="N7" s="129">
        <f>IF($B$6=100%,(('Preise Output'!$F$10-INDEX(Annahmen!$B$18:$C$22,MATCH('Preise Output'!$C$7,Annahmen!$B$18:$B$22,0),2))*'Preise Output'!$E$26)/10,('Preise Output'!$E$26*'Preise Output'!$F$10-$D$6)/10)</f>
        <v>379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379</v>
      </c>
      <c r="R7" s="129">
        <f>IF($B$6=100%,(('Preise Output'!$F$10-INDEX(Annahmen!$B$18:$C$22,MATCH('Preise Output'!$C$7,Annahmen!$B$18:$B$22,0),2))*'Preise Output'!$E$26)/10,('Preise Output'!$E$26*'Preise Output'!$F$10-$D$6)/10)</f>
        <v>379</v>
      </c>
      <c r="S7" s="129">
        <f>IF($B$6=100%,(('Preise Output'!$F$10-INDEX(Annahmen!$B$18:$C$22,MATCH('Preise Output'!$C$7,Annahmen!$B$18:$B$22,0),2))*'Preise Output'!$E$26)/10,('Preise Output'!$E$26*'Preise Output'!$F$10-$D$6)/10)</f>
        <v>379</v>
      </c>
      <c r="T7" s="129">
        <f>IF($B$6=100%,(('Preise Output'!$F$10-INDEX(Annahmen!$B$18:$C$22,MATCH('Preise Output'!$C$7,Annahmen!$B$18:$B$22,0),2))*'Preise Output'!$E$26)/10,('Preise Output'!$E$26*'Preise Output'!$F$10-$D$6)/10)</f>
        <v>379</v>
      </c>
      <c r="U7" s="129">
        <f>IF($B$6=100%,(('Preise Output'!$F$10-INDEX(Annahmen!$B$18:$C$22,MATCH('Preise Output'!$C$7,Annahmen!$B$18:$B$22,0),2))*'Preise Output'!$E$26)/10,('Preise Output'!$E$26*'Preise Output'!$F$10-$D$6)/10)</f>
        <v>379</v>
      </c>
      <c r="V7" s="129">
        <f>IF($B$6=100%,(('Preise Output'!$F$10-INDEX(Annahmen!$B$18:$C$22,MATCH('Preise Output'!$C$7,Annahmen!$B$18:$B$22,0),2))*'Preise Output'!$E$26)/10,('Preise Output'!$E$26*'Preise Output'!$F$10-$D$6)/10)</f>
        <v>379</v>
      </c>
      <c r="W7" s="129">
        <f>IF($B$6=100%,(('Preise Output'!$F$10-INDEX(Annahmen!$B$18:$C$22,MATCH('Preise Output'!$C$7,Annahmen!$B$18:$B$22,0),2))*'Preise Output'!$E$26)/10,('Preise Output'!$E$26*'Preise Output'!$F$10-$D$6)/10)</f>
        <v>379</v>
      </c>
      <c r="X7" s="129">
        <f>IF($B$6=100%,(('Preise Output'!$F$10-INDEX(Annahmen!$B$18:$C$22,MATCH('Preise Output'!$C$7,Annahmen!$B$18:$B$22,0),2))*'Preise Output'!$E$26)/10,('Preise Output'!$E$26*'Preise Output'!$F$10-$D$6)/10)</f>
        <v>379</v>
      </c>
      <c r="Y7" s="129">
        <f>IF($B$6=100%,(('Preise Output'!$F$10-INDEX(Annahmen!$B$18:$C$22,MATCH('Preise Output'!$C$7,Annahmen!$B$18:$B$22,0),2))*'Preise Output'!$E$26)/10,('Preise Output'!$E$26*'Preise Output'!$F$10-$D$6)/10)</f>
        <v>379</v>
      </c>
      <c r="Z7" s="129">
        <f>IF($B$6=100%,(('Preise Output'!$F$10-INDEX(Annahmen!$B$18:$C$22,MATCH('Preise Output'!$C$7,Annahmen!$B$18:$B$22,0),2))*'Preise Output'!$E$26)/10,('Preise Output'!$E$26*'Preise Output'!$F$10-$D$6)/10)</f>
        <v>379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379</v>
      </c>
      <c r="AD7" s="129">
        <f>IF($B$6=100%,(('Preise Output'!$F$10-INDEX(Annahmen!$B$18:$C$22,MATCH('Preise Output'!$C$7,Annahmen!$B$18:$B$22,0),2))*'Preise Output'!$E$26)/10,('Preise Output'!$E$26*'Preise Output'!$F$10-$D$6)/10)</f>
        <v>379</v>
      </c>
      <c r="AE7" s="129">
        <f>IF($B$6=100%,(('Preise Output'!$F$10-INDEX(Annahmen!$B$18:$C$22,MATCH('Preise Output'!$C$7,Annahmen!$B$18:$B$22,0),2))*'Preise Output'!$E$26)/10,('Preise Output'!$E$26*'Preise Output'!$F$10-$D$6)/10)</f>
        <v>379</v>
      </c>
      <c r="AF7" s="129">
        <f>IF($B$6=100%,(('Preise Output'!$F$10-INDEX(Annahmen!$B$18:$C$22,MATCH('Preise Output'!$C$7,Annahmen!$B$18:$B$22,0),2))*'Preise Output'!$E$26)/10,('Preise Output'!$E$26*'Preise Output'!$F$10-$D$6)/10)</f>
        <v>379</v>
      </c>
      <c r="AG7" s="129">
        <f>IF($B$6=100%,(('Preise Output'!$F$10-INDEX(Annahmen!$B$18:$C$22,MATCH('Preise Output'!$C$7,Annahmen!$B$18:$B$22,0),2))*'Preise Output'!$E$26)/10,('Preise Output'!$E$26*'Preise Output'!$F$10-$D$6)/10)</f>
        <v>379</v>
      </c>
      <c r="AH7" s="129">
        <f>IF($B$6=100%,(('Preise Output'!$F$10-INDEX(Annahmen!$B$18:$C$22,MATCH('Preise Output'!$C$7,Annahmen!$B$18:$B$22,0),2))*'Preise Output'!$E$26)/10,('Preise Output'!$E$26*'Preise Output'!$F$10-$D$6)/10)</f>
        <v>379</v>
      </c>
      <c r="AI7" s="129">
        <f>IF($B$6=100%,(('Preise Output'!$F$10-INDEX(Annahmen!$B$18:$C$22,MATCH('Preise Output'!$C$7,Annahmen!$B$18:$B$22,0),2))*'Preise Output'!$E$26)/10,('Preise Output'!$E$26*'Preise Output'!$F$10-$D$6)/10)</f>
        <v>379</v>
      </c>
      <c r="AJ7" s="129">
        <f>IF($B$6=100%,(('Preise Output'!$F$10-INDEX(Annahmen!$B$18:$C$22,MATCH('Preise Output'!$C$7,Annahmen!$B$18:$B$22,0),2))*'Preise Output'!$E$26)/10,('Preise Output'!$E$26*'Preise Output'!$F$10-$D$6)/10)</f>
        <v>379</v>
      </c>
      <c r="AK7" s="129">
        <f>IF($B$6=100%,(('Preise Output'!$F$10-INDEX(Annahmen!$B$18:$C$22,MATCH('Preise Output'!$C$7,Annahmen!$B$18:$B$22,0),2))*'Preise Output'!$E$26)/10,('Preise Output'!$E$26*'Preise Output'!$F$10-$D$6)/10)</f>
        <v>379</v>
      </c>
      <c r="AL7" s="129">
        <f>IF($B$6=100%,(('Preise Output'!$F$10-INDEX(Annahmen!$B$18:$C$22,MATCH('Preise Output'!$C$7,Annahmen!$B$18:$B$22,0),2))*'Preise Output'!$E$26)/10,('Preise Output'!$E$26*'Preise Output'!$F$10-$D$6)/10)</f>
        <v>379</v>
      </c>
      <c r="AM7" s="130"/>
      <c r="AN7" s="130">
        <f t="shared" ref="AN7:AN43" si="0">SUM(D7:AM7)</f>
        <v>11370</v>
      </c>
      <c r="AQ7" s="130">
        <f t="shared" ref="AQ7:AQ45" si="1">SUM(D7:F7)</f>
        <v>758</v>
      </c>
      <c r="AR7" s="130">
        <f t="shared" ref="AR7:AR45" si="2">SUM(G7:I7)</f>
        <v>1137</v>
      </c>
      <c r="AS7" s="130">
        <f t="shared" ref="AS7:AS45" si="3">SUM(J7:L7)</f>
        <v>1137</v>
      </c>
      <c r="AT7" s="130">
        <f t="shared" ref="AT7:AT45" si="4">SUM(M7:O7)</f>
        <v>758</v>
      </c>
      <c r="AU7" s="130">
        <f t="shared" ref="AU7:AU45" si="5">SUM(P7:R7)</f>
        <v>758</v>
      </c>
      <c r="AV7" s="130">
        <f t="shared" ref="AV7:AV45" si="6">SUM(S7:U7)</f>
        <v>1137</v>
      </c>
      <c r="AW7" s="130">
        <f t="shared" ref="AW7:AW45" si="7">SUM(V7:X7)</f>
        <v>1137</v>
      </c>
      <c r="AX7" s="130">
        <f t="shared" ref="AX7:AX45" si="8">SUM(Y7:AA7)</f>
        <v>758</v>
      </c>
      <c r="AY7" s="130">
        <f t="shared" ref="AY7:AY45" si="9">SUM(AB7:AD7)</f>
        <v>758</v>
      </c>
      <c r="AZ7" s="130">
        <f t="shared" ref="AZ7:AZ45" si="10">SUM(AE7:AG7)</f>
        <v>1137</v>
      </c>
      <c r="BA7" s="130">
        <f t="shared" ref="BA7:BA45" si="11">SUM(AH7:AJ7)</f>
        <v>1137</v>
      </c>
      <c r="BB7" s="130">
        <f t="shared" ref="BB7:BB45" si="12">SUM(AK7:AM7)</f>
        <v>758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-13267.31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-13267.31</v>
      </c>
      <c r="AQ42" s="134">
        <f t="shared" si="1"/>
        <v>-13267.31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18760.5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0EF5EB73-5F8E-441E-958E-00C66FF75B4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2024-03-02T09:38:16Z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