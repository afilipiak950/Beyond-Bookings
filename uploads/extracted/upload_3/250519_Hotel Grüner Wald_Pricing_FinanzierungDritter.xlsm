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Grüner Wald/"/>
    </mc:Choice>
  </mc:AlternateContent>
  <xr:revisionPtr revIDLastSave="143" documentId="8_{207F9823-9F7A-439A-86BD-E629EE244269}" xr6:coauthVersionLast="47" xr6:coauthVersionMax="47" xr10:uidLastSave="{2011488F-1919-4467-B011-1AAC8DB6A47F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<sst xmlns="http://schemas.openxmlformats.org/spreadsheetml/2006/main" count="520" uniqueCount="307">
  <si>
    <t>Pricing Tool</t>
  </si>
  <si>
    <t>Allgemeine Hotelinfos</t>
  </si>
  <si>
    <t>Angebotsrelevante Eingaben</t>
  </si>
  <si>
    <t>Datum</t>
  </si>
  <si>
    <t>Realistischer Hotelverkaufspreis</t>
  </si>
  <si>
    <t>Inklusivleistungen:</t>
  </si>
  <si>
    <t>Hotelname</t>
  </si>
  <si>
    <t>Hotel Grüner Wald</t>
  </si>
  <si>
    <t>65% des durchschnittlichen Zimmerpreis</t>
  </si>
  <si>
    <t>Frühstück</t>
  </si>
  <si>
    <t>Kategorie</t>
  </si>
  <si>
    <t>4 Sterne</t>
  </si>
  <si>
    <t>Gutscheinwert für Hotel</t>
  </si>
  <si>
    <t>Bis 65€ OK  - AB 20.05.2025</t>
  </si>
  <si>
    <t>Wellness/Spabereich</t>
  </si>
  <si>
    <t>Zimmeranzahl</t>
  </si>
  <si>
    <t>KONUS-Gästekarte</t>
  </si>
  <si>
    <t>Auslastung in %</t>
  </si>
  <si>
    <t>Marge nach Steuern</t>
  </si>
  <si>
    <t>Transfer</t>
  </si>
  <si>
    <t>Verfügbare Roomnight</t>
  </si>
  <si>
    <t>Zahlung von Tripz Estimate</t>
  </si>
  <si>
    <t>Sportprogramm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</si>
  <si>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</si>
  <si>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</si>
  <si>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</si>
  <si>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</si>
  <si>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Bis 40K OK - AB 20.05.2025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</si>
  <si>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</si>
  <si>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</si>
  <si>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</si>
  <si>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</si>
  <si>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</si>
  <si>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</si>
  <si>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</si>
  <si>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</si>
  <si>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</si>
  <si>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</si>
  <si>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</si>
  <si>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</si>
  <si>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</si>
  <si>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</si>
  <si>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</si>
  <si>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</si>
  <si>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</si>
  <si>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</si>
  <si>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</si>
  <si>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</si>
  <si>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</si>
  <si>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</si>
  <si>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</si>
  <si>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</si>
  <si>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</si>
  <si>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</si>
  <si>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</si>
  <si>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</si>
  <si>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</si>
  <si>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</si>
  <si>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</si>
  <si>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</si>
  <si>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</si>
  <si>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</si>
  <si>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</si>
  <si>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</si>
  <si>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</si>
  <si>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</si>
  <si>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</si>
  <si>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</si>
  <si>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</si>
  <si>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</si>
  <si>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</si>
  <si>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</si>
  <si>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</si>
  <si>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</si>
  <si>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</si>
  <si>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</si>
  <si>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</si>
  <si>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</si>
  <si>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</si>
  <si>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</si>
  <si>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</si>
  <si>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</si>
  <si>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</si>
  <si>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</si>
  <si>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</si>
  <si>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</si>
  <si>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</si>
  <si>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</si>
  <si>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</si>
  <si>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</si>
  <si>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</si>
  <si>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</si>
  <si>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</si>
  <si>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</si>
  <si>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</si>
  <si>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</si>
  <si>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</si>
  <si>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</si>
  <si>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</si>
  <si>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ANGEPASST - AB 20.05.2025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</si>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</sst>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  <font>
      <sz val="10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44" fillId="0" borderId="0" xfId="0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45796</v>
      </c>
      <c r="E5" s="151" t="s">
        <v>4</v>
      </c>
      <c r="F5" s="153">
        <v>109</v>
      </c>
      <c r="G5" s="44"/>
      <c r="H5" s="44" t="s">
        <v>5</v>
      </c>
    </row>
    <row r="6" spans="1:32" x14ac:dyDescent="0.4">
      <c r="B6" s="48" t="s">
        <v>6</v>
      </c>
      <c r="C6" s="49" t="s">
        <v>7</v>
      </c>
      <c r="E6" s="152" t="s">
        <v>8</v>
      </c>
      <c r="F6" s="37">
        <f>C12*0.65</f>
        <v>135.20000000000002</v>
      </c>
      <c r="H6" s="37" t="s">
        <v>9</v>
      </c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10</v>
      </c>
      <c r="C7" s="49" t="s">
        <v>11</v>
      </c>
      <c r="E7" s="154" t="s">
        <v>12</v>
      </c>
      <c r="F7" s="210">
        <v>60.04</v>
      </c>
      <c r="G7" s="37" t="s">
        <v>13</v>
      </c>
      <c r="H7" s="40" t="s">
        <v>14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15</v>
      </c>
      <c r="C8" s="158">
        <v>42</v>
      </c>
      <c r="E8" s="40"/>
      <c r="F8" s="40"/>
      <c r="G8" s="40"/>
      <c r="H8" s="40" t="s">
        <v>16</v>
      </c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17</v>
      </c>
      <c r="C9" s="54">
        <v>0.7</v>
      </c>
      <c r="E9" s="156" t="s">
        <v>18</v>
      </c>
      <c r="F9" s="157">
        <f>IFERROR(J26,"Bitte Produkt auswählen")</f>
        <v>0.33277731442869057</v>
      </c>
      <c r="G9" s="56"/>
      <c r="H9" s="56" t="s">
        <v>19</v>
      </c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20</v>
      </c>
      <c r="C10" s="58">
        <f>C8*365*(1-C9)</f>
        <v>4599.0000000000009</v>
      </c>
      <c r="E10" s="152" t="s">
        <v>21</v>
      </c>
      <c r="F10" s="168">
        <f>F5*0.75</f>
        <v>81.75</v>
      </c>
      <c r="G10" s="56"/>
      <c r="H10" s="56" t="s">
        <v>22</v>
      </c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23</v>
      </c>
      <c r="C11" s="59">
        <f>IF(C10*0.15&lt;1000,C10*0.15,1000)</f>
        <v>689.85000000000014</v>
      </c>
      <c r="E11" s="167" t="s">
        <v>24</v>
      </c>
      <c r="F11" s="238">
        <f>+I26</f>
        <v>44962.5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25</v>
      </c>
      <c r="C12" s="158">
        <v>208</v>
      </c>
      <c r="D12" s="61"/>
      <c r="E12" s="155" t="s">
        <v>26</v>
      </c>
      <c r="F12" s="237">
        <v>30000</v>
      </c>
      <c r="G12" s="166" t="s">
        <v>27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28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29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30</v>
      </c>
      <c r="E16" s="63"/>
      <c r="F16" s="64"/>
      <c r="G16" s="64"/>
      <c r="H16" s="65"/>
      <c r="I16" s="65"/>
      <c r="J16" s="63"/>
      <c r="K16" s="66"/>
      <c r="L16" s="67" t="s">
        <v>31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32</v>
      </c>
      <c r="C17" s="110" t="s">
        <v>33</v>
      </c>
      <c r="D17" s="110" t="s">
        <v>34</v>
      </c>
      <c r="E17" s="111" t="s">
        <v>35</v>
      </c>
      <c r="F17" s="111" t="s">
        <v>36</v>
      </c>
      <c r="G17" s="112" t="s">
        <v>37</v>
      </c>
      <c r="H17" s="112" t="s">
        <v>38</v>
      </c>
      <c r="I17" s="112" t="s">
        <v>39</v>
      </c>
      <c r="J17" s="111" t="s">
        <v>40</v>
      </c>
      <c r="K17" s="112" t="s">
        <v>41</v>
      </c>
      <c r="L17" s="112" t="s">
        <v>42</v>
      </c>
      <c r="M17" s="112" t="s">
        <v>43</v>
      </c>
      <c r="N17" s="112" t="s">
        <v>44</v>
      </c>
      <c r="O17" s="112" t="s">
        <v>45</v>
      </c>
      <c r="P17" s="112" t="s">
        <v>46</v>
      </c>
      <c r="Q17" s="112" t="s">
        <v>47</v>
      </c>
      <c r="R17" s="112" t="s">
        <v>48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49</v>
      </c>
      <c r="C19" s="76" t="s">
        <v>50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51</v>
      </c>
      <c r="C20" s="76" t="s">
        <v>50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52</v>
      </c>
      <c r="C21" s="76" t="s">
        <v>50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53</v>
      </c>
      <c r="C22" s="76" t="s">
        <v>50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54</v>
      </c>
      <c r="C23" s="76" t="s">
        <v>50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55</v>
      </c>
      <c r="C24" s="76" t="s">
        <v>56</v>
      </c>
      <c r="D24" s="159">
        <v>1</v>
      </c>
      <c r="E24" s="76">
        <f>ROUND(G24/F$7,0)</f>
        <v>500</v>
      </c>
      <c r="F24" s="76">
        <v>3</v>
      </c>
      <c r="G24" s="77">
        <f>F12*D24</f>
        <v>30000</v>
      </c>
      <c r="H24" s="77">
        <f>$E24*$F$10*1.1-$G24</f>
        <v>14962.5</v>
      </c>
      <c r="I24" s="77">
        <f>G24+H24</f>
        <v>44962.5</v>
      </c>
      <c r="J24" s="78">
        <f t="shared" si="16"/>
        <v>0.33277731442869057</v>
      </c>
      <c r="K24" s="77">
        <v>0</v>
      </c>
      <c r="L24" s="77">
        <v>0</v>
      </c>
      <c r="M24" s="77">
        <f>G24*1.19-G24</f>
        <v>5700</v>
      </c>
      <c r="N24" s="77">
        <f t="shared" si="5"/>
        <v>1941.5625</v>
      </c>
      <c r="O24" s="77">
        <f>L24-M24-N24</f>
        <v>-7641.5625</v>
      </c>
      <c r="P24" s="79">
        <f>IFERROR($H24-L24,"")</f>
        <v>14962.5</v>
      </c>
      <c r="Q24" s="78">
        <f>IFERROR(($H24-L24)/$I24,"")</f>
        <v>0.33277731442869057</v>
      </c>
      <c r="R24" s="80">
        <f>IFERROR((1-Q24)*F24,"")</f>
        <v>2.0016680567139282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57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30000</v>
      </c>
      <c r="H26" s="89">
        <f>SUBTOTAL(9,H19:H24)</f>
        <v>14962.5</v>
      </c>
      <c r="I26" s="89">
        <f>SUBTOTAL(9,I19:I24)</f>
        <v>44962.5</v>
      </c>
      <c r="J26" s="90">
        <f>H26/I26</f>
        <v>0.33277731442869057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1941.5625</v>
      </c>
      <c r="O26" s="89">
        <f t="shared" si="25"/>
        <v>-7641.5625</v>
      </c>
      <c r="P26" s="89">
        <f t="shared" si="25"/>
        <v>14962.5</v>
      </c>
      <c r="Q26" s="90">
        <f>($H26-L26)/$I26</f>
        <v>0.33277731442869057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10,9%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58</v>
      </c>
      <c r="B1" s="174" t="s">
        <v>59</v>
      </c>
      <c r="C1" s="174"/>
      <c r="D1" s="175" t="s">
        <v>59</v>
      </c>
      <c r="E1" s="174" t="s">
        <v>60</v>
      </c>
      <c r="F1" s="174"/>
      <c r="G1" s="175" t="s">
        <v>60</v>
      </c>
      <c r="H1" s="174" t="s">
        <v>61</v>
      </c>
      <c r="I1" s="174"/>
      <c r="J1" s="175" t="s">
        <v>61</v>
      </c>
      <c r="K1" s="174" t="s">
        <v>62</v>
      </c>
      <c r="L1" s="174"/>
      <c r="M1" s="175" t="s">
        <v>62</v>
      </c>
      <c r="N1" s="174" t="s">
        <v>63</v>
      </c>
      <c r="O1" s="174"/>
      <c r="P1" s="175" t="s">
        <v>64</v>
      </c>
    </row>
    <row r="2" spans="1:16" ht="15.5" x14ac:dyDescent="0.35">
      <c r="A2" s="173" t="s">
        <v>65</v>
      </c>
      <c r="B2" s="174" t="s">
        <v>66</v>
      </c>
      <c r="C2" s="174"/>
      <c r="D2" s="175" t="s">
        <v>67</v>
      </c>
      <c r="E2" s="174" t="s">
        <v>66</v>
      </c>
      <c r="F2" s="174"/>
      <c r="G2" s="175" t="s">
        <v>67</v>
      </c>
      <c r="H2" s="174"/>
      <c r="I2" s="174"/>
      <c r="J2" s="175" t="s">
        <v>67</v>
      </c>
      <c r="K2" s="174" t="s">
        <v>68</v>
      </c>
      <c r="L2" s="174"/>
      <c r="M2" s="175" t="s">
        <v>67</v>
      </c>
      <c r="N2" s="174"/>
      <c r="O2" s="174"/>
      <c r="P2" s="175" t="s">
        <v>67</v>
      </c>
    </row>
    <row r="3" spans="1:16" ht="46.5" x14ac:dyDescent="0.35">
      <c r="A3" s="177" t="s">
        <v>69</v>
      </c>
      <c r="B3" s="178" t="s">
        <v>70</v>
      </c>
      <c r="C3" s="178" t="s">
        <v>71</v>
      </c>
      <c r="D3" s="179" t="s">
        <v>72</v>
      </c>
      <c r="E3" s="178" t="s">
        <v>70</v>
      </c>
      <c r="F3" s="178"/>
      <c r="G3" s="180" t="s">
        <v>73</v>
      </c>
      <c r="H3" s="178" t="s">
        <v>74</v>
      </c>
      <c r="I3" s="178"/>
      <c r="J3" s="180" t="s">
        <v>73</v>
      </c>
      <c r="K3" s="178" t="s">
        <v>75</v>
      </c>
      <c r="L3" s="178"/>
      <c r="M3" s="179" t="s">
        <v>72</v>
      </c>
      <c r="N3" s="178" t="s">
        <v>76</v>
      </c>
      <c r="O3" s="178"/>
      <c r="P3" s="179"/>
    </row>
    <row r="4" spans="1:16" ht="15.5" x14ac:dyDescent="0.35">
      <c r="A4" s="181" t="s">
        <v>77</v>
      </c>
      <c r="B4" s="182" t="s">
        <v>78</v>
      </c>
      <c r="C4" s="182"/>
      <c r="D4" s="183" t="s">
        <v>78</v>
      </c>
      <c r="E4" s="182" t="s">
        <v>78</v>
      </c>
      <c r="F4" s="182"/>
      <c r="G4" s="183" t="s">
        <v>78</v>
      </c>
      <c r="H4" s="182" t="s">
        <v>79</v>
      </c>
      <c r="I4" s="182"/>
      <c r="J4" s="183" t="s">
        <v>79</v>
      </c>
      <c r="K4" s="182" t="s">
        <v>80</v>
      </c>
      <c r="L4" s="182"/>
      <c r="M4" s="183" t="s">
        <v>80</v>
      </c>
      <c r="N4" s="182" t="s">
        <v>81</v>
      </c>
      <c r="O4" s="182"/>
      <c r="P4" s="183"/>
    </row>
    <row r="5" spans="1:16" ht="15.5" x14ac:dyDescent="0.35">
      <c r="A5" s="181" t="s">
        <v>82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83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84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85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86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87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88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89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90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91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92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93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94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95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G10" sqref="G10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96</v>
      </c>
      <c r="C2" s="221">
        <v>25</v>
      </c>
    </row>
    <row r="3" spans="2:11" x14ac:dyDescent="0.4">
      <c r="B3" s="103" t="s">
        <v>97</v>
      </c>
      <c r="C3" s="221">
        <v>57.5</v>
      </c>
    </row>
    <row r="4" spans="2:11" x14ac:dyDescent="0.4">
      <c r="B4" s="103" t="s">
        <v>98</v>
      </c>
      <c r="C4" s="222">
        <f>+C3-C2</f>
        <v>32.5</v>
      </c>
      <c r="D4" s="239" t="s">
        <v>99</v>
      </c>
    </row>
    <row r="5" spans="2:11" ht="6" customHeight="1" x14ac:dyDescent="0.4">
      <c r="C5" s="223"/>
    </row>
    <row r="6" spans="2:11" x14ac:dyDescent="0.4">
      <c r="B6" s="103" t="s">
        <v>100</v>
      </c>
      <c r="C6" s="221" t="s">
        <v>55</v>
      </c>
    </row>
    <row r="7" spans="2:11" x14ac:dyDescent="0.4">
      <c r="B7" s="103" t="s">
        <v>101</v>
      </c>
      <c r="C7" s="222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102</v>
      </c>
      <c r="C9" s="224"/>
    </row>
    <row r="11" spans="2:11" ht="14.5" thickBot="1" x14ac:dyDescent="0.45">
      <c r="B11" s="106" t="s">
        <v>103</v>
      </c>
      <c r="C11" s="225">
        <f>C12</f>
        <v>25210.084033613446</v>
      </c>
    </row>
    <row r="12" spans="2:11" x14ac:dyDescent="0.4">
      <c r="B12" s="211" t="s">
        <v>104</v>
      </c>
      <c r="C12" s="226">
        <f>F13+F14</f>
        <v>25210.084033613446</v>
      </c>
      <c r="E12" s="97" t="s">
        <v>105</v>
      </c>
      <c r="F12" s="97" t="s">
        <v>106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 x14ac:dyDescent="0.4">
      <c r="B15" s="105" t="s">
        <v>107</v>
      </c>
      <c r="C15" s="229"/>
      <c r="K15" s="162"/>
    </row>
    <row r="16" spans="2:11" hidden="1" x14ac:dyDescent="0.4">
      <c r="B16" s="98" t="s">
        <v>108</v>
      </c>
      <c r="D16" s="162"/>
    </row>
    <row r="17" spans="2:8" ht="14.5" hidden="1" thickBot="1" x14ac:dyDescent="0.45">
      <c r="B17" s="99" t="s">
        <v>109</v>
      </c>
      <c r="C17" s="231"/>
      <c r="D17" s="97" t="s">
        <v>110</v>
      </c>
    </row>
    <row r="18" spans="2:8" x14ac:dyDescent="0.4">
      <c r="B18" s="100" t="s">
        <v>111</v>
      </c>
      <c r="C18" s="232">
        <f>SUM(C12:C14)</f>
        <v>30000</v>
      </c>
      <c r="F18" s="97">
        <f>'Preise Output'!G26</f>
        <v>30000</v>
      </c>
    </row>
    <row r="21" spans="2:8" x14ac:dyDescent="0.4">
      <c r="B21" s="109" t="s">
        <v>112</v>
      </c>
      <c r="C21" s="224"/>
    </row>
    <row r="22" spans="2:8" ht="6.75" customHeight="1" x14ac:dyDescent="0.4"/>
    <row r="23" spans="2:8" x14ac:dyDescent="0.4">
      <c r="B23" s="101" t="s">
        <v>113</v>
      </c>
    </row>
    <row r="24" spans="2:8" x14ac:dyDescent="0.4">
      <c r="B24" s="107" t="str">
        <f>C7&amp;" "&amp;"Gutscheine"&amp;" "&amp;"x"&amp;" "&amp;ROUND('Preise Output'!F7,2)&amp;"€"&amp;" "&amp;"je"&amp;" "&amp;"Gutschein"</f>
        <v>500 Gutscheine x 60,04€ je Gutschein</v>
      </c>
      <c r="C24" s="233">
        <f>IFERROR(C7*'Preise Output'!$F$7,"--")</f>
        <v>30020</v>
      </c>
    </row>
    <row r="25" spans="2:8" x14ac:dyDescent="0.4">
      <c r="B25" s="97" t="str">
        <f>"Das enspricht "&amp;TEXT('Preise Output'!E26/('Preise Output'!C10),"0,0%") &amp; " des Leerstands p.a."</f>
        <v>Das enspricht 10,9% des Leerstands p.a.</v>
      </c>
      <c r="C25" s="227"/>
      <c r="E25" s="97" t="s">
        <v>105</v>
      </c>
      <c r="F25" s="97" t="s">
        <v>106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1926.4</v>
      </c>
      <c r="E26" s="219">
        <v>7.0000000000000007E-2</v>
      </c>
      <c r="F26" s="162">
        <f>C24-F27</f>
        <v>27520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475</v>
      </c>
      <c r="E27" s="219">
        <v>0.19</v>
      </c>
      <c r="F27" s="162">
        <f>G27*C7</f>
        <v>2500</v>
      </c>
      <c r="G27" s="104">
        <v>5</v>
      </c>
      <c r="H27" s="97" t="s">
        <v>114</v>
      </c>
    </row>
    <row r="30" spans="2:8" x14ac:dyDescent="0.4">
      <c r="B30" s="96" t="s">
        <v>115</v>
      </c>
    </row>
    <row r="31" spans="2:8" x14ac:dyDescent="0.4">
      <c r="B31" s="107" t="str">
        <f>C4&amp;"€"&amp;" "&amp;"je"&amp;" "&amp;"Gutschein"&amp;" "&amp;"x"&amp;" "&amp;C7&amp;" "&amp;"Roomnights"</f>
        <v>32,5€ je Gutschein x 500 Roomnights</v>
      </c>
      <c r="C31" s="233">
        <f>C7*C4</f>
        <v>16250</v>
      </c>
    </row>
    <row r="32" spans="2:8" x14ac:dyDescent="0.4">
      <c r="B32" s="108" t="s">
        <v>116</v>
      </c>
      <c r="C32" s="225">
        <f>C26+C27</f>
        <v>2401.4</v>
      </c>
    </row>
    <row r="33" spans="2:3" ht="14.5" thickBot="1" x14ac:dyDescent="0.45">
      <c r="B33" s="115" t="s">
        <v>117</v>
      </c>
      <c r="C33" s="234">
        <f>-(C13+C14)</f>
        <v>-4789.9159663865548</v>
      </c>
    </row>
    <row r="34" spans="2:3" x14ac:dyDescent="0.4">
      <c r="B34" s="96" t="s">
        <v>118</v>
      </c>
      <c r="C34" s="232">
        <f>SUM(C31:C33)</f>
        <v>13861.484033613448</v>
      </c>
    </row>
    <row r="36" spans="2:3" x14ac:dyDescent="0.4">
      <c r="B36" s="102" t="s">
        <v>119</v>
      </c>
      <c r="C36" s="235">
        <f>C12-C34</f>
        <v>11348.599999999999</v>
      </c>
    </row>
    <row r="37" spans="2:3" x14ac:dyDescent="0.4">
      <c r="B37" s="97" t="s">
        <v>120</v>
      </c>
      <c r="C37" s="236">
        <f>C36/C12</f>
        <v>0.45016113333333324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121</v>
      </c>
      <c r="Q2" s="95"/>
    </row>
    <row r="3" spans="2:19" x14ac:dyDescent="0.35">
      <c r="N3" t="s">
        <v>107</v>
      </c>
      <c r="O3" t="s">
        <v>122</v>
      </c>
    </row>
    <row r="4" spans="2:19" s="1" customFormat="1" ht="43.5" x14ac:dyDescent="0.35">
      <c r="B4" s="113" t="s">
        <v>10</v>
      </c>
      <c r="C4" s="113" t="s">
        <v>100</v>
      </c>
      <c r="D4" s="113" t="s">
        <v>123</v>
      </c>
      <c r="E4" s="113" t="s">
        <v>124</v>
      </c>
      <c r="F4" s="113" t="s">
        <v>125</v>
      </c>
      <c r="G4" s="113" t="s">
        <v>103</v>
      </c>
      <c r="H4" s="113" t="s">
        <v>91</v>
      </c>
      <c r="I4" s="113" t="s">
        <v>126</v>
      </c>
      <c r="J4" s="113"/>
      <c r="K4" s="113" t="s">
        <v>90</v>
      </c>
      <c r="L4" s="113" t="s">
        <v>107</v>
      </c>
      <c r="M4" s="113" t="s">
        <v>127</v>
      </c>
      <c r="N4" s="113" t="s">
        <v>128</v>
      </c>
      <c r="O4" s="113" t="s">
        <v>129</v>
      </c>
      <c r="P4" s="113" t="s">
        <v>36</v>
      </c>
      <c r="Q4" s="114" t="s">
        <v>37</v>
      </c>
      <c r="R4" s="113" t="s">
        <v>130</v>
      </c>
      <c r="S4" s="113" t="s">
        <v>131</v>
      </c>
    </row>
    <row r="5" spans="2:19" s="1" customFormat="1" x14ac:dyDescent="0.35">
      <c r="B5" s="9" t="s">
        <v>132</v>
      </c>
      <c r="C5" s="10" t="s">
        <v>133</v>
      </c>
      <c r="D5" s="10" t="s">
        <v>134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132</v>
      </c>
      <c r="C6" s="10" t="s">
        <v>135</v>
      </c>
      <c r="D6" s="10" t="s">
        <v>134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132</v>
      </c>
      <c r="C7" s="10" t="s">
        <v>136</v>
      </c>
      <c r="D7" s="10" t="s">
        <v>134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132</v>
      </c>
      <c r="C8" s="10" t="s">
        <v>137</v>
      </c>
      <c r="D8" s="10" t="s">
        <v>134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132</v>
      </c>
      <c r="C9" s="10" t="s">
        <v>138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139</v>
      </c>
      <c r="C10" s="15" t="s">
        <v>140</v>
      </c>
      <c r="D10" s="15" t="s">
        <v>134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139</v>
      </c>
      <c r="C11" s="75" t="s">
        <v>49</v>
      </c>
      <c r="D11" s="15" t="s">
        <v>134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141</v>
      </c>
      <c r="C12" s="75" t="s">
        <v>51</v>
      </c>
      <c r="D12" s="20" t="s">
        <v>134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141</v>
      </c>
      <c r="C13" s="75" t="s">
        <v>52</v>
      </c>
      <c r="D13" s="20" t="s">
        <v>134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142</v>
      </c>
      <c r="C14" s="75" t="s">
        <v>53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143</v>
      </c>
      <c r="C15" s="75" t="s">
        <v>54</v>
      </c>
      <c r="D15" s="10" t="s">
        <v>134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143</v>
      </c>
      <c r="C16" s="32" t="s">
        <v>55</v>
      </c>
      <c r="D16" s="32" t="s">
        <v>134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132</v>
      </c>
      <c r="C17" s="25" t="s">
        <v>144</v>
      </c>
      <c r="D17" s="32" t="s">
        <v>134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145</v>
      </c>
      <c r="C18" s="25" t="s">
        <v>146</v>
      </c>
      <c r="D18" s="32" t="s">
        <v>134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145</v>
      </c>
      <c r="C19" s="25" t="s">
        <v>147</v>
      </c>
      <c r="D19" s="32" t="s">
        <v>134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141</v>
      </c>
      <c r="C20" s="25" t="s">
        <v>148</v>
      </c>
      <c r="D20" s="20" t="s">
        <v>134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141</v>
      </c>
      <c r="C21" s="25" t="s">
        <v>149</v>
      </c>
      <c r="D21" s="20" t="s">
        <v>134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150</v>
      </c>
      <c r="C22" s="25" t="s">
        <v>151</v>
      </c>
      <c r="D22" s="20" t="s">
        <v>134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141</v>
      </c>
      <c r="C23" s="19" t="s">
        <v>152</v>
      </c>
      <c r="D23" s="20" t="s">
        <v>134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141</v>
      </c>
      <c r="C24" s="19" t="s">
        <v>153</v>
      </c>
      <c r="D24" s="20" t="s">
        <v>134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141</v>
      </c>
      <c r="C25" s="19" t="s">
        <v>154</v>
      </c>
      <c r="D25" s="20" t="s">
        <v>134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141</v>
      </c>
      <c r="C26" s="19" t="s">
        <v>155</v>
      </c>
      <c r="D26" s="20" t="s">
        <v>134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156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157</v>
      </c>
      <c r="Q31" s="2"/>
      <c r="R31" s="2"/>
      <c r="S31" s="2"/>
    </row>
    <row r="32" spans="2:19" s="1" customFormat="1" ht="29" x14ac:dyDescent="0.35">
      <c r="B32" s="113" t="s">
        <v>10</v>
      </c>
      <c r="C32" s="113" t="s">
        <v>100</v>
      </c>
      <c r="D32" s="113" t="s">
        <v>123</v>
      </c>
      <c r="E32" s="113" t="s">
        <v>124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158</v>
      </c>
      <c r="N32" s="113" t="s">
        <v>107</v>
      </c>
      <c r="O32" s="113" t="s">
        <v>129</v>
      </c>
      <c r="P32" s="113" t="s">
        <v>36</v>
      </c>
      <c r="Q32" s="114" t="s">
        <v>37</v>
      </c>
      <c r="R32" s="113" t="s">
        <v>130</v>
      </c>
      <c r="S32" s="113" t="s">
        <v>131</v>
      </c>
    </row>
    <row r="33" spans="2:19" x14ac:dyDescent="0.35">
      <c r="B33" s="9" t="s">
        <v>132</v>
      </c>
      <c r="C33" s="10" t="s">
        <v>133</v>
      </c>
      <c r="D33" s="10" t="s">
        <v>134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132</v>
      </c>
      <c r="C34" s="10" t="s">
        <v>135</v>
      </c>
      <c r="D34" s="10" t="s">
        <v>134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132</v>
      </c>
      <c r="C35" s="10" t="s">
        <v>136</v>
      </c>
      <c r="D35" s="10" t="s">
        <v>134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132</v>
      </c>
      <c r="C36" s="10" t="s">
        <v>137</v>
      </c>
      <c r="D36" s="10" t="s">
        <v>134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132</v>
      </c>
      <c r="C37" s="10" t="s">
        <v>138</v>
      </c>
      <c r="D37" s="10" t="s">
        <v>134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139</v>
      </c>
      <c r="C38" s="15" t="s">
        <v>140</v>
      </c>
      <c r="D38" s="15" t="s">
        <v>134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139</v>
      </c>
      <c r="C39" s="75" t="s">
        <v>49</v>
      </c>
      <c r="D39" s="15" t="s">
        <v>134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141</v>
      </c>
      <c r="C40" s="75" t="s">
        <v>51</v>
      </c>
      <c r="D40" s="20" t="s">
        <v>134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141</v>
      </c>
      <c r="C41" s="75" t="s">
        <v>52</v>
      </c>
      <c r="D41" s="20" t="s">
        <v>134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143</v>
      </c>
      <c r="C42" s="75" t="s">
        <v>53</v>
      </c>
      <c r="D42" s="32" t="s">
        <v>134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143</v>
      </c>
      <c r="C43" s="75" t="s">
        <v>54</v>
      </c>
      <c r="D43" s="32" t="s">
        <v>134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132</v>
      </c>
      <c r="C44" s="32" t="s">
        <v>55</v>
      </c>
      <c r="D44" s="10" t="s">
        <v>134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145</v>
      </c>
      <c r="C45" s="25" t="s">
        <v>146</v>
      </c>
      <c r="D45" s="32" t="s">
        <v>134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145</v>
      </c>
      <c r="C46" s="25" t="s">
        <v>147</v>
      </c>
      <c r="D46" s="32" t="s">
        <v>134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141</v>
      </c>
      <c r="C47" s="25" t="s">
        <v>148</v>
      </c>
      <c r="D47" s="32" t="s">
        <v>134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141</v>
      </c>
      <c r="C48" s="25" t="s">
        <v>149</v>
      </c>
      <c r="D48" s="32" t="s">
        <v>134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150</v>
      </c>
      <c r="C49" s="25" t="s">
        <v>151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141</v>
      </c>
      <c r="C50" s="19" t="s">
        <v>152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141</v>
      </c>
      <c r="C51" s="19" t="s">
        <v>153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141</v>
      </c>
      <c r="C52" s="19" t="s">
        <v>154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141</v>
      </c>
      <c r="C53" s="19" t="s">
        <v>155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159</v>
      </c>
      <c r="C54" s="25" t="s">
        <v>160</v>
      </c>
      <c r="D54" s="25" t="s">
        <v>161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162</v>
      </c>
      <c r="B1" t="s">
        <v>163</v>
      </c>
    </row>
    <row r="2" spans="1:2" x14ac:dyDescent="0.35">
      <c r="A2">
        <v>221220</v>
      </c>
      <c r="B2" t="s">
        <v>164</v>
      </c>
    </row>
    <row r="3" spans="1:2" x14ac:dyDescent="0.35">
      <c r="B3" t="s">
        <v>165</v>
      </c>
    </row>
    <row r="4" spans="1:2" x14ac:dyDescent="0.35">
      <c r="B4" t="s">
        <v>166</v>
      </c>
    </row>
    <row r="5" spans="1:2" x14ac:dyDescent="0.35">
      <c r="A5">
        <v>230126</v>
      </c>
      <c r="B5" t="s">
        <v>167</v>
      </c>
    </row>
    <row r="6" spans="1:2" x14ac:dyDescent="0.35">
      <c r="B6" t="s">
        <v>168</v>
      </c>
    </row>
    <row r="7" spans="1:2" x14ac:dyDescent="0.35">
      <c r="B7" t="s">
        <v>169</v>
      </c>
    </row>
    <row r="9" spans="1:2" x14ac:dyDescent="0.35">
      <c r="A9" t="s">
        <v>170</v>
      </c>
      <c r="B9" t="s">
        <v>171</v>
      </c>
    </row>
    <row r="10" spans="1:2" x14ac:dyDescent="0.35">
      <c r="B10" t="s">
        <v>172</v>
      </c>
    </row>
    <row r="11" spans="1:2" x14ac:dyDescent="0.35">
      <c r="B11" t="s">
        <v>173</v>
      </c>
    </row>
    <row r="12" spans="1:2" x14ac:dyDescent="0.35">
      <c r="A12" t="s">
        <v>174</v>
      </c>
      <c r="B12" t="s">
        <v>175</v>
      </c>
    </row>
    <row r="13" spans="1:2" x14ac:dyDescent="0.35">
      <c r="B13" t="s">
        <v>176</v>
      </c>
    </row>
    <row r="14" spans="1:2" x14ac:dyDescent="0.35">
      <c r="A14" t="s">
        <v>177</v>
      </c>
      <c r="B14" t="s">
        <v>178</v>
      </c>
    </row>
    <row r="15" spans="1:2" x14ac:dyDescent="0.35">
      <c r="B15" t="s">
        <v>179</v>
      </c>
    </row>
    <row r="16" spans="1:2" x14ac:dyDescent="0.35">
      <c r="A16" t="s">
        <v>180</v>
      </c>
      <c r="B16" t="s">
        <v>181</v>
      </c>
    </row>
    <row r="17" spans="1:2" x14ac:dyDescent="0.35">
      <c r="B17" t="s">
        <v>182</v>
      </c>
    </row>
    <row r="18" spans="1:2" x14ac:dyDescent="0.35">
      <c r="B18" t="s">
        <v>183</v>
      </c>
    </row>
    <row r="19" spans="1:2" x14ac:dyDescent="0.35">
      <c r="A19" t="s">
        <v>184</v>
      </c>
      <c r="B19" t="s">
        <v>185</v>
      </c>
    </row>
    <row r="20" spans="1:2" x14ac:dyDescent="0.35">
      <c r="B20" t="s">
        <v>186</v>
      </c>
    </row>
    <row r="21" spans="1:2" x14ac:dyDescent="0.35">
      <c r="A21" t="s">
        <v>187</v>
      </c>
      <c r="B21" t="s">
        <v>188</v>
      </c>
    </row>
    <row r="22" spans="1:2" x14ac:dyDescent="0.35">
      <c r="A22" t="s">
        <v>189</v>
      </c>
      <c r="B22" t="s">
        <v>190</v>
      </c>
    </row>
    <row r="23" spans="1:2" x14ac:dyDescent="0.35">
      <c r="A23" t="s">
        <v>191</v>
      </c>
      <c r="B23" t="s">
        <v>192</v>
      </c>
    </row>
    <row r="24" spans="1:2" x14ac:dyDescent="0.35">
      <c r="A24" t="s">
        <v>193</v>
      </c>
      <c r="B24" t="s">
        <v>194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195</v>
      </c>
      <c r="E4" s="125" t="s">
        <v>196</v>
      </c>
      <c r="F4" s="124" t="s">
        <v>197</v>
      </c>
      <c r="G4" s="125" t="s">
        <v>198</v>
      </c>
      <c r="H4" s="124" t="s">
        <v>199</v>
      </c>
      <c r="I4" s="125" t="s">
        <v>200</v>
      </c>
      <c r="J4" s="124" t="s">
        <v>201</v>
      </c>
      <c r="K4" s="125" t="s">
        <v>202</v>
      </c>
      <c r="L4" s="124" t="s">
        <v>203</v>
      </c>
      <c r="M4" s="125" t="s">
        <v>204</v>
      </c>
      <c r="N4" s="124" t="s">
        <v>205</v>
      </c>
      <c r="O4" s="125" t="s">
        <v>206</v>
      </c>
      <c r="P4" s="124" t="s">
        <v>207</v>
      </c>
      <c r="Q4" s="125" t="s">
        <v>208</v>
      </c>
      <c r="R4" s="124" t="s">
        <v>209</v>
      </c>
      <c r="S4" s="125" t="s">
        <v>210</v>
      </c>
      <c r="T4" s="124" t="s">
        <v>211</v>
      </c>
      <c r="U4" s="125" t="s">
        <v>212</v>
      </c>
      <c r="V4" s="124" t="s">
        <v>213</v>
      </c>
      <c r="W4" s="125" t="s">
        <v>214</v>
      </c>
      <c r="X4" s="124" t="s">
        <v>215</v>
      </c>
      <c r="Y4" s="125" t="s">
        <v>216</v>
      </c>
      <c r="Z4" s="124" t="s">
        <v>217</v>
      </c>
      <c r="AA4" s="125" t="s">
        <v>218</v>
      </c>
      <c r="AB4" s="124" t="s">
        <v>219</v>
      </c>
      <c r="AC4" s="125" t="s">
        <v>220</v>
      </c>
      <c r="AD4" s="124" t="s">
        <v>221</v>
      </c>
      <c r="AE4" s="125" t="s">
        <v>222</v>
      </c>
      <c r="AF4" s="124" t="s">
        <v>223</v>
      </c>
      <c r="AG4" s="125" t="s">
        <v>224</v>
      </c>
      <c r="AH4" s="124" t="s">
        <v>225</v>
      </c>
      <c r="AI4" s="125" t="s">
        <v>226</v>
      </c>
      <c r="AJ4" s="124" t="s">
        <v>227</v>
      </c>
      <c r="AK4" s="125" t="s">
        <v>228</v>
      </c>
      <c r="AL4" s="124" t="s">
        <v>229</v>
      </c>
      <c r="AM4" s="125" t="s">
        <v>230</v>
      </c>
      <c r="AN4" s="124" t="s">
        <v>231</v>
      </c>
      <c r="AQ4" s="116" t="s">
        <v>232</v>
      </c>
      <c r="AR4" s="116" t="s">
        <v>233</v>
      </c>
      <c r="AS4" s="116" t="s">
        <v>234</v>
      </c>
      <c r="AT4" s="116" t="s">
        <v>235</v>
      </c>
      <c r="AU4" s="116" t="s">
        <v>236</v>
      </c>
      <c r="AV4" s="116" t="s">
        <v>237</v>
      </c>
      <c r="AW4" s="116" t="s">
        <v>238</v>
      </c>
      <c r="AX4" s="116" t="s">
        <v>239</v>
      </c>
      <c r="AY4" s="116" t="s">
        <v>240</v>
      </c>
      <c r="AZ4" s="116" t="s">
        <v>241</v>
      </c>
      <c r="BA4" s="116" t="s">
        <v>242</v>
      </c>
      <c r="BB4" s="116" t="s">
        <v>243</v>
      </c>
    </row>
    <row r="5" spans="2:54" x14ac:dyDescent="0.35">
      <c r="C5" s="116" t="s">
        <v>244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245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246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2337.5</v>
      </c>
      <c r="F7" s="129">
        <f>IF($B$6=100%,(('Preise Output'!$F$10-INDEX(Annahmen!$B$18:$C$22,MATCH('Preise Output'!$C$7,Annahmen!$B$18:$B$22,0),2))*'Preise Output'!$E$26)/10,('Preise Output'!$E$26*'Preise Output'!$F$10-$D$6)/10)</f>
        <v>2337.5</v>
      </c>
      <c r="G7" s="129">
        <f>IF($B$6=100%,(('Preise Output'!$F$10-INDEX(Annahmen!$B$18:$C$22,MATCH('Preise Output'!$C$7,Annahmen!$B$18:$B$22,0),2))*'Preise Output'!$E$26)/10,('Preise Output'!$E$26*'Preise Output'!$F$10-$D$6)/10)</f>
        <v>2337.5</v>
      </c>
      <c r="H7" s="129">
        <f>IF($B$6=100%,(('Preise Output'!$F$10-INDEX(Annahmen!$B$18:$C$22,MATCH('Preise Output'!$C$7,Annahmen!$B$18:$B$22,0),2))*'Preise Output'!$E$26)/10,('Preise Output'!$E$26*'Preise Output'!$F$10-$D$6)/10)</f>
        <v>2337.5</v>
      </c>
      <c r="I7" s="129">
        <f>IF($B$6=100%,(('Preise Output'!$F$10-INDEX(Annahmen!$B$18:$C$22,MATCH('Preise Output'!$C$7,Annahmen!$B$18:$B$22,0),2))*'Preise Output'!$E$26)/10,('Preise Output'!$E$26*'Preise Output'!$F$10-$D$6)/10)</f>
        <v>2337.5</v>
      </c>
      <c r="J7" s="129">
        <f>IF($B$6=100%,(('Preise Output'!$F$10-INDEX(Annahmen!$B$18:$C$22,MATCH('Preise Output'!$C$7,Annahmen!$B$18:$B$22,0),2))*'Preise Output'!$E$26)/10,('Preise Output'!$E$26*'Preise Output'!$F$10-$D$6)/10)</f>
        <v>2337.5</v>
      </c>
      <c r="K7" s="129">
        <f>IF($B$6=100%,(('Preise Output'!$F$10-INDEX(Annahmen!$B$18:$C$22,MATCH('Preise Output'!$C$7,Annahmen!$B$18:$B$22,0),2))*'Preise Output'!$E$26)/10,('Preise Output'!$E$26*'Preise Output'!$F$10-$D$6)/10)</f>
        <v>2337.5</v>
      </c>
      <c r="L7" s="129">
        <f>IF($B$6=100%,(('Preise Output'!$F$10-INDEX(Annahmen!$B$18:$C$22,MATCH('Preise Output'!$C$7,Annahmen!$B$18:$B$22,0),2))*'Preise Output'!$E$26)/10,('Preise Output'!$E$26*'Preise Output'!$F$10-$D$6)/10)</f>
        <v>2337.5</v>
      </c>
      <c r="M7" s="129">
        <f>IF($B$6=100%,(('Preise Output'!$F$10-INDEX(Annahmen!$B$18:$C$22,MATCH('Preise Output'!$C$7,Annahmen!$B$18:$B$22,0),2))*'Preise Output'!$E$26)/10,('Preise Output'!$E$26*'Preise Output'!$F$10-$D$6)/10)</f>
        <v>2337.5</v>
      </c>
      <c r="N7" s="129">
        <f>IF($B$6=100%,(('Preise Output'!$F$10-INDEX(Annahmen!$B$18:$C$22,MATCH('Preise Output'!$C$7,Annahmen!$B$18:$B$22,0),2))*'Preise Output'!$E$26)/10,('Preise Output'!$E$26*'Preise Output'!$F$10-$D$6)/10)</f>
        <v>2337.5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2337.5</v>
      </c>
      <c r="R7" s="129">
        <f>IF($B$6=100%,(('Preise Output'!$F$10-INDEX(Annahmen!$B$18:$C$22,MATCH('Preise Output'!$C$7,Annahmen!$B$18:$B$22,0),2))*'Preise Output'!$E$26)/10,('Preise Output'!$E$26*'Preise Output'!$F$10-$D$6)/10)</f>
        <v>2337.5</v>
      </c>
      <c r="S7" s="129">
        <f>IF($B$6=100%,(('Preise Output'!$F$10-INDEX(Annahmen!$B$18:$C$22,MATCH('Preise Output'!$C$7,Annahmen!$B$18:$B$22,0),2))*'Preise Output'!$E$26)/10,('Preise Output'!$E$26*'Preise Output'!$F$10-$D$6)/10)</f>
        <v>2337.5</v>
      </c>
      <c r="T7" s="129">
        <f>IF($B$6=100%,(('Preise Output'!$F$10-INDEX(Annahmen!$B$18:$C$22,MATCH('Preise Output'!$C$7,Annahmen!$B$18:$B$22,0),2))*'Preise Output'!$E$26)/10,('Preise Output'!$E$26*'Preise Output'!$F$10-$D$6)/10)</f>
        <v>2337.5</v>
      </c>
      <c r="U7" s="129">
        <f>IF($B$6=100%,(('Preise Output'!$F$10-INDEX(Annahmen!$B$18:$C$22,MATCH('Preise Output'!$C$7,Annahmen!$B$18:$B$22,0),2))*'Preise Output'!$E$26)/10,('Preise Output'!$E$26*'Preise Output'!$F$10-$D$6)/10)</f>
        <v>2337.5</v>
      </c>
      <c r="V7" s="129">
        <f>IF($B$6=100%,(('Preise Output'!$F$10-INDEX(Annahmen!$B$18:$C$22,MATCH('Preise Output'!$C$7,Annahmen!$B$18:$B$22,0),2))*'Preise Output'!$E$26)/10,('Preise Output'!$E$26*'Preise Output'!$F$10-$D$6)/10)</f>
        <v>2337.5</v>
      </c>
      <c r="W7" s="129">
        <f>IF($B$6=100%,(('Preise Output'!$F$10-INDEX(Annahmen!$B$18:$C$22,MATCH('Preise Output'!$C$7,Annahmen!$B$18:$B$22,0),2))*'Preise Output'!$E$26)/10,('Preise Output'!$E$26*'Preise Output'!$F$10-$D$6)/10)</f>
        <v>2337.5</v>
      </c>
      <c r="X7" s="129">
        <f>IF($B$6=100%,(('Preise Output'!$F$10-INDEX(Annahmen!$B$18:$C$22,MATCH('Preise Output'!$C$7,Annahmen!$B$18:$B$22,0),2))*'Preise Output'!$E$26)/10,('Preise Output'!$E$26*'Preise Output'!$F$10-$D$6)/10)</f>
        <v>2337.5</v>
      </c>
      <c r="Y7" s="129">
        <f>IF($B$6=100%,(('Preise Output'!$F$10-INDEX(Annahmen!$B$18:$C$22,MATCH('Preise Output'!$C$7,Annahmen!$B$18:$B$22,0),2))*'Preise Output'!$E$26)/10,('Preise Output'!$E$26*'Preise Output'!$F$10-$D$6)/10)</f>
        <v>2337.5</v>
      </c>
      <c r="Z7" s="129">
        <f>IF($B$6=100%,(('Preise Output'!$F$10-INDEX(Annahmen!$B$18:$C$22,MATCH('Preise Output'!$C$7,Annahmen!$B$18:$B$22,0),2))*'Preise Output'!$E$26)/10,('Preise Output'!$E$26*'Preise Output'!$F$10-$D$6)/10)</f>
        <v>2337.5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2337.5</v>
      </c>
      <c r="AD7" s="129">
        <f>IF($B$6=100%,(('Preise Output'!$F$10-INDEX(Annahmen!$B$18:$C$22,MATCH('Preise Output'!$C$7,Annahmen!$B$18:$B$22,0),2))*'Preise Output'!$E$26)/10,('Preise Output'!$E$26*'Preise Output'!$F$10-$D$6)/10)</f>
        <v>2337.5</v>
      </c>
      <c r="AE7" s="129">
        <f>IF($B$6=100%,(('Preise Output'!$F$10-INDEX(Annahmen!$B$18:$C$22,MATCH('Preise Output'!$C$7,Annahmen!$B$18:$B$22,0),2))*'Preise Output'!$E$26)/10,('Preise Output'!$E$26*'Preise Output'!$F$10-$D$6)/10)</f>
        <v>2337.5</v>
      </c>
      <c r="AF7" s="129">
        <f>IF($B$6=100%,(('Preise Output'!$F$10-INDEX(Annahmen!$B$18:$C$22,MATCH('Preise Output'!$C$7,Annahmen!$B$18:$B$22,0),2))*'Preise Output'!$E$26)/10,('Preise Output'!$E$26*'Preise Output'!$F$10-$D$6)/10)</f>
        <v>2337.5</v>
      </c>
      <c r="AG7" s="129">
        <f>IF($B$6=100%,(('Preise Output'!$F$10-INDEX(Annahmen!$B$18:$C$22,MATCH('Preise Output'!$C$7,Annahmen!$B$18:$B$22,0),2))*'Preise Output'!$E$26)/10,('Preise Output'!$E$26*'Preise Output'!$F$10-$D$6)/10)</f>
        <v>2337.5</v>
      </c>
      <c r="AH7" s="129">
        <f>IF($B$6=100%,(('Preise Output'!$F$10-INDEX(Annahmen!$B$18:$C$22,MATCH('Preise Output'!$C$7,Annahmen!$B$18:$B$22,0),2))*'Preise Output'!$E$26)/10,('Preise Output'!$E$26*'Preise Output'!$F$10-$D$6)/10)</f>
        <v>2337.5</v>
      </c>
      <c r="AI7" s="129">
        <f>IF($B$6=100%,(('Preise Output'!$F$10-INDEX(Annahmen!$B$18:$C$22,MATCH('Preise Output'!$C$7,Annahmen!$B$18:$B$22,0),2))*'Preise Output'!$E$26)/10,('Preise Output'!$E$26*'Preise Output'!$F$10-$D$6)/10)</f>
        <v>2337.5</v>
      </c>
      <c r="AJ7" s="129">
        <f>IF($B$6=100%,(('Preise Output'!$F$10-INDEX(Annahmen!$B$18:$C$22,MATCH('Preise Output'!$C$7,Annahmen!$B$18:$B$22,0),2))*'Preise Output'!$E$26)/10,('Preise Output'!$E$26*'Preise Output'!$F$10-$D$6)/10)</f>
        <v>2337.5</v>
      </c>
      <c r="AK7" s="129">
        <f>IF($B$6=100%,(('Preise Output'!$F$10-INDEX(Annahmen!$B$18:$C$22,MATCH('Preise Output'!$C$7,Annahmen!$B$18:$B$22,0),2))*'Preise Output'!$E$26)/10,('Preise Output'!$E$26*'Preise Output'!$F$10-$D$6)/10)</f>
        <v>2337.5</v>
      </c>
      <c r="AL7" s="129">
        <f>IF($B$6=100%,(('Preise Output'!$F$10-INDEX(Annahmen!$B$18:$C$22,MATCH('Preise Output'!$C$7,Annahmen!$B$18:$B$22,0),2))*'Preise Output'!$E$26)/10,('Preise Output'!$E$26*'Preise Output'!$F$10-$D$6)/10)</f>
        <v>2337.5</v>
      </c>
      <c r="AM7" s="130"/>
      <c r="AN7" s="130">
        <f t="shared" ref="AN7:AN43" si="0">SUM(D7:AM7)</f>
        <v>70125</v>
      </c>
      <c r="AQ7" s="130">
        <f t="shared" ref="AQ7:AQ45" si="1">SUM(D7:F7)</f>
        <v>4675</v>
      </c>
      <c r="AR7" s="130">
        <f t="shared" ref="AR7:AR45" si="2">SUM(G7:I7)</f>
        <v>7012.5</v>
      </c>
      <c r="AS7" s="130">
        <f t="shared" ref="AS7:AS45" si="3">SUM(J7:L7)</f>
        <v>7012.5</v>
      </c>
      <c r="AT7" s="130">
        <f t="shared" ref="AT7:AT45" si="4">SUM(M7:O7)</f>
        <v>4675</v>
      </c>
      <c r="AU7" s="130">
        <f t="shared" ref="AU7:AU45" si="5">SUM(P7:R7)</f>
        <v>4675</v>
      </c>
      <c r="AV7" s="130">
        <f t="shared" ref="AV7:AV45" si="6">SUM(S7:U7)</f>
        <v>7012.5</v>
      </c>
      <c r="AW7" s="130">
        <f t="shared" ref="AW7:AW45" si="7">SUM(V7:X7)</f>
        <v>7012.5</v>
      </c>
      <c r="AX7" s="130">
        <f t="shared" ref="AX7:AX45" si="8">SUM(Y7:AA7)</f>
        <v>4675</v>
      </c>
      <c r="AY7" s="130">
        <f t="shared" ref="AY7:AY45" si="9">SUM(AB7:AD7)</f>
        <v>4675</v>
      </c>
      <c r="AZ7" s="130">
        <f t="shared" ref="AZ7:AZ45" si="10">SUM(AE7:AG7)</f>
        <v>7012.5</v>
      </c>
      <c r="BA7" s="130">
        <f t="shared" ref="BA7:BA45" si="11">SUM(AH7:AJ7)</f>
        <v>7012.5</v>
      </c>
      <c r="BB7" s="130">
        <f t="shared" ref="BB7:BB45" si="12">SUM(AK7:AM7)</f>
        <v>4675</v>
      </c>
    </row>
    <row r="8" spans="2:54" x14ac:dyDescent="0.35">
      <c r="C8" s="116" t="s">
        <v>247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248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249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142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107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250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251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252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253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254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139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249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142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107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250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253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254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255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161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245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142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107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252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253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254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141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249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256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253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257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159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161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142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250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258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31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259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260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261</v>
      </c>
      <c r="P2" s="136"/>
      <c r="Q2" s="136"/>
      <c r="R2" s="136"/>
      <c r="S2" s="136"/>
      <c r="T2" s="136"/>
      <c r="U2" s="136"/>
    </row>
    <row r="3" spans="2:21" x14ac:dyDescent="0.35">
      <c r="F3" t="s">
        <v>249</v>
      </c>
      <c r="G3" t="s">
        <v>142</v>
      </c>
      <c r="H3" t="s">
        <v>250</v>
      </c>
      <c r="I3" t="s">
        <v>253</v>
      </c>
      <c r="J3" t="s">
        <v>252</v>
      </c>
      <c r="K3" t="s">
        <v>262</v>
      </c>
      <c r="L3" t="s">
        <v>262</v>
      </c>
      <c r="M3" t="s">
        <v>107</v>
      </c>
    </row>
    <row r="4" spans="2:21" s="1" customFormat="1" ht="43.5" x14ac:dyDescent="0.35">
      <c r="B4" s="113" t="s">
        <v>10</v>
      </c>
      <c r="C4" s="113" t="s">
        <v>100</v>
      </c>
      <c r="D4" s="113" t="s">
        <v>34</v>
      </c>
      <c r="E4" s="113" t="s">
        <v>245</v>
      </c>
      <c r="F4" s="113" t="s">
        <v>263</v>
      </c>
      <c r="G4" s="113" t="s">
        <v>264</v>
      </c>
      <c r="H4" s="113" t="s">
        <v>265</v>
      </c>
      <c r="I4" s="113" t="s">
        <v>266</v>
      </c>
      <c r="J4" s="113" t="s">
        <v>267</v>
      </c>
      <c r="K4" s="113" t="s">
        <v>268</v>
      </c>
      <c r="L4" s="113" t="s">
        <v>127</v>
      </c>
      <c r="M4" s="113" t="s">
        <v>269</v>
      </c>
      <c r="N4" s="113" t="s">
        <v>254</v>
      </c>
      <c r="P4" s="138" t="s">
        <v>270</v>
      </c>
      <c r="Q4" s="138" t="s">
        <v>271</v>
      </c>
      <c r="R4" s="138" t="s">
        <v>272</v>
      </c>
      <c r="S4" s="138" t="s">
        <v>143</v>
      </c>
      <c r="T4" s="138" t="s">
        <v>273</v>
      </c>
      <c r="U4" s="138" t="s">
        <v>274</v>
      </c>
    </row>
    <row r="5" spans="2:21" s="1" customFormat="1" x14ac:dyDescent="0.35">
      <c r="B5" s="9" t="s">
        <v>132</v>
      </c>
      <c r="C5" s="10" t="s">
        <v>133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132</v>
      </c>
      <c r="C6" s="10" t="s">
        <v>135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132</v>
      </c>
      <c r="C7" s="10" t="s">
        <v>136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132</v>
      </c>
      <c r="C8" s="10" t="s">
        <v>137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132</v>
      </c>
      <c r="C9" s="10" t="s">
        <v>138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139</v>
      </c>
      <c r="C10" s="15" t="s">
        <v>140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139</v>
      </c>
      <c r="C11" s="15" t="s">
        <v>275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141</v>
      </c>
      <c r="C12" s="19" t="s">
        <v>276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141</v>
      </c>
      <c r="C13" s="19" t="s">
        <v>277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141</v>
      </c>
      <c r="C14" s="19" t="s">
        <v>278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143</v>
      </c>
      <c r="C15" s="32" t="s">
        <v>255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143</v>
      </c>
      <c r="C16" s="32" t="s">
        <v>258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44962.5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159</v>
      </c>
      <c r="C17" s="25" t="s">
        <v>279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159</v>
      </c>
      <c r="C18" s="25" t="s">
        <v>280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159</v>
      </c>
      <c r="C19" s="25" t="s">
        <v>281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159</v>
      </c>
      <c r="C20" s="25" t="s">
        <v>282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159</v>
      </c>
      <c r="C21" s="25" t="s">
        <v>283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159</v>
      </c>
      <c r="C22" s="25" t="s">
        <v>284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141</v>
      </c>
      <c r="C23" s="19" t="s">
        <v>285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141</v>
      </c>
      <c r="C24" s="19" t="s">
        <v>286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159</v>
      </c>
      <c r="C25" s="25" t="s">
        <v>160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159</v>
      </c>
      <c r="C26" s="25" t="s">
        <v>160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287</v>
      </c>
      <c r="C4" s="8" t="s">
        <v>288</v>
      </c>
    </row>
    <row r="5" spans="2:3" x14ac:dyDescent="0.35">
      <c r="B5" s="3" t="s">
        <v>289</v>
      </c>
      <c r="C5" s="4">
        <v>0</v>
      </c>
    </row>
    <row r="6" spans="2:3" x14ac:dyDescent="0.35">
      <c r="B6" s="3" t="s">
        <v>290</v>
      </c>
      <c r="C6" s="4">
        <v>0</v>
      </c>
    </row>
    <row r="7" spans="2:3" x14ac:dyDescent="0.35">
      <c r="B7" s="3" t="s">
        <v>291</v>
      </c>
      <c r="C7" s="4">
        <v>0</v>
      </c>
    </row>
    <row r="8" spans="2:3" x14ac:dyDescent="0.35">
      <c r="B8" s="3" t="s">
        <v>292</v>
      </c>
      <c r="C8" s="4">
        <v>0</v>
      </c>
    </row>
    <row r="9" spans="2:3" x14ac:dyDescent="0.35">
      <c r="B9" s="3" t="s">
        <v>293</v>
      </c>
      <c r="C9" s="4">
        <v>0</v>
      </c>
    </row>
    <row r="11" spans="2:3" x14ac:dyDescent="0.35">
      <c r="B11" s="8" t="s">
        <v>294</v>
      </c>
      <c r="C11" s="8" t="s">
        <v>288</v>
      </c>
    </row>
    <row r="12" spans="2:3" x14ac:dyDescent="0.35">
      <c r="B12" s="3" t="s">
        <v>295</v>
      </c>
      <c r="C12" s="4">
        <v>0</v>
      </c>
    </row>
    <row r="13" spans="2:3" x14ac:dyDescent="0.35">
      <c r="B13" s="3" t="s">
        <v>296</v>
      </c>
      <c r="C13" s="4">
        <v>0</v>
      </c>
    </row>
    <row r="14" spans="2:3" x14ac:dyDescent="0.35">
      <c r="B14" s="3" t="s">
        <v>297</v>
      </c>
      <c r="C14" s="4">
        <v>0.05</v>
      </c>
    </row>
    <row r="15" spans="2:3" x14ac:dyDescent="0.35">
      <c r="B15" s="3" t="s">
        <v>298</v>
      </c>
      <c r="C15" s="4">
        <v>0.15</v>
      </c>
    </row>
    <row r="17" spans="2:12" x14ac:dyDescent="0.35">
      <c r="B17" s="213" t="s">
        <v>299</v>
      </c>
      <c r="C17" s="8"/>
      <c r="D17" s="8" t="s">
        <v>300</v>
      </c>
      <c r="E17" s="116" t="s">
        <v>301</v>
      </c>
      <c r="F17" s="127" t="s">
        <v>302</v>
      </c>
    </row>
    <row r="18" spans="2:12" x14ac:dyDescent="0.35">
      <c r="B18" s="3" t="s">
        <v>303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304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305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11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306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F2D913B-2292-4B51-AAF3-CFB86B5DB29A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2025-05-22T10:21:38Z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