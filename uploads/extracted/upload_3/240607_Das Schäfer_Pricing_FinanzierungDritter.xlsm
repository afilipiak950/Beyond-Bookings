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Das Schäfer/"/>
    </mc:Choice>
  </mc:AlternateContent>
  <xr:revisionPtr revIDLastSave="46" documentId="8_{207F9823-9F7A-439A-86BD-E629EE244269}" xr6:coauthVersionLast="47" xr6:coauthVersionMax="47" xr10:uidLastSave="{E13F852A-8F7B-442D-9FB4-190C473777CB}"/>
  <bookViews>
    <workbookView xWindow="-105" yWindow="0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<sst xmlns="http://schemas.openxmlformats.org/spreadsheetml/2006/main" count="510" uniqueCount="297">
  <si>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</si>
  <si>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</si>
  <si>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</si>
  <si>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</si>
  <si>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</si>
  <si>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</si>
  <si>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</si>
  <si>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</si>
  <si>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</si>
  <si>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</si>
  <si>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</si>
  <si>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</si>
  <si>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</si>
  <si>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</si>
  <si>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</si>
  <si>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</si>
  <si>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</si>
  <si>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</si>
  <si>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</si>
  <si>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</si>
  <si>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</si>
  <si>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</si>
  <si>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</si>
  <si>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</si>
  <si>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</si>
  <si>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</si>
  <si>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</si>
  <si>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</si>
  <si>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</si>
  <si>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</si>
  <si>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</si>
  <si>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</si>
  <si>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</si>
  <si>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</si>
  <si>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</si>
  <si>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</si>
  <si>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</si>
  <si>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</si>
  <si>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</si>
  <si>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</si>
  <si>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</si>
  <si>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</si>
  <si>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</si>
  <si>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</si>
  <si>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</si>
  <si>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</si>
  <si>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</si>
  <si>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</si>
  <si>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</si>
  <si>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</si>
  <si>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</si>
  <si>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</si>
  <si>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</si>
  <si>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</si>
  <si>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</si>
  <si>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</si>
  <si>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</si>
  <si>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</si>
  <si>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</si>
  <si>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</si>
  <si>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</si>
  <si>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</si>
  <si>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</si>
  <si>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</si>
  <si>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</si>
  <si>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</si>
  <si>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</si>
  <si>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</si>
  <si>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</si>
  <si>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</si>
  <si>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</si>
  <si>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</si>
  <si>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</si>
  <si>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</si>
  <si>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</si>
  <si>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</si>
  <si>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</si>
  <si>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</si>
  <si>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</si>
  <si>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</si>
  <si>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</si>
  <si>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</si>
  <si>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</si>
  <si>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</si>
  <si>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</si>
  <si>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</si>
  <si>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</si>
  <si>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</si>
  <si>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</si>
  <si>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</si>
  <si>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</si>
  <si>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</si>
  <si>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</si>
  <si>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</si>
  <si>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</si>
  <si>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</si>
  <si>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</si>
  <si>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</si>
  <si>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</si>
  <si>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</si>
  <si>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</si>
  <si>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</si>
  <si>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</si>
  <si>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</si>
  <si>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</si>
  <si>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</si>
  <si>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</si>
  <si>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</si>
  <si>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</si>
  <si>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</si>
  <si>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</si>
  <si>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</si>
  <si>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</si>
  <si>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</si>
  <si>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</si>
  <si>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</si>
  <si>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</si>
  <si>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</si>
  <si>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</si>
  <si>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</si>
  <si>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</si>
  <si>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</si>
  <si>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</si>
  <si>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</si>
  <si>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</si>
  <si>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</si>
  <si>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</si>
  <si>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</si>
  <si>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</si>
  <si>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</si>
  <si>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</si>
  <si>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</si>
  <si>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</si>
  <si>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</si>
  <si>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</si>
  <si>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</si>
  <si>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</si>
  <si>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</si>
  <si>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</si>
  <si>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</si>
  <si>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</si>
  <si>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</si>
  <si>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</si>
  <si>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</si>
  <si>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</si>
  <si>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</si>
  <si>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</si>
  <si>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</si>
  <si>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</si>
  <si>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</si>
  <si>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</si>
  <si>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</si>
  <si>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</si>
  <si>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</si>
  <si>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</si>
  <si>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</si>
  <si>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</si>
  <si>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</si>
  <si>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</si>
  <si>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</si>
  <si>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</si>
  <si>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</si>
  <si>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</si>
  <si>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</si>
  <si>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</si>
  <si>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</si>
  <si>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</si>
  <si>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</si>
  <si>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</si>
  <si>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</si>
  <si>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</si>
  <si>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</si>
  <si>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</si>
  <si>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</si>
  <si>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</si>
  <si>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</si>
  <si>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</si>
  <si>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</si>
  <si>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</si>
  <si>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</si>
  <si>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</si>
  <si>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</si>
  <si>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</si>
  <si>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</si>
  <si>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</si>
  <si>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</si>
  <si>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</si>
  <si>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</si>
  <si>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</si>
  <si>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</si>
  <si>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</si>
  <si>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</si>
  <si>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</si>
  <si>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</si>
  <si>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</si>
  <si>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</si>
  <si>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</si>
  <si>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</si>
  <si>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</si>
  <si>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</si>
  <si>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</si>
  <si>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</si>
  <si>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</si>
  <si>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</si>
  <si>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</si>
  <si>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</si>
  <si>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</si>
  <si>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</si>
  <si>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</si>
  <si>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</si>
  <si>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</si>
  <si>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</si>
  <si>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</si>
  <si>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</si>
  <si>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</si>
  <si>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</si>
  <si>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</si>
  <si>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</si>
  <si>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</si>
  <si>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</si>
  <si>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</si>
  <si>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</si>
  <si>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</si>
  <si>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</si>
  <si>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</si>
  <si>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</si>
  <si>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</si>
  <si>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</si>
  <si>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</si>
  <si>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</si>
  <si>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</si>
  <si>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</si>
  <si>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</si>
  <si>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</si>
  <si>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</si>
  <si>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</si>
  <si>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</si>
  <si>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</si>
  <si>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</si>
  <si>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</si>
  <si>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</si>
  <si>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</si>
  <si>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</si>
  <si>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</si>
  <si>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</si>
  <si>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</si>
  <si>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</si>
  <si>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</si>
  <si>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</si>
  <si>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</si>
  <si>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</si>
  <si>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</si>
  <si>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</si>
  <si>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</si>
  <si>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</si>
  <si>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</si>
  <si>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</si>
  <si>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</si>
  <si>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</si>
  <si>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</si>
  <si>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</si>
  <si>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</si>
  <si>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</si>
  <si>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</si>
  <si>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</si>
  <si>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</si>
  <si>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</si>
  <si>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</si>
  <si>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</si>
  <si>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</si>
  <si>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</si>
  <si>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</si>
  <si>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</si>
  <si>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</si>
  <si>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</si>
  <si>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</si>
  <si>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</si>
  <si>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</si>
  <si>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</si>
  <si>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</si>
  <si>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</si>
  <si>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</si>
  <si>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</si>
  <si>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</si>
  <si>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</si>
  <si>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</si>
  <si>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</si>
  <si>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</si>
  <si>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</si>
  <si>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</si>
  <si>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</si>
  <si>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</si>
  <si>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</si>
  <si>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</si>
  <si>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</si>
  <si>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</si>
  <si>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Das Schäfer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</si>
</sst>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45623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169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4380.0000000000009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657.00000000000011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260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35">
      <c r="B25" s="97" t="str">
        <f>"Das enspricht "&amp;TEXT('Preise Output'!E26/('Preise Output'!C10),"0,0%") &amp; " des Leerstands p.a."</f>
        <v>Das enspricht 13,0%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1200.2991000000002</v>
      </c>
      <c r="E26" s="223">
        <v>7.0000000000000007E-2</v>
      </c>
      <c r="F26" s="162">
        <f>C24-F27</f>
        <v>17147.13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542.45000000000005</v>
      </c>
      <c r="E27" s="223">
        <v>0.19</v>
      </c>
      <c r="F27" s="162">
        <f>G27*C7</f>
        <v>2855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35">
      <c r="B32" s="108" t="s">
        <v>293</v>
      </c>
      <c r="C32" s="229">
        <f>C26+C27</f>
        <v>1742.7491000000002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9969.471789075631</v>
      </c>
    </row>
    <row r="36" spans="2:3" x14ac:dyDescent="0.35">
      <c r="B36" s="102" t="s">
        <v>65</v>
      </c>
      <c r="C36" s="239">
        <f>C12-C34</f>
        <v>6837.2509000000009</v>
      </c>
    </row>
    <row r="37" spans="2:3" x14ac:dyDescent="0.35">
      <c r="B37" s="97" t="s">
        <v>289</v>
      </c>
      <c r="C37" s="240">
        <f>C36/C12</f>
        <v>0.40681642855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D5D8D403-73FA-4E86-B881-DE88B1BE96C4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2024-11-27T10:47:16Z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