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AT Hotel &amp; Apartmenthaus Berlin/"/>
    </mc:Choice>
  </mc:AlternateContent>
  <xr:revisionPtr revIDLastSave="53" documentId="8_{207F9823-9F7A-439A-86BD-E629EE244269}" xr6:coauthVersionLast="47" xr6:coauthVersionMax="47" xr10:uidLastSave="{6190D06F-D2D2-43EE-9363-D3C64558947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<sst xmlns="http://schemas.openxmlformats.org/spreadsheetml/2006/main" count="511" uniqueCount="298">
  <si>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</si>
  <si>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</si>
  <si>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</si>
  <si>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</si>
  <si>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</si>
  <si>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</si>
  <si>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</si>
  <si>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</si>
  <si>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</si>
  <si>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</si>
  <si>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</si>
  <si>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</si>
  <si>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</si>
  <si>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</si>
  <si>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</si>
  <si>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</si>
  <si>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</si>
  <si>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</si>
  <si>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</si>
  <si>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</si>
  <si>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</si>
  <si>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</si>
  <si>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</si>
  <si>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</si>
  <si>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</si>
  <si>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</si>
  <si>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</si>
  <si>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</si>
  <si>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</si>
  <si>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</si>
  <si>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</si>
  <si>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</si>
  <si>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</si>
  <si>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</si>
  <si>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</si>
  <si>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</si>
  <si>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</si>
  <si>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</si>
  <si>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</si>
  <si>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</si>
  <si>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</si>
  <si>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</si>
  <si>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</si>
  <si>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</si>
  <si>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</si>
  <si>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</si>
  <si>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</si>
  <si>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</si>
  <si>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</si>
  <si>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</si>
  <si>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</si>
  <si>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</si>
  <si>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</si>
  <si>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</si>
  <si>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</si>
  <si>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</si>
  <si>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</si>
  <si>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</si>
  <si>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</si>
  <si>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</si>
  <si>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</si>
  <si>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</si>
  <si>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</si>
  <si>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</si>
  <si>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</si>
  <si>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</si>
  <si>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</si>
  <si>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</si>
  <si>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</si>
  <si>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</si>
  <si>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</si>
  <si>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</si>
  <si>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</si>
  <si>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</si>
  <si>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</si>
  <si>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</si>
  <si>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</si>
  <si>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</si>
  <si>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</si>
  <si>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</si>
  <si>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</si>
  <si>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</si>
  <si>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</si>
  <si>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</si>
  <si>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</si>
  <si>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</si>
  <si>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</si>
  <si>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</si>
  <si>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</si>
  <si>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</si>
  <si>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</si>
  <si>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</si>
  <si>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</si>
  <si>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</si>
  <si>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</si>
  <si>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</si>
  <si>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</si>
  <si>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</si>
  <si>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</si>
  <si>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</si>
  <si>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</si>
  <si>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</si>
  <si>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</si>
  <si>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</si>
  <si>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</si>
  <si>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</si>
  <si>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</si>
  <si>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</si>
  <si>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</si>
  <si>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</si>
  <si>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</si>
  <si>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</si>
  <si>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</si>
  <si>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</si>
  <si>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</si>
  <si>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</si>
  <si>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</si>
  <si>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</si>
  <si>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</si>
  <si>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</si>
  <si>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</si>
  <si>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</si>
  <si>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</si>
  <si>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</si>
  <si>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</si>
  <si>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</si>
  <si>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</si>
  <si>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</si>
  <si>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</si>
  <si>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</si>
  <si>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</si>
  <si>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</si>
  <si>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</si>
  <si>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</si>
  <si>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</si>
  <si>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</si>
  <si>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</si>
  <si>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</si>
  <si>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</si>
  <si>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</si>
  <si>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</si>
  <si>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</si>
  <si>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</si>
  <si>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</si>
  <si>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</si>
  <si>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</si>
  <si>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</si>
  <si>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</si>
  <si>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</si>
  <si>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</si>
  <si>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</si>
  <si>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</si>
  <si>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</si>
  <si>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</si>
  <si>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</si>
  <si>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</si>
  <si>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</si>
  <si>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</si>
  <si>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</si>
  <si>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</si>
  <si>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</si>
  <si>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</si>
  <si>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</si>
  <si>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</si>
  <si>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</si>
  <si>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</si>
  <si>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</si>
  <si>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</si>
  <si>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</si>
  <si>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</si>
  <si>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</si>
  <si>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</si>
  <si>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</si>
  <si>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</si>
  <si>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</si>
  <si>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</si>
  <si>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</si>
  <si>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</si>
  <si>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</si>
  <si>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</si>
  <si>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</si>
  <si>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</si>
  <si>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</si>
  <si>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</si>
  <si>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</si>
  <si>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</si>
  <si>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</si>
  <si>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</si>
  <si>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</si>
  <si>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</si>
  <si>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</si>
  <si>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</si>
  <si>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</si>
  <si>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</si>
  <si>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</si>
  <si>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</si>
  <si>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</si>
  <si>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</si>
  <si>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</si>
  <si>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</si>
  <si>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</si>
  <si>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</si>
  <si>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</si>
  <si>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</si>
  <si>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</si>
  <si>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</si>
  <si>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</si>
  <si>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</si>
  <si>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</si>
  <si>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</si>
  <si>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</si>
  <si>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</si>
  <si>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</si>
  <si>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</si>
  <si>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</si>
  <si>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</si>
  <si>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</si>
  <si>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</si>
  <si>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</si>
  <si>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</si>
  <si>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</si>
  <si>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</si>
  <si>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</si>
  <si>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</si>
  <si>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</si>
  <si>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</si>
  <si>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</si>
  <si>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</si>
  <si>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</si>
  <si>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</si>
  <si>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</si>
  <si>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</si>
  <si>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</si>
  <si>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</si>
  <si>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</si>
  <si>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</si>
  <si>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</si>
  <si>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</si>
  <si>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</si>
  <si>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</si>
  <si>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</si>
  <si>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</si>
  <si>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</si>
  <si>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</si>
  <si>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</si>
  <si>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</si>
  <si>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</si>
  <si>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</si>
  <si>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</si>
  <si>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</si>
  <si>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</si>
  <si>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</si>
  <si>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</si>
  <si>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</si>
  <si>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</si>
  <si>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</si>
  <si>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</si>
  <si>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</si>
  <si>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</si>
  <si>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</si>
  <si>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</si>
  <si>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</si>
  <si>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</si>
  <si>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</si>
  <si>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</si>
  <si>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</si>
  <si>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</si>
  <si>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</si>
  <si>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</si>
  <si>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</si>
  <si>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</si>
  <si>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</si>
  <si>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</si>
  <si>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</si>
  <si>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</si>
  <si>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</si>
  <si>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</si>
  <si>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</si>
  <si>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</si>
  <si>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</si>
  <si>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</si>
  <si>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</si>
  <si>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</si>
  <si>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</si>
  <si>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</si>
  <si>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</si>
  <si>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</si>
  <si>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</si>
  <si>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</si>
  <si>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</si>
  <si>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</si>
  <si>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</si>
  <si>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</si>
  <si>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</si>
  <si>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</si>
  <si>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</si>
  <si>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inkl. bfst</t>
  </si>
  <si>
    <t>LAT Hotel &amp; Apartmenthaus Berlin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</si>
</sst>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  <font>
      <sz val="11"/>
      <color rgb="FF444444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19" xfId="0" applyFont="1" applyBorder="1" applyAlignment="1">
      <alignment vertical="top" wrapText="1"/>
    </xf>
    <xf numFmtId="9" fontId="12" fillId="4" borderId="20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19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2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1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2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2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3" xfId="0" applyFont="1" applyBorder="1"/>
    <xf numFmtId="8" fontId="36" fillId="0" borderId="24" xfId="0" applyNumberFormat="1" applyFont="1" applyBorder="1" applyAlignment="1">
      <alignment wrapText="1"/>
    </xf>
    <xf numFmtId="8" fontId="36" fillId="15" borderId="24" xfId="0" applyNumberFormat="1" applyFont="1" applyFill="1" applyBorder="1" applyAlignment="1">
      <alignment wrapText="1"/>
    </xf>
    <xf numFmtId="8" fontId="36" fillId="0" borderId="24" xfId="0" applyNumberFormat="1" applyFont="1" applyBorder="1"/>
    <xf numFmtId="0" fontId="37" fillId="0" borderId="22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2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5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2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6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171" fontId="20" fillId="14" borderId="17" xfId="4" applyNumberFormat="1" applyFont="1" applyFill="1" applyBorder="1" applyAlignment="1"/>
    <xf numFmtId="4" fontId="46" fillId="0" borderId="0" xfId="0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1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45608</v>
      </c>
      <c r="E5" s="151" t="s">
        <v>5</v>
      </c>
      <c r="F5" s="153">
        <v>52</v>
      </c>
      <c r="G5" s="218"/>
      <c r="H5" s="218"/>
    </row>
    <row r="6" spans="1:32" ht="30">
      <c r="B6" s="48" t="s">
        <v>4</v>
      </c>
      <c r="C6" s="49" t="s">
        <v>297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101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0.25451831480292036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11059.500000000002</v>
      </c>
      <c r="E10" s="152" t="s">
        <v>13</v>
      </c>
      <c r="F10" s="168">
        <f>F5*0.75</f>
        <v>39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33161.700000000004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95</v>
      </c>
      <c r="D12" s="61"/>
      <c r="E12" s="155" t="s">
        <v>243</v>
      </c>
      <c r="F12" s="242">
        <v>24721.439999999999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C13" s="37" t="s">
        <v>296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773</v>
      </c>
      <c r="F24" s="76">
        <v>3</v>
      </c>
      <c r="G24" s="77">
        <f>F12*D24</f>
        <v>24721.439999999999</v>
      </c>
      <c r="H24" s="77">
        <f>$E24*$F$10*1.1-$G24</f>
        <v>8440.2600000000057</v>
      </c>
      <c r="I24" s="77">
        <f>G24+H24</f>
        <v>33161.700000000004</v>
      </c>
      <c r="J24" s="78">
        <f t="shared" si="16"/>
        <v>0.25451831480292036</v>
      </c>
      <c r="K24" s="77">
        <v>0</v>
      </c>
      <c r="L24" s="77">
        <v>0</v>
      </c>
      <c r="M24" s="77">
        <f>G24*1.19-G24</f>
        <v>4697.0735999999997</v>
      </c>
      <c r="N24" s="77">
        <f t="shared" si="5"/>
        <v>1431.9825000000001</v>
      </c>
      <c r="O24" s="77">
        <f>L24-M24-N24</f>
        <v>-6129.0560999999998</v>
      </c>
      <c r="P24" s="79">
        <f>IFERROR($H24-L24,"")</f>
        <v>8440.2600000000057</v>
      </c>
      <c r="Q24" s="78">
        <f>IFERROR(($H24-L24)/$I24,"")</f>
        <v>0.25451831480292036</v>
      </c>
      <c r="R24" s="80">
        <f>IFERROR((1-Q24)*F24,"")</f>
        <v>2.236445055591239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773</v>
      </c>
      <c r="F26" s="89"/>
      <c r="G26" s="89">
        <f>SUBTOTAL(9,G19:G24)</f>
        <v>24721.439999999999</v>
      </c>
      <c r="H26" s="89">
        <f>SUBTOTAL(9,H19:H24)</f>
        <v>8440.2600000000057</v>
      </c>
      <c r="I26" s="89">
        <f>SUBTOTAL(9,I19:I24)</f>
        <v>33161.700000000004</v>
      </c>
      <c r="J26" s="90">
        <f>H26/I26</f>
        <v>0.25451831480292036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4697.0735999999997</v>
      </c>
      <c r="N26" s="89">
        <f t="shared" si="25"/>
        <v>1431.9825000000001</v>
      </c>
      <c r="O26" s="89">
        <f t="shared" si="25"/>
        <v>-6129.0560999999998</v>
      </c>
      <c r="P26" s="89">
        <f t="shared" si="25"/>
        <v>8440.2600000000057</v>
      </c>
      <c r="Q26" s="90">
        <f>($H26-L26)/$I26</f>
        <v>0.25451831480292036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7,0%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0" priority="39" operator="equal">
      <formula>"Verfügbar als Firmenwagen"</formula>
    </cfRule>
    <cfRule type="cellIs" dxfId="9" priority="40" operator="equal">
      <formula>"Verfügbar"</formula>
    </cfRule>
    <cfRule type="cellIs" dxfId="8" priority="41" operator="equal">
      <formula>"Nicht verfügbar"</formula>
    </cfRule>
  </conditionalFormatting>
  <conditionalFormatting sqref="F9">
    <cfRule type="containsText" dxfId="7" priority="19" operator="containsText" text="Bitte Produkt auswählen">
      <formula>NOT(ISERROR(SEARCH("Bitte Produkt auswählen",F9)))</formula>
    </cfRule>
    <cfRule type="cellIs" dxfId="6" priority="26" operator="lessThan">
      <formula>0.195</formula>
    </cfRule>
    <cfRule type="cellIs" dxfId="5" priority="27" operator="lessThan">
      <formula>0.295</formula>
    </cfRule>
    <cfRule type="cellIs" dxfId="4" priority="29" operator="greaterThanOrEqual">
      <formula>0.295</formula>
    </cfRule>
  </conditionalFormatting>
  <conditionalFormatting sqref="C24">
    <cfRule type="cellIs" dxfId="3" priority="13" operator="equal">
      <formula>"Verfügbar als Firmenwagen"</formula>
    </cfRule>
    <cfRule type="cellIs" dxfId="2" priority="14" operator="equal">
      <formula>"Verfügbar"</formula>
    </cfRule>
    <cfRule type="cellIs" dxfId="1" priority="15" operator="equal">
      <formula>"Nicht verfügbar"</formula>
    </cfRule>
  </conditionalFormatting>
  <conditionalFormatting sqref="G26">
    <cfRule type="cellIs" dxfId="0" priority="5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9" zoomScale="90" zoomScaleNormal="90" workbookViewId="0">
      <selection activeCell="G4" sqref="G4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40</v>
      </c>
    </row>
    <row r="4" spans="2:11">
      <c r="B4" s="103" t="s">
        <v>53</v>
      </c>
      <c r="C4" s="226">
        <v>33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773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20774.319327731093</v>
      </c>
    </row>
    <row r="12" spans="2:11">
      <c r="B12" s="212" t="s">
        <v>285</v>
      </c>
      <c r="C12" s="230">
        <f>F13+F14</f>
        <v>20774.319327731093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3947.1206722689076</v>
      </c>
      <c r="E14" s="223">
        <v>0.19</v>
      </c>
      <c r="F14" s="162">
        <f>(F18-F13*(1+E13))/(1+E14)</f>
        <v>20774.319327731093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24721.440000000002</v>
      </c>
      <c r="F18" s="97">
        <f>'Preise Output'!G26</f>
        <v>24721.439999999999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773 Gutscheine x 32€ je Gutschein</v>
      </c>
      <c r="C24" s="237">
        <f>IFERROR(C7*'Preise Output'!$F$7,"--")</f>
        <v>24736</v>
      </c>
    </row>
    <row r="25" spans="2:8">
      <c r="B25" s="97" t="str">
        <f>"Das enspricht "&amp;TEXT('Preise Output'!E26/('Preise Output'!C10),"0,0%") &amp; " des Leerstands p.a."</f>
        <v>Das enspricht 7,0%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1460.97</v>
      </c>
      <c r="E26" s="223">
        <v>7.0000000000000007E-2</v>
      </c>
      <c r="F26" s="162">
        <f>C24-F27</f>
        <v>20871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734.35</v>
      </c>
      <c r="E27" s="223">
        <v>0.19</v>
      </c>
      <c r="F27" s="162">
        <f>G27*C7</f>
        <v>3865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33€ je Gutschein x 773 Roomnights</v>
      </c>
      <c r="C31" s="237">
        <f>C7*C4</f>
        <v>25509</v>
      </c>
    </row>
    <row r="32" spans="2:8">
      <c r="B32" s="108" t="s">
        <v>293</v>
      </c>
      <c r="C32" s="229">
        <f>C26+C27</f>
        <v>2195.3200000000002</v>
      </c>
    </row>
    <row r="33" spans="2:3" ht="14.5" thickBot="1">
      <c r="B33" s="115" t="s">
        <v>288</v>
      </c>
      <c r="C33" s="238">
        <f>-(C13+C14)</f>
        <v>-3947.1206722689076</v>
      </c>
    </row>
    <row r="34" spans="2:3">
      <c r="B34" s="96" t="s">
        <v>271</v>
      </c>
      <c r="C34" s="236">
        <f>SUM(C31:C33)</f>
        <v>23757.19932773109</v>
      </c>
    </row>
    <row r="36" spans="2:3">
      <c r="B36" s="102" t="s">
        <v>65</v>
      </c>
      <c r="C36" s="239">
        <f>C12-C34</f>
        <v>-2982.8799999999974</v>
      </c>
    </row>
    <row r="37" spans="2:3">
      <c r="B37" s="97" t="s">
        <v>289</v>
      </c>
      <c r="C37" s="240">
        <f>C36/C12</f>
        <v>-0.14358496916037242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20774.319327731093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20774.319327731093</v>
      </c>
      <c r="R16" s="35">
        <f t="shared" si="4"/>
        <v>6924.7731092436979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20774.319327731093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22214.319327731093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23190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23190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23190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23190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695.7</v>
      </c>
      <c r="F7" s="129">
        <f>IF($B$6=100%,(('Preise Output'!$F$10-INDEX(Annahmen!$B$18:$C$22,MATCH('Preise Output'!$C$7,Annahmen!$B$18:$B$22,0),2))*'Preise Output'!$E$26)/10,('Preise Output'!$E$26*'Preise Output'!$F$10-$D$6)/10)</f>
        <v>695.7</v>
      </c>
      <c r="G7" s="129">
        <f>IF($B$6=100%,(('Preise Output'!$F$10-INDEX(Annahmen!$B$18:$C$22,MATCH('Preise Output'!$C$7,Annahmen!$B$18:$B$22,0),2))*'Preise Output'!$E$26)/10,('Preise Output'!$E$26*'Preise Output'!$F$10-$D$6)/10)</f>
        <v>695.7</v>
      </c>
      <c r="H7" s="129">
        <f>IF($B$6=100%,(('Preise Output'!$F$10-INDEX(Annahmen!$B$18:$C$22,MATCH('Preise Output'!$C$7,Annahmen!$B$18:$B$22,0),2))*'Preise Output'!$E$26)/10,('Preise Output'!$E$26*'Preise Output'!$F$10-$D$6)/10)</f>
        <v>695.7</v>
      </c>
      <c r="I7" s="129">
        <f>IF($B$6=100%,(('Preise Output'!$F$10-INDEX(Annahmen!$B$18:$C$22,MATCH('Preise Output'!$C$7,Annahmen!$B$18:$B$22,0),2))*'Preise Output'!$E$26)/10,('Preise Output'!$E$26*'Preise Output'!$F$10-$D$6)/10)</f>
        <v>695.7</v>
      </c>
      <c r="J7" s="129">
        <f>IF($B$6=100%,(('Preise Output'!$F$10-INDEX(Annahmen!$B$18:$C$22,MATCH('Preise Output'!$C$7,Annahmen!$B$18:$B$22,0),2))*'Preise Output'!$E$26)/10,('Preise Output'!$E$26*'Preise Output'!$F$10-$D$6)/10)</f>
        <v>695.7</v>
      </c>
      <c r="K7" s="129">
        <f>IF($B$6=100%,(('Preise Output'!$F$10-INDEX(Annahmen!$B$18:$C$22,MATCH('Preise Output'!$C$7,Annahmen!$B$18:$B$22,0),2))*'Preise Output'!$E$26)/10,('Preise Output'!$E$26*'Preise Output'!$F$10-$D$6)/10)</f>
        <v>695.7</v>
      </c>
      <c r="L7" s="129">
        <f>IF($B$6=100%,(('Preise Output'!$F$10-INDEX(Annahmen!$B$18:$C$22,MATCH('Preise Output'!$C$7,Annahmen!$B$18:$B$22,0),2))*'Preise Output'!$E$26)/10,('Preise Output'!$E$26*'Preise Output'!$F$10-$D$6)/10)</f>
        <v>695.7</v>
      </c>
      <c r="M7" s="129">
        <f>IF($B$6=100%,(('Preise Output'!$F$10-INDEX(Annahmen!$B$18:$C$22,MATCH('Preise Output'!$C$7,Annahmen!$B$18:$B$22,0),2))*'Preise Output'!$E$26)/10,('Preise Output'!$E$26*'Preise Output'!$F$10-$D$6)/10)</f>
        <v>695.7</v>
      </c>
      <c r="N7" s="129">
        <f>IF($B$6=100%,(('Preise Output'!$F$10-INDEX(Annahmen!$B$18:$C$22,MATCH('Preise Output'!$C$7,Annahmen!$B$18:$B$22,0),2))*'Preise Output'!$E$26)/10,('Preise Output'!$E$26*'Preise Output'!$F$10-$D$6)/10)</f>
        <v>695.7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695.7</v>
      </c>
      <c r="R7" s="129">
        <f>IF($B$6=100%,(('Preise Output'!$F$10-INDEX(Annahmen!$B$18:$C$22,MATCH('Preise Output'!$C$7,Annahmen!$B$18:$B$22,0),2))*'Preise Output'!$E$26)/10,('Preise Output'!$E$26*'Preise Output'!$F$10-$D$6)/10)</f>
        <v>695.7</v>
      </c>
      <c r="S7" s="129">
        <f>IF($B$6=100%,(('Preise Output'!$F$10-INDEX(Annahmen!$B$18:$C$22,MATCH('Preise Output'!$C$7,Annahmen!$B$18:$B$22,0),2))*'Preise Output'!$E$26)/10,('Preise Output'!$E$26*'Preise Output'!$F$10-$D$6)/10)</f>
        <v>695.7</v>
      </c>
      <c r="T7" s="129">
        <f>IF($B$6=100%,(('Preise Output'!$F$10-INDEX(Annahmen!$B$18:$C$22,MATCH('Preise Output'!$C$7,Annahmen!$B$18:$B$22,0),2))*'Preise Output'!$E$26)/10,('Preise Output'!$E$26*'Preise Output'!$F$10-$D$6)/10)</f>
        <v>695.7</v>
      </c>
      <c r="U7" s="129">
        <f>IF($B$6=100%,(('Preise Output'!$F$10-INDEX(Annahmen!$B$18:$C$22,MATCH('Preise Output'!$C$7,Annahmen!$B$18:$B$22,0),2))*'Preise Output'!$E$26)/10,('Preise Output'!$E$26*'Preise Output'!$F$10-$D$6)/10)</f>
        <v>695.7</v>
      </c>
      <c r="V7" s="129">
        <f>IF($B$6=100%,(('Preise Output'!$F$10-INDEX(Annahmen!$B$18:$C$22,MATCH('Preise Output'!$C$7,Annahmen!$B$18:$B$22,0),2))*'Preise Output'!$E$26)/10,('Preise Output'!$E$26*'Preise Output'!$F$10-$D$6)/10)</f>
        <v>695.7</v>
      </c>
      <c r="W7" s="129">
        <f>IF($B$6=100%,(('Preise Output'!$F$10-INDEX(Annahmen!$B$18:$C$22,MATCH('Preise Output'!$C$7,Annahmen!$B$18:$B$22,0),2))*'Preise Output'!$E$26)/10,('Preise Output'!$E$26*'Preise Output'!$F$10-$D$6)/10)</f>
        <v>695.7</v>
      </c>
      <c r="X7" s="129">
        <f>IF($B$6=100%,(('Preise Output'!$F$10-INDEX(Annahmen!$B$18:$C$22,MATCH('Preise Output'!$C$7,Annahmen!$B$18:$B$22,0),2))*'Preise Output'!$E$26)/10,('Preise Output'!$E$26*'Preise Output'!$F$10-$D$6)/10)</f>
        <v>695.7</v>
      </c>
      <c r="Y7" s="129">
        <f>IF($B$6=100%,(('Preise Output'!$F$10-INDEX(Annahmen!$B$18:$C$22,MATCH('Preise Output'!$C$7,Annahmen!$B$18:$B$22,0),2))*'Preise Output'!$E$26)/10,('Preise Output'!$E$26*'Preise Output'!$F$10-$D$6)/10)</f>
        <v>695.7</v>
      </c>
      <c r="Z7" s="129">
        <f>IF($B$6=100%,(('Preise Output'!$F$10-INDEX(Annahmen!$B$18:$C$22,MATCH('Preise Output'!$C$7,Annahmen!$B$18:$B$22,0),2))*'Preise Output'!$E$26)/10,('Preise Output'!$E$26*'Preise Output'!$F$10-$D$6)/10)</f>
        <v>695.7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695.7</v>
      </c>
      <c r="AD7" s="129">
        <f>IF($B$6=100%,(('Preise Output'!$F$10-INDEX(Annahmen!$B$18:$C$22,MATCH('Preise Output'!$C$7,Annahmen!$B$18:$B$22,0),2))*'Preise Output'!$E$26)/10,('Preise Output'!$E$26*'Preise Output'!$F$10-$D$6)/10)</f>
        <v>695.7</v>
      </c>
      <c r="AE7" s="129">
        <f>IF($B$6=100%,(('Preise Output'!$F$10-INDEX(Annahmen!$B$18:$C$22,MATCH('Preise Output'!$C$7,Annahmen!$B$18:$B$22,0),2))*'Preise Output'!$E$26)/10,('Preise Output'!$E$26*'Preise Output'!$F$10-$D$6)/10)</f>
        <v>695.7</v>
      </c>
      <c r="AF7" s="129">
        <f>IF($B$6=100%,(('Preise Output'!$F$10-INDEX(Annahmen!$B$18:$C$22,MATCH('Preise Output'!$C$7,Annahmen!$B$18:$B$22,0),2))*'Preise Output'!$E$26)/10,('Preise Output'!$E$26*'Preise Output'!$F$10-$D$6)/10)</f>
        <v>695.7</v>
      </c>
      <c r="AG7" s="129">
        <f>IF($B$6=100%,(('Preise Output'!$F$10-INDEX(Annahmen!$B$18:$C$22,MATCH('Preise Output'!$C$7,Annahmen!$B$18:$B$22,0),2))*'Preise Output'!$E$26)/10,('Preise Output'!$E$26*'Preise Output'!$F$10-$D$6)/10)</f>
        <v>695.7</v>
      </c>
      <c r="AH7" s="129">
        <f>IF($B$6=100%,(('Preise Output'!$F$10-INDEX(Annahmen!$B$18:$C$22,MATCH('Preise Output'!$C$7,Annahmen!$B$18:$B$22,0),2))*'Preise Output'!$E$26)/10,('Preise Output'!$E$26*'Preise Output'!$F$10-$D$6)/10)</f>
        <v>695.7</v>
      </c>
      <c r="AI7" s="129">
        <f>IF($B$6=100%,(('Preise Output'!$F$10-INDEX(Annahmen!$B$18:$C$22,MATCH('Preise Output'!$C$7,Annahmen!$B$18:$B$22,0),2))*'Preise Output'!$E$26)/10,('Preise Output'!$E$26*'Preise Output'!$F$10-$D$6)/10)</f>
        <v>695.7</v>
      </c>
      <c r="AJ7" s="129">
        <f>IF($B$6=100%,(('Preise Output'!$F$10-INDEX(Annahmen!$B$18:$C$22,MATCH('Preise Output'!$C$7,Annahmen!$B$18:$B$22,0),2))*'Preise Output'!$E$26)/10,('Preise Output'!$E$26*'Preise Output'!$F$10-$D$6)/10)</f>
        <v>695.7</v>
      </c>
      <c r="AK7" s="129">
        <f>IF($B$6=100%,(('Preise Output'!$F$10-INDEX(Annahmen!$B$18:$C$22,MATCH('Preise Output'!$C$7,Annahmen!$B$18:$B$22,0),2))*'Preise Output'!$E$26)/10,('Preise Output'!$E$26*'Preise Output'!$F$10-$D$6)/10)</f>
        <v>695.7</v>
      </c>
      <c r="AL7" s="129">
        <f>IF($B$6=100%,(('Preise Output'!$F$10-INDEX(Annahmen!$B$18:$C$22,MATCH('Preise Output'!$C$7,Annahmen!$B$18:$B$22,0),2))*'Preise Output'!$E$26)/10,('Preise Output'!$E$26*'Preise Output'!$F$10-$D$6)/10)</f>
        <v>695.7</v>
      </c>
      <c r="AM7" s="130"/>
      <c r="AN7" s="130">
        <f t="shared" ref="AN7:AN43" si="0">SUM(D7:AM7)</f>
        <v>20871.000000000011</v>
      </c>
      <c r="AQ7" s="130">
        <f t="shared" ref="AQ7:AQ45" si="1">SUM(D7:F7)</f>
        <v>1391.4</v>
      </c>
      <c r="AR7" s="130">
        <f t="shared" ref="AR7:AR45" si="2">SUM(G7:I7)</f>
        <v>2087.1000000000004</v>
      </c>
      <c r="AS7" s="130">
        <f t="shared" ref="AS7:AS45" si="3">SUM(J7:L7)</f>
        <v>2087.1000000000004</v>
      </c>
      <c r="AT7" s="130">
        <f t="shared" ref="AT7:AT45" si="4">SUM(M7:O7)</f>
        <v>1391.4</v>
      </c>
      <c r="AU7" s="130">
        <f t="shared" ref="AU7:AU45" si="5">SUM(P7:R7)</f>
        <v>1391.4</v>
      </c>
      <c r="AV7" s="130">
        <f t="shared" ref="AV7:AV45" si="6">SUM(S7:U7)</f>
        <v>2087.1000000000004</v>
      </c>
      <c r="AW7" s="130">
        <f t="shared" ref="AW7:AW45" si="7">SUM(V7:X7)</f>
        <v>2087.1000000000004</v>
      </c>
      <c r="AX7" s="130">
        <f t="shared" ref="AX7:AX45" si="8">SUM(Y7:AA7)</f>
        <v>1391.4</v>
      </c>
      <c r="AY7" s="130">
        <f t="shared" ref="AY7:AY45" si="9">SUM(AB7:AD7)</f>
        <v>1391.4</v>
      </c>
      <c r="AZ7" s="130">
        <f t="shared" ref="AZ7:AZ45" si="10">SUM(AE7:AG7)</f>
        <v>2087.1000000000004</v>
      </c>
      <c r="BA7" s="130">
        <f t="shared" ref="BA7:BA45" si="11">SUM(AH7:AJ7)</f>
        <v>2087.1000000000004</v>
      </c>
      <c r="BB7" s="130">
        <f t="shared" ref="BB7:BB45" si="12">SUM(AK7:AM7)</f>
        <v>1391.4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-24721.439999999999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-24721.439999999999</v>
      </c>
      <c r="AQ42" s="134">
        <f t="shared" si="1"/>
        <v>-24721.439999999999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33161.700000000004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A5439C-5B79-4C25-831F-E3AB34B13721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2024-11-27T11:11:00Z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