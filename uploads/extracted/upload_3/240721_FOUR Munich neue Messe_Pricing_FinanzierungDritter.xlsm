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Four Munich Neue Messe/"/>
    </mc:Choice>
  </mc:AlternateContent>
  <xr:revisionPtr revIDLastSave="57" documentId="8_{207F9823-9F7A-439A-86BD-E629EE244269}" xr6:coauthVersionLast="47" xr6:coauthVersionMax="47" xr10:uidLastSave="{678503A1-CEEC-4740-9073-CE359D6A9A33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tc={748A2331-8313-4A7E-A24B-B1F68A951497}</author>
    <author>Marvin Billerbeck</author>
  </authors>
  <commentList>
    <comment ref="F7" authorId="0" shapeId="0" xr:uid="{748A2331-8313-4A7E-A24B-B1F68A951497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Onlinepreise sind aktuell wirklich sehr niedrig! Daher keine 4* Bewertung1 </t>
      </text>
    </comment>
    <comment ref="E1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<sst xmlns="http://schemas.openxmlformats.org/spreadsheetml/2006/main" count="510" uniqueCount="297">
  <si>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</si>
  <si>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</si>
  <si>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</si>
  <si>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</si>
  <si>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</si>
  <si>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</si>
  <si>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</si>
  <si>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</si>
  <si>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</si>
  <si>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</si>
  <si>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</si>
  <si>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</si>
  <si>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</si>
  <si>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</si>
  <si>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</si>
  <si>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</si>
  <si>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</si>
  <si>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</si>
  <si>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</si>
  <si>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</si>
  <si>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</si>
  <si>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</si>
  <si>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</si>
  <si>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</si>
  <si>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</si>
  <si>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</si>
  <si>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</si>
  <si>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</si>
  <si>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</si>
  <si>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</si>
  <si>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</si>
  <si>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</si>
  <si>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</si>
  <si>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</si>
  <si>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</si>
  <si>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</si>
  <si>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</si>
  <si>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</si>
  <si>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</si>
  <si>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</si>
  <si>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</si>
  <si>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</si>
  <si>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</si>
  <si>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</si>
  <si>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</si>
  <si>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</si>
  <si>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</si>
  <si>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</si>
  <si>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</si>
  <si>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</si>
  <si>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</si>
  <si>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</si>
  <si>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</si>
  <si>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</si>
  <si>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</si>
  <si>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</si>
  <si>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</si>
  <si>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</si>
  <si>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</si>
  <si>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</si>
  <si>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</si>
  <si>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</si>
  <si>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</si>
  <si>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</si>
  <si>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</si>
  <si>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</si>
  <si>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</si>
  <si>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</si>
  <si>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</si>
  <si>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</si>
  <si>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</si>
  <si>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</si>
  <si>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</si>
  <si>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</si>
  <si>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</si>
  <si>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</si>
  <si>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</si>
  <si>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</si>
  <si>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</si>
  <si>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</si>
  <si>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</si>
  <si>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</si>
  <si>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</si>
  <si>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</si>
  <si>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</si>
  <si>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</si>
  <si>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</si>
  <si>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</si>
  <si>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</si>
  <si>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</si>
  <si>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</si>
  <si>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</si>
  <si>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</si>
  <si>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</si>
  <si>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</si>
  <si>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</si>
  <si>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</si>
  <si>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</si>
  <si>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</si>
  <si>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</si>
  <si>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</si>
  <si>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</si>
  <si>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</si>
  <si>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</si>
  <si>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</si>
  <si>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</si>
  <si>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</si>
  <si>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</si>
  <si>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</si>
  <si>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</si>
  <si>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</si>
  <si>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</si>
  <si>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</si>
  <si>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</si>
  <si>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</si>
  <si>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</si>
  <si>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</si>
  <si>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</si>
  <si>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</si>
  <si>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</si>
  <si>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</si>
  <si>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</si>
  <si>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</si>
  <si>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</si>
  <si>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</si>
  <si>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</si>
  <si>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</si>
  <si>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</si>
  <si>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</si>
  <si>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</si>
  <si>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</si>
  <si>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</si>
  <si>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</si>
  <si>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</si>
  <si>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</si>
  <si>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</si>
  <si>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</si>
  <si>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</si>
  <si>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</si>
  <si>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</si>
  <si>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</si>
  <si>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</si>
  <si>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</si>
  <si>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</si>
  <si>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</si>
  <si>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</si>
  <si>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</si>
  <si>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</si>
  <si>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</si>
  <si>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</si>
  <si>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</si>
  <si>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</si>
  <si>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</si>
  <si>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</si>
  <si>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</si>
  <si>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</si>
  <si>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</si>
  <si>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</si>
  <si>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</si>
  <si>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</si>
  <si>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</si>
  <si>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</si>
  <si>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</si>
  <si>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</si>
  <si>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</si>
  <si>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</si>
  <si>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</si>
  <si>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</si>
  <si>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</si>
  <si>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</si>
  <si>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</si>
  <si>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</si>
  <si>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</si>
  <si>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</si>
  <si>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</si>
  <si>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</si>
  <si>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</si>
  <si>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</si>
  <si>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</si>
  <si>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</si>
  <si>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</si>
  <si>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</si>
  <si>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</si>
  <si>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</si>
  <si>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</si>
  <si>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</si>
  <si>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</si>
  <si>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</si>
  <si>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</si>
  <si>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</si>
  <si>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</si>
  <si>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</si>
  <si>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</si>
  <si>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</si>
  <si>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</si>
  <si>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</si>
  <si>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</si>
  <si>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</si>
  <si>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</si>
  <si>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</si>
  <si>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</si>
  <si>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</si>
  <si>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</si>
  <si>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</si>
  <si>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</si>
  <si>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</si>
  <si>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</si>
  <si>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</si>
  <si>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</si>
  <si>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</si>
  <si>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</si>
  <si>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</si>
  <si>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</si>
  <si>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</si>
  <si>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</si>
  <si>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</si>
  <si>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</si>
  <si>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</si>
  <si>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</si>
  <si>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</si>
  <si>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</si>
  <si>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</si>
  <si>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</si>
  <si>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</si>
  <si>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</si>
  <si>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</si>
  <si>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</si>
  <si>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</si>
  <si>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</si>
  <si>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</si>
  <si>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</si>
  <si>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</si>
  <si>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</si>
  <si>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</si>
  <si>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</si>
  <si>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</si>
  <si>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</si>
  <si>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</si>
  <si>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</si>
  <si>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</si>
  <si>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</si>
  <si>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</si>
  <si>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</si>
  <si>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</si>
  <si>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</si>
  <si>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</si>
  <si>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</si>
  <si>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</si>
  <si>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</si>
  <si>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</si>
  <si>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</si>
  <si>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</si>
  <si>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</si>
  <si>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</si>
  <si>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</si>
  <si>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</si>
  <si>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</si>
  <si>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</si>
  <si>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</si>
  <si>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</si>
  <si>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</si>
  <si>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</si>
  <si>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</si>
  <si>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</si>
  <si>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</si>
  <si>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</si>
  <si>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</si>
  <si>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</si>
  <si>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</si>
  <si>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</si>
  <si>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</si>
  <si>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</si>
  <si>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</si>
  <si>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</si>
  <si>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</si>
  <si>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</si>
  <si>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</si>
  <si>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</si>
  <si>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</si>
  <si>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</si>
  <si>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</si>
  <si>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</si>
  <si>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</si>
  <si>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</si>
  <si>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</si>
  <si>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</si>
  <si>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</si>
  <si>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</si>
  <si>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</si>
  <si>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</si>
  <si>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</si>
  <si>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</si>
  <si>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</si>
  <si>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</si>
  <si>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</si>
  <si>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</si>
  <si>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Four Munich Neue Messe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</si>
</sst>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  <person displayName="Alexander Blancke / Beyond Bookings" id="{43F8E084-B67F-42D6-93E6-1DE7974B1E6E}" userId="S::alexander.blancke@beyond-bookings.com::2fe74364-fbeb-4c05-9bc7-3b59bb0faff2" providerId="AD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7" dT="2024-07-21T13:15:03.00" personId="{43F8E084-B67F-42D6-93E6-1DE7974B1E6E}" id="{748A2331-8313-4A7E-A24B-B1F68A951497}">
    <text xml:space="preserve">Onlinepreise sind aktuell wirklich sehr niedrig! Daher keine 4* Bewertung1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44" sqref="E44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45494</v>
      </c>
      <c r="E5" s="151" t="s">
        <v>5</v>
      </c>
      <c r="F5" s="153">
        <v>49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55.25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168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18396.000000000004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85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5,4%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C36" sqref="C3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42.5</v>
      </c>
    </row>
    <row r="4" spans="2:11" x14ac:dyDescent="0.35">
      <c r="B4" s="103" t="s">
        <v>53</v>
      </c>
      <c r="C4" s="226">
        <f>+C3-C2</f>
        <v>17.5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35">
      <c r="B25" s="97" t="str">
        <f>"Das enspricht "&amp;TEXT('Preise Output'!E26/('Preise Output'!C10),"0,0%") &amp; " des Leerstands p.a."</f>
        <v>Das enspricht 5,4%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17,5€ je Gutschein x 1000 Roomnights</v>
      </c>
      <c r="C31" s="237">
        <f>C7*C4</f>
        <v>17500</v>
      </c>
    </row>
    <row r="32" spans="2:8" x14ac:dyDescent="0.35">
      <c r="B32" s="108" t="s">
        <v>293</v>
      </c>
      <c r="C32" s="229">
        <f>C26+C27</f>
        <v>2700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15410.084033613446</v>
      </c>
    </row>
    <row r="36" spans="2:3" x14ac:dyDescent="0.35">
      <c r="B36" s="102" t="s">
        <v>65</v>
      </c>
      <c r="C36" s="239">
        <f>C12-C34</f>
        <v>9800</v>
      </c>
    </row>
    <row r="37" spans="2:3" x14ac:dyDescent="0.35">
      <c r="B37" s="97" t="s">
        <v>289</v>
      </c>
      <c r="C37" s="240">
        <f>C36/C12</f>
        <v>0.38873333333333332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175</v>
      </c>
      <c r="F7" s="129">
        <f>IF($B$6=100%,(('Preise Output'!$F$10-INDEX(Annahmen!$B$18:$C$22,MATCH('Preise Output'!$C$7,Annahmen!$B$18:$B$22,0),2))*'Preise Output'!$E$26)/10,('Preise Output'!$E$26*'Preise Output'!$F$10-$D$6)/10)</f>
        <v>175</v>
      </c>
      <c r="G7" s="129">
        <f>IF($B$6=100%,(('Preise Output'!$F$10-INDEX(Annahmen!$B$18:$C$22,MATCH('Preise Output'!$C$7,Annahmen!$B$18:$B$22,0),2))*'Preise Output'!$E$26)/10,('Preise Output'!$E$26*'Preise Output'!$F$10-$D$6)/10)</f>
        <v>175</v>
      </c>
      <c r="H7" s="129">
        <f>IF($B$6=100%,(('Preise Output'!$F$10-INDEX(Annahmen!$B$18:$C$22,MATCH('Preise Output'!$C$7,Annahmen!$B$18:$B$22,0),2))*'Preise Output'!$E$26)/10,('Preise Output'!$E$26*'Preise Output'!$F$10-$D$6)/10)</f>
        <v>175</v>
      </c>
      <c r="I7" s="129">
        <f>IF($B$6=100%,(('Preise Output'!$F$10-INDEX(Annahmen!$B$18:$C$22,MATCH('Preise Output'!$C$7,Annahmen!$B$18:$B$22,0),2))*'Preise Output'!$E$26)/10,('Preise Output'!$E$26*'Preise Output'!$F$10-$D$6)/10)</f>
        <v>175</v>
      </c>
      <c r="J7" s="129">
        <f>IF($B$6=100%,(('Preise Output'!$F$10-INDEX(Annahmen!$B$18:$C$22,MATCH('Preise Output'!$C$7,Annahmen!$B$18:$B$22,0),2))*'Preise Output'!$E$26)/10,('Preise Output'!$E$26*'Preise Output'!$F$10-$D$6)/10)</f>
        <v>175</v>
      </c>
      <c r="K7" s="129">
        <f>IF($B$6=100%,(('Preise Output'!$F$10-INDEX(Annahmen!$B$18:$C$22,MATCH('Preise Output'!$C$7,Annahmen!$B$18:$B$22,0),2))*'Preise Output'!$E$26)/10,('Preise Output'!$E$26*'Preise Output'!$F$10-$D$6)/10)</f>
        <v>175</v>
      </c>
      <c r="L7" s="129">
        <f>IF($B$6=100%,(('Preise Output'!$F$10-INDEX(Annahmen!$B$18:$C$22,MATCH('Preise Output'!$C$7,Annahmen!$B$18:$B$22,0),2))*'Preise Output'!$E$26)/10,('Preise Output'!$E$26*'Preise Output'!$F$10-$D$6)/10)</f>
        <v>175</v>
      </c>
      <c r="M7" s="129">
        <f>IF($B$6=100%,(('Preise Output'!$F$10-INDEX(Annahmen!$B$18:$C$22,MATCH('Preise Output'!$C$7,Annahmen!$B$18:$B$22,0),2))*'Preise Output'!$E$26)/10,('Preise Output'!$E$26*'Preise Output'!$F$10-$D$6)/10)</f>
        <v>175</v>
      </c>
      <c r="N7" s="129">
        <f>IF($B$6=100%,(('Preise Output'!$F$10-INDEX(Annahmen!$B$18:$C$22,MATCH('Preise Output'!$C$7,Annahmen!$B$18:$B$22,0),2))*'Preise Output'!$E$26)/10,('Preise Output'!$E$26*'Preise Output'!$F$10-$D$6)/10)</f>
        <v>175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175</v>
      </c>
      <c r="R7" s="129">
        <f>IF($B$6=100%,(('Preise Output'!$F$10-INDEX(Annahmen!$B$18:$C$22,MATCH('Preise Output'!$C$7,Annahmen!$B$18:$B$22,0),2))*'Preise Output'!$E$26)/10,('Preise Output'!$E$26*'Preise Output'!$F$10-$D$6)/10)</f>
        <v>175</v>
      </c>
      <c r="S7" s="129">
        <f>IF($B$6=100%,(('Preise Output'!$F$10-INDEX(Annahmen!$B$18:$C$22,MATCH('Preise Output'!$C$7,Annahmen!$B$18:$B$22,0),2))*'Preise Output'!$E$26)/10,('Preise Output'!$E$26*'Preise Output'!$F$10-$D$6)/10)</f>
        <v>175</v>
      </c>
      <c r="T7" s="129">
        <f>IF($B$6=100%,(('Preise Output'!$F$10-INDEX(Annahmen!$B$18:$C$22,MATCH('Preise Output'!$C$7,Annahmen!$B$18:$B$22,0),2))*'Preise Output'!$E$26)/10,('Preise Output'!$E$26*'Preise Output'!$F$10-$D$6)/10)</f>
        <v>175</v>
      </c>
      <c r="U7" s="129">
        <f>IF($B$6=100%,(('Preise Output'!$F$10-INDEX(Annahmen!$B$18:$C$22,MATCH('Preise Output'!$C$7,Annahmen!$B$18:$B$22,0),2))*'Preise Output'!$E$26)/10,('Preise Output'!$E$26*'Preise Output'!$F$10-$D$6)/10)</f>
        <v>175</v>
      </c>
      <c r="V7" s="129">
        <f>IF($B$6=100%,(('Preise Output'!$F$10-INDEX(Annahmen!$B$18:$C$22,MATCH('Preise Output'!$C$7,Annahmen!$B$18:$B$22,0),2))*'Preise Output'!$E$26)/10,('Preise Output'!$E$26*'Preise Output'!$F$10-$D$6)/10)</f>
        <v>175</v>
      </c>
      <c r="W7" s="129">
        <f>IF($B$6=100%,(('Preise Output'!$F$10-INDEX(Annahmen!$B$18:$C$22,MATCH('Preise Output'!$C$7,Annahmen!$B$18:$B$22,0),2))*'Preise Output'!$E$26)/10,('Preise Output'!$E$26*'Preise Output'!$F$10-$D$6)/10)</f>
        <v>175</v>
      </c>
      <c r="X7" s="129">
        <f>IF($B$6=100%,(('Preise Output'!$F$10-INDEX(Annahmen!$B$18:$C$22,MATCH('Preise Output'!$C$7,Annahmen!$B$18:$B$22,0),2))*'Preise Output'!$E$26)/10,('Preise Output'!$E$26*'Preise Output'!$F$10-$D$6)/10)</f>
        <v>175</v>
      </c>
      <c r="Y7" s="129">
        <f>IF($B$6=100%,(('Preise Output'!$F$10-INDEX(Annahmen!$B$18:$C$22,MATCH('Preise Output'!$C$7,Annahmen!$B$18:$B$22,0),2))*'Preise Output'!$E$26)/10,('Preise Output'!$E$26*'Preise Output'!$F$10-$D$6)/10)</f>
        <v>175</v>
      </c>
      <c r="Z7" s="129">
        <f>IF($B$6=100%,(('Preise Output'!$F$10-INDEX(Annahmen!$B$18:$C$22,MATCH('Preise Output'!$C$7,Annahmen!$B$18:$B$22,0),2))*'Preise Output'!$E$26)/10,('Preise Output'!$E$26*'Preise Output'!$F$10-$D$6)/10)</f>
        <v>175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175</v>
      </c>
      <c r="AD7" s="129">
        <f>IF($B$6=100%,(('Preise Output'!$F$10-INDEX(Annahmen!$B$18:$C$22,MATCH('Preise Output'!$C$7,Annahmen!$B$18:$B$22,0),2))*'Preise Output'!$E$26)/10,('Preise Output'!$E$26*'Preise Output'!$F$10-$D$6)/10)</f>
        <v>175</v>
      </c>
      <c r="AE7" s="129">
        <f>IF($B$6=100%,(('Preise Output'!$F$10-INDEX(Annahmen!$B$18:$C$22,MATCH('Preise Output'!$C$7,Annahmen!$B$18:$B$22,0),2))*'Preise Output'!$E$26)/10,('Preise Output'!$E$26*'Preise Output'!$F$10-$D$6)/10)</f>
        <v>175</v>
      </c>
      <c r="AF7" s="129">
        <f>IF($B$6=100%,(('Preise Output'!$F$10-INDEX(Annahmen!$B$18:$C$22,MATCH('Preise Output'!$C$7,Annahmen!$B$18:$B$22,0),2))*'Preise Output'!$E$26)/10,('Preise Output'!$E$26*'Preise Output'!$F$10-$D$6)/10)</f>
        <v>175</v>
      </c>
      <c r="AG7" s="129">
        <f>IF($B$6=100%,(('Preise Output'!$F$10-INDEX(Annahmen!$B$18:$C$22,MATCH('Preise Output'!$C$7,Annahmen!$B$18:$B$22,0),2))*'Preise Output'!$E$26)/10,('Preise Output'!$E$26*'Preise Output'!$F$10-$D$6)/10)</f>
        <v>175</v>
      </c>
      <c r="AH7" s="129">
        <f>IF($B$6=100%,(('Preise Output'!$F$10-INDEX(Annahmen!$B$18:$C$22,MATCH('Preise Output'!$C$7,Annahmen!$B$18:$B$22,0),2))*'Preise Output'!$E$26)/10,('Preise Output'!$E$26*'Preise Output'!$F$10-$D$6)/10)</f>
        <v>175</v>
      </c>
      <c r="AI7" s="129">
        <f>IF($B$6=100%,(('Preise Output'!$F$10-INDEX(Annahmen!$B$18:$C$22,MATCH('Preise Output'!$C$7,Annahmen!$B$18:$B$22,0),2))*'Preise Output'!$E$26)/10,('Preise Output'!$E$26*'Preise Output'!$F$10-$D$6)/10)</f>
        <v>175</v>
      </c>
      <c r="AJ7" s="129">
        <f>IF($B$6=100%,(('Preise Output'!$F$10-INDEX(Annahmen!$B$18:$C$22,MATCH('Preise Output'!$C$7,Annahmen!$B$18:$B$22,0),2))*'Preise Output'!$E$26)/10,('Preise Output'!$E$26*'Preise Output'!$F$10-$D$6)/10)</f>
        <v>175</v>
      </c>
      <c r="AK7" s="129">
        <f>IF($B$6=100%,(('Preise Output'!$F$10-INDEX(Annahmen!$B$18:$C$22,MATCH('Preise Output'!$C$7,Annahmen!$B$18:$B$22,0),2))*'Preise Output'!$E$26)/10,('Preise Output'!$E$26*'Preise Output'!$F$10-$D$6)/10)</f>
        <v>175</v>
      </c>
      <c r="AL7" s="129">
        <f>IF($B$6=100%,(('Preise Output'!$F$10-INDEX(Annahmen!$B$18:$C$22,MATCH('Preise Output'!$C$7,Annahmen!$B$18:$B$22,0),2))*'Preise Output'!$E$26)/10,('Preise Output'!$E$26*'Preise Output'!$F$10-$D$6)/10)</f>
        <v>175</v>
      </c>
      <c r="AM7" s="130"/>
      <c r="AN7" s="130">
        <f t="shared" ref="AN7:AN43" si="0">SUM(D7:AM7)</f>
        <v>5250</v>
      </c>
      <c r="AQ7" s="130">
        <f t="shared" ref="AQ7:AQ45" si="1">SUM(D7:F7)</f>
        <v>350</v>
      </c>
      <c r="AR7" s="130">
        <f t="shared" ref="AR7:AR45" si="2">SUM(G7:I7)</f>
        <v>525</v>
      </c>
      <c r="AS7" s="130">
        <f t="shared" ref="AS7:AS45" si="3">SUM(J7:L7)</f>
        <v>525</v>
      </c>
      <c r="AT7" s="130">
        <f t="shared" ref="AT7:AT45" si="4">SUM(M7:O7)</f>
        <v>350</v>
      </c>
      <c r="AU7" s="130">
        <f t="shared" ref="AU7:AU45" si="5">SUM(P7:R7)</f>
        <v>350</v>
      </c>
      <c r="AV7" s="130">
        <f t="shared" ref="AV7:AV45" si="6">SUM(S7:U7)</f>
        <v>525</v>
      </c>
      <c r="AW7" s="130">
        <f t="shared" ref="AW7:AW45" si="7">SUM(V7:X7)</f>
        <v>525</v>
      </c>
      <c r="AX7" s="130">
        <f t="shared" ref="AX7:AX45" si="8">SUM(Y7:AA7)</f>
        <v>350</v>
      </c>
      <c r="AY7" s="130">
        <f t="shared" ref="AY7:AY45" si="9">SUM(AB7:AD7)</f>
        <v>350</v>
      </c>
      <c r="AZ7" s="130">
        <f t="shared" ref="AZ7:AZ45" si="10">SUM(AE7:AG7)</f>
        <v>525</v>
      </c>
      <c r="BA7" s="130">
        <f t="shared" ref="BA7:BA45" si="11">SUM(AH7:AJ7)</f>
        <v>525</v>
      </c>
      <c r="BB7" s="130">
        <f t="shared" ref="BB7:BB45" si="12">SUM(AK7:AM7)</f>
        <v>350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7E4090-61D5-4325-9778-46C03B205624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2024-12-09T15:06:19Z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