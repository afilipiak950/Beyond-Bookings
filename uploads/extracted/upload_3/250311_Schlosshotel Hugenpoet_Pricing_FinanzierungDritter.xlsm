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chlosshotel Hugenpoet/"/>
    </mc:Choice>
  </mc:AlternateContent>
  <xr:revisionPtr revIDLastSave="76" documentId="8_{207F9823-9F7A-439A-86BD-E629EE244269}" xr6:coauthVersionLast="47" xr6:coauthVersionMax="47" xr10:uidLastSave="{04911E52-51AE-4B91-B15C-9115D5BF9E51}"/>
  <bookViews>
    <workbookView minimized="1" xWindow="1900" yWindow="190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<sst xmlns="http://schemas.openxmlformats.org/spreadsheetml/2006/main" count="511" uniqueCount="298">
  <si>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</si>
  <si>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</si>
  <si>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</si>
  <si>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</si>
  <si>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</si>
  <si>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</si>
  <si>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</si>
  <si>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</si>
  <si>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</si>
  <si>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</si>
  <si>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</si>
  <si>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</si>
  <si>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</si>
  <si>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</si>
  <si>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</si>
  <si>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</si>
  <si>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</si>
  <si>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</si>
  <si>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</si>
  <si>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</si>
  <si>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</si>
  <si>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</si>
  <si>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</si>
  <si>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</si>
  <si>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</si>
  <si>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</si>
  <si>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</si>
  <si>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</si>
  <si>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</si>
  <si>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</si>
  <si>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</si>
  <si>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</si>
  <si>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</si>
  <si>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</si>
  <si>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</si>
  <si>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</si>
  <si>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</si>
  <si>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</si>
  <si>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</si>
  <si>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</si>
  <si>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</si>
  <si>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</si>
  <si>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</si>
  <si>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</si>
  <si>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</si>
  <si>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</si>
  <si>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</si>
  <si>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</si>
  <si>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</si>
  <si>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</si>
  <si>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</si>
  <si>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</si>
  <si>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</si>
  <si>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</si>
  <si>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</si>
  <si>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</si>
  <si>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</si>
  <si>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</si>
  <si>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</si>
  <si>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</si>
  <si>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</si>
  <si>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</si>
  <si>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</si>
  <si>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</si>
  <si>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</si>
  <si>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</si>
  <si>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</si>
  <si>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</si>
  <si>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</si>
  <si>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</si>
  <si>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</si>
  <si>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</si>
  <si>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</si>
  <si>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</si>
  <si>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</si>
  <si>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</si>
  <si>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</si>
  <si>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</si>
  <si>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</si>
  <si>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</si>
  <si>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</si>
  <si>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</si>
  <si>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</si>
  <si>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</si>
  <si>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</si>
  <si>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</si>
  <si>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</si>
  <si>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</si>
  <si>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</si>
  <si>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</si>
  <si>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</si>
  <si>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</si>
  <si>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</si>
  <si>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</si>
  <si>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</si>
  <si>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</si>
  <si>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</si>
  <si>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</si>
  <si>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</si>
  <si>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</si>
  <si>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</si>
  <si>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</si>
  <si>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</si>
  <si>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</si>
  <si>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</si>
  <si>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</si>
  <si>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</si>
  <si>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</si>
  <si>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</si>
  <si>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</si>
  <si>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</si>
  <si>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</si>
  <si>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</si>
  <si>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</si>
  <si>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</si>
  <si>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</si>
  <si>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</si>
  <si>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</si>
  <si>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</si>
  <si>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</si>
  <si>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</si>
  <si>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</si>
  <si>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</si>
  <si>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</si>
  <si>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</si>
  <si>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</si>
  <si>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</si>
  <si>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</si>
  <si>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</si>
  <si>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</si>
  <si>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</si>
  <si>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</si>
  <si>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</si>
  <si>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</si>
  <si>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</si>
  <si>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</si>
  <si>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</si>
  <si>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</si>
  <si>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</si>
  <si>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</si>
  <si>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</si>
  <si>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</si>
  <si>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</si>
  <si>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</si>
  <si>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</si>
  <si>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</si>
  <si>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</si>
  <si>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</si>
  <si>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</si>
  <si>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</si>
  <si>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</si>
  <si>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</si>
  <si>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</si>
  <si>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</si>
  <si>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</si>
  <si>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</si>
  <si>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</si>
  <si>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</si>
  <si>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</si>
  <si>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</si>
  <si>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</si>
  <si>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</si>
  <si>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</si>
  <si>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</si>
  <si>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</si>
  <si>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</si>
  <si>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</si>
  <si>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</si>
  <si>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</si>
  <si>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</si>
  <si>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</si>
  <si>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</si>
  <si>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</si>
  <si>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</si>
  <si>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</si>
  <si>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</si>
  <si>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</si>
  <si>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</si>
  <si>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</si>
  <si>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</si>
  <si>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</si>
  <si>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</si>
  <si>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</si>
  <si>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</si>
  <si>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</si>
  <si>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</si>
  <si>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</si>
  <si>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</si>
  <si>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</si>
  <si>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</si>
  <si>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</si>
  <si>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</si>
  <si>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</si>
  <si>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</si>
  <si>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</si>
  <si>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</si>
  <si>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</si>
  <si>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</si>
  <si>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</si>
  <si>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</si>
  <si>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</si>
  <si>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</si>
  <si>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</si>
  <si>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</si>
  <si>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</si>
  <si>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</si>
  <si>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</si>
  <si>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</si>
  <si>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</si>
  <si>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</si>
  <si>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</si>
  <si>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</si>
  <si>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</si>
  <si>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</si>
  <si>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</si>
  <si>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</si>
  <si>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</si>
  <si>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</si>
  <si>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</si>
  <si>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</si>
  <si>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</si>
  <si>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</si>
  <si>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</si>
  <si>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</si>
  <si>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</si>
  <si>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</si>
  <si>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</si>
  <si>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</si>
  <si>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</si>
  <si>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</si>
  <si>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</si>
  <si>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</si>
  <si>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</si>
  <si>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</si>
  <si>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</si>
  <si>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</si>
  <si>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</si>
  <si>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</si>
  <si>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</si>
  <si>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</si>
  <si>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</si>
  <si>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</si>
  <si>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</si>
  <si>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</si>
  <si>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</si>
  <si>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</si>
  <si>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</si>
  <si>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</si>
  <si>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</si>
  <si>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</si>
  <si>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</si>
  <si>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</si>
  <si>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</si>
  <si>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</si>
  <si>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</si>
  <si>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</si>
  <si>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</si>
  <si>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</si>
  <si>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</si>
  <si>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</si>
  <si>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</si>
  <si>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</si>
  <si>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</si>
  <si>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</si>
  <si>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</si>
  <si>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</si>
  <si>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</si>
  <si>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</si>
  <si>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</si>
  <si>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</si>
  <si>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</si>
  <si>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</si>
  <si>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</si>
  <si>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</si>
  <si>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</si>
  <si>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</si>
  <si>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</si>
  <si>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</si>
  <si>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</si>
  <si>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</si>
  <si>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</si>
  <si>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</si>
  <si>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</si>
  <si>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</si>
  <si>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</si>
  <si>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</si>
  <si>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</si>
  <si>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</si>
  <si>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</si>
  <si>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</si>
  <si>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</si>
  <si>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</si>
  <si>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</si>
  <si>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</si>
  <si>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</si>
  <si>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</si>
  <si>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Schlosshotel Hugenpoet</t>
  </si>
  <si>
    <t>€ 95 via TRIPZ, jedoch werden sie mit 120€ starten und sehen, wie es sich verkauft. MLOS2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</si>
</sst>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36" fillId="0" borderId="0" xfId="0" applyFont="1" applyAlignment="1">
      <alignment horizontal="left" vertical="center" readingOrder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5" sqref="H5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45727</v>
      </c>
      <c r="E5" s="151" t="s">
        <v>5</v>
      </c>
      <c r="F5" s="153">
        <v>95</v>
      </c>
      <c r="G5" s="44" t="s">
        <v>297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182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ht="15.5" x14ac:dyDescent="0.4">
      <c r="B7" s="48" t="s">
        <v>6</v>
      </c>
      <c r="C7" s="49" t="s">
        <v>170</v>
      </c>
      <c r="E7" s="154" t="s">
        <v>8</v>
      </c>
      <c r="F7" s="210">
        <v>48.79</v>
      </c>
      <c r="G7" s="243"/>
      <c r="H7" s="40">
        <v>52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ht="15.5" x14ac:dyDescent="0.4">
      <c r="B8" s="48" t="s">
        <v>9</v>
      </c>
      <c r="C8" s="158">
        <v>36</v>
      </c>
      <c r="E8" s="219"/>
      <c r="F8" s="219"/>
      <c r="G8" s="243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ht="15.5" x14ac:dyDescent="0.4">
      <c r="B9" s="48" t="s">
        <v>10</v>
      </c>
      <c r="C9" s="54">
        <v>0.5</v>
      </c>
      <c r="E9" s="156" t="s">
        <v>246</v>
      </c>
      <c r="F9" s="157">
        <f>IFERROR(J26,"Bitte Produkt auswählen")</f>
        <v>0.37760143151670761</v>
      </c>
      <c r="G9" s="243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ht="15.5" x14ac:dyDescent="0.4">
      <c r="B10" s="48" t="s">
        <v>11</v>
      </c>
      <c r="C10" s="58">
        <f>C8*365*(1-C9)</f>
        <v>6570</v>
      </c>
      <c r="E10" s="152" t="s">
        <v>13</v>
      </c>
      <c r="F10" s="168">
        <f>F5*0.75</f>
        <v>71.25</v>
      </c>
      <c r="G10" s="243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" thickBot="1" x14ac:dyDescent="0.45">
      <c r="B11" s="48" t="s">
        <v>12</v>
      </c>
      <c r="C11" s="59">
        <f>IF(C10*0.15&lt;1000,C10*0.15,1000)</f>
        <v>985.5</v>
      </c>
      <c r="E11" s="167" t="s">
        <v>14</v>
      </c>
      <c r="F11" s="242">
        <f>+I26</f>
        <v>32133.750000000004</v>
      </c>
      <c r="G11" s="243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280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410</v>
      </c>
      <c r="F24" s="76">
        <v>3</v>
      </c>
      <c r="G24" s="77">
        <f>F12*D24</f>
        <v>20000</v>
      </c>
      <c r="H24" s="77">
        <f>$E24*$F$10*1.1-$G24</f>
        <v>12133.750000000004</v>
      </c>
      <c r="I24" s="77">
        <f>G24+H24</f>
        <v>32133.750000000004</v>
      </c>
      <c r="J24" s="78">
        <f t="shared" si="16"/>
        <v>0.37760143151670761</v>
      </c>
      <c r="K24" s="77">
        <v>0</v>
      </c>
      <c r="L24" s="77">
        <v>0</v>
      </c>
      <c r="M24" s="77">
        <f>G24*1.19-G24</f>
        <v>3800</v>
      </c>
      <c r="N24" s="77">
        <f t="shared" si="5"/>
        <v>1387.59375</v>
      </c>
      <c r="O24" s="77">
        <f>L24-M24-N24</f>
        <v>-5187.59375</v>
      </c>
      <c r="P24" s="79">
        <f>IFERROR($H24-L24,"")</f>
        <v>12133.750000000004</v>
      </c>
      <c r="Q24" s="78">
        <f>IFERROR(($H24-L24)/$I24,"")</f>
        <v>0.37760143151670761</v>
      </c>
      <c r="R24" s="80">
        <f>IFERROR((1-Q24)*F24,"")</f>
        <v>1.8671957054498773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410</v>
      </c>
      <c r="F26" s="89"/>
      <c r="G26" s="89">
        <f>SUBTOTAL(9,G19:G24)</f>
        <v>20000</v>
      </c>
      <c r="H26" s="89">
        <f>SUBTOTAL(9,H19:H24)</f>
        <v>12133.750000000004</v>
      </c>
      <c r="I26" s="89">
        <f>SUBTOTAL(9,I19:I24)</f>
        <v>32133.750000000004</v>
      </c>
      <c r="J26" s="90">
        <f>H26/I26</f>
        <v>0.37760143151670761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1387.59375</v>
      </c>
      <c r="O26" s="89">
        <f t="shared" si="25"/>
        <v>-5187.59375</v>
      </c>
      <c r="P26" s="89">
        <f t="shared" si="25"/>
        <v>12133.750000000004</v>
      </c>
      <c r="Q26" s="90">
        <f>($H26-L26)/$I26</f>
        <v>0.37760143151670761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6,2%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zoomScale="60" zoomScaleNormal="60" workbookViewId="0">
      <selection activeCell="C5" sqref="C5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50</v>
      </c>
    </row>
    <row r="4" spans="2:11" x14ac:dyDescent="0.4">
      <c r="B4" s="103" t="s">
        <v>53</v>
      </c>
      <c r="C4" s="226">
        <v>32.369999999999997</v>
      </c>
      <c r="D4" s="97">
        <v>32.369999999999997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410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410 Gutscheine x 48,79€ je Gutschein</v>
      </c>
      <c r="C24" s="237">
        <f>IFERROR(C7*'Preise Output'!$F$7,"--")</f>
        <v>20003.900000000001</v>
      </c>
    </row>
    <row r="25" spans="2:8" x14ac:dyDescent="0.4">
      <c r="B25" s="97" t="str">
        <f>"Das enspricht "&amp;TEXT('Preise Output'!E26/('Preise Output'!C10),"0,0%") &amp; " des Leerstands p.a."</f>
        <v>Das enspricht 6,2%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1256.7730000000001</v>
      </c>
      <c r="E26" s="223">
        <v>7.0000000000000007E-2</v>
      </c>
      <c r="F26" s="162">
        <f>C24-F27</f>
        <v>17953.900000000001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389.5</v>
      </c>
      <c r="E27" s="223">
        <v>0.19</v>
      </c>
      <c r="F27" s="162">
        <f>G27*C7</f>
        <v>2050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32,37€ je Gutschein x 410 Roomnights</v>
      </c>
      <c r="C31" s="237">
        <f>C7*C4</f>
        <v>13271.699999999999</v>
      </c>
    </row>
    <row r="32" spans="2:8" x14ac:dyDescent="0.4">
      <c r="B32" s="108" t="s">
        <v>293</v>
      </c>
      <c r="C32" s="229">
        <f>C26+C27</f>
        <v>1646.2730000000001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11724.695689075628</v>
      </c>
    </row>
    <row r="36" spans="2:3" x14ac:dyDescent="0.4">
      <c r="B36" s="102" t="s">
        <v>65</v>
      </c>
      <c r="C36" s="239">
        <f>C12-C34</f>
        <v>5082.0270000000037</v>
      </c>
    </row>
    <row r="37" spans="2:3" x14ac:dyDescent="0.4">
      <c r="B37" s="97" t="s">
        <v>289</v>
      </c>
      <c r="C37" s="240">
        <f>C36/C12</f>
        <v>0.3023806065000002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20500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20500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20500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20500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871.25</v>
      </c>
      <c r="F7" s="129">
        <f>IF($B$6=100%,(('Preise Output'!$F$10-INDEX(Annahmen!$B$18:$C$22,MATCH('Preise Output'!$C$7,Annahmen!$B$18:$B$22,0),2))*'Preise Output'!$E$26)/10,('Preise Output'!$E$26*'Preise Output'!$F$10-$D$6)/10)</f>
        <v>871.25</v>
      </c>
      <c r="G7" s="129">
        <f>IF($B$6=100%,(('Preise Output'!$F$10-INDEX(Annahmen!$B$18:$C$22,MATCH('Preise Output'!$C$7,Annahmen!$B$18:$B$22,0),2))*'Preise Output'!$E$26)/10,('Preise Output'!$E$26*'Preise Output'!$F$10-$D$6)/10)</f>
        <v>871.25</v>
      </c>
      <c r="H7" s="129">
        <f>IF($B$6=100%,(('Preise Output'!$F$10-INDEX(Annahmen!$B$18:$C$22,MATCH('Preise Output'!$C$7,Annahmen!$B$18:$B$22,0),2))*'Preise Output'!$E$26)/10,('Preise Output'!$E$26*'Preise Output'!$F$10-$D$6)/10)</f>
        <v>871.25</v>
      </c>
      <c r="I7" s="129">
        <f>IF($B$6=100%,(('Preise Output'!$F$10-INDEX(Annahmen!$B$18:$C$22,MATCH('Preise Output'!$C$7,Annahmen!$B$18:$B$22,0),2))*'Preise Output'!$E$26)/10,('Preise Output'!$E$26*'Preise Output'!$F$10-$D$6)/10)</f>
        <v>871.25</v>
      </c>
      <c r="J7" s="129">
        <f>IF($B$6=100%,(('Preise Output'!$F$10-INDEX(Annahmen!$B$18:$C$22,MATCH('Preise Output'!$C$7,Annahmen!$B$18:$B$22,0),2))*'Preise Output'!$E$26)/10,('Preise Output'!$E$26*'Preise Output'!$F$10-$D$6)/10)</f>
        <v>871.25</v>
      </c>
      <c r="K7" s="129">
        <f>IF($B$6=100%,(('Preise Output'!$F$10-INDEX(Annahmen!$B$18:$C$22,MATCH('Preise Output'!$C$7,Annahmen!$B$18:$B$22,0),2))*'Preise Output'!$E$26)/10,('Preise Output'!$E$26*'Preise Output'!$F$10-$D$6)/10)</f>
        <v>871.25</v>
      </c>
      <c r="L7" s="129">
        <f>IF($B$6=100%,(('Preise Output'!$F$10-INDEX(Annahmen!$B$18:$C$22,MATCH('Preise Output'!$C$7,Annahmen!$B$18:$B$22,0),2))*'Preise Output'!$E$26)/10,('Preise Output'!$E$26*'Preise Output'!$F$10-$D$6)/10)</f>
        <v>871.25</v>
      </c>
      <c r="M7" s="129">
        <f>IF($B$6=100%,(('Preise Output'!$F$10-INDEX(Annahmen!$B$18:$C$22,MATCH('Preise Output'!$C$7,Annahmen!$B$18:$B$22,0),2))*'Preise Output'!$E$26)/10,('Preise Output'!$E$26*'Preise Output'!$F$10-$D$6)/10)</f>
        <v>871.25</v>
      </c>
      <c r="N7" s="129">
        <f>IF($B$6=100%,(('Preise Output'!$F$10-INDEX(Annahmen!$B$18:$C$22,MATCH('Preise Output'!$C$7,Annahmen!$B$18:$B$22,0),2))*'Preise Output'!$E$26)/10,('Preise Output'!$E$26*'Preise Output'!$F$10-$D$6)/10)</f>
        <v>871.25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871.25</v>
      </c>
      <c r="R7" s="129">
        <f>IF($B$6=100%,(('Preise Output'!$F$10-INDEX(Annahmen!$B$18:$C$22,MATCH('Preise Output'!$C$7,Annahmen!$B$18:$B$22,0),2))*'Preise Output'!$E$26)/10,('Preise Output'!$E$26*'Preise Output'!$F$10-$D$6)/10)</f>
        <v>871.25</v>
      </c>
      <c r="S7" s="129">
        <f>IF($B$6=100%,(('Preise Output'!$F$10-INDEX(Annahmen!$B$18:$C$22,MATCH('Preise Output'!$C$7,Annahmen!$B$18:$B$22,0),2))*'Preise Output'!$E$26)/10,('Preise Output'!$E$26*'Preise Output'!$F$10-$D$6)/10)</f>
        <v>871.25</v>
      </c>
      <c r="T7" s="129">
        <f>IF($B$6=100%,(('Preise Output'!$F$10-INDEX(Annahmen!$B$18:$C$22,MATCH('Preise Output'!$C$7,Annahmen!$B$18:$B$22,0),2))*'Preise Output'!$E$26)/10,('Preise Output'!$E$26*'Preise Output'!$F$10-$D$6)/10)</f>
        <v>871.25</v>
      </c>
      <c r="U7" s="129">
        <f>IF($B$6=100%,(('Preise Output'!$F$10-INDEX(Annahmen!$B$18:$C$22,MATCH('Preise Output'!$C$7,Annahmen!$B$18:$B$22,0),2))*'Preise Output'!$E$26)/10,('Preise Output'!$E$26*'Preise Output'!$F$10-$D$6)/10)</f>
        <v>871.25</v>
      </c>
      <c r="V7" s="129">
        <f>IF($B$6=100%,(('Preise Output'!$F$10-INDEX(Annahmen!$B$18:$C$22,MATCH('Preise Output'!$C$7,Annahmen!$B$18:$B$22,0),2))*'Preise Output'!$E$26)/10,('Preise Output'!$E$26*'Preise Output'!$F$10-$D$6)/10)</f>
        <v>871.25</v>
      </c>
      <c r="W7" s="129">
        <f>IF($B$6=100%,(('Preise Output'!$F$10-INDEX(Annahmen!$B$18:$C$22,MATCH('Preise Output'!$C$7,Annahmen!$B$18:$B$22,0),2))*'Preise Output'!$E$26)/10,('Preise Output'!$E$26*'Preise Output'!$F$10-$D$6)/10)</f>
        <v>871.25</v>
      </c>
      <c r="X7" s="129">
        <f>IF($B$6=100%,(('Preise Output'!$F$10-INDEX(Annahmen!$B$18:$C$22,MATCH('Preise Output'!$C$7,Annahmen!$B$18:$B$22,0),2))*'Preise Output'!$E$26)/10,('Preise Output'!$E$26*'Preise Output'!$F$10-$D$6)/10)</f>
        <v>871.25</v>
      </c>
      <c r="Y7" s="129">
        <f>IF($B$6=100%,(('Preise Output'!$F$10-INDEX(Annahmen!$B$18:$C$22,MATCH('Preise Output'!$C$7,Annahmen!$B$18:$B$22,0),2))*'Preise Output'!$E$26)/10,('Preise Output'!$E$26*'Preise Output'!$F$10-$D$6)/10)</f>
        <v>871.25</v>
      </c>
      <c r="Z7" s="129">
        <f>IF($B$6=100%,(('Preise Output'!$F$10-INDEX(Annahmen!$B$18:$C$22,MATCH('Preise Output'!$C$7,Annahmen!$B$18:$B$22,0),2))*'Preise Output'!$E$26)/10,('Preise Output'!$E$26*'Preise Output'!$F$10-$D$6)/10)</f>
        <v>871.25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871.25</v>
      </c>
      <c r="AD7" s="129">
        <f>IF($B$6=100%,(('Preise Output'!$F$10-INDEX(Annahmen!$B$18:$C$22,MATCH('Preise Output'!$C$7,Annahmen!$B$18:$B$22,0),2))*'Preise Output'!$E$26)/10,('Preise Output'!$E$26*'Preise Output'!$F$10-$D$6)/10)</f>
        <v>871.25</v>
      </c>
      <c r="AE7" s="129">
        <f>IF($B$6=100%,(('Preise Output'!$F$10-INDEX(Annahmen!$B$18:$C$22,MATCH('Preise Output'!$C$7,Annahmen!$B$18:$B$22,0),2))*'Preise Output'!$E$26)/10,('Preise Output'!$E$26*'Preise Output'!$F$10-$D$6)/10)</f>
        <v>871.25</v>
      </c>
      <c r="AF7" s="129">
        <f>IF($B$6=100%,(('Preise Output'!$F$10-INDEX(Annahmen!$B$18:$C$22,MATCH('Preise Output'!$C$7,Annahmen!$B$18:$B$22,0),2))*'Preise Output'!$E$26)/10,('Preise Output'!$E$26*'Preise Output'!$F$10-$D$6)/10)</f>
        <v>871.25</v>
      </c>
      <c r="AG7" s="129">
        <f>IF($B$6=100%,(('Preise Output'!$F$10-INDEX(Annahmen!$B$18:$C$22,MATCH('Preise Output'!$C$7,Annahmen!$B$18:$B$22,0),2))*'Preise Output'!$E$26)/10,('Preise Output'!$E$26*'Preise Output'!$F$10-$D$6)/10)</f>
        <v>871.25</v>
      </c>
      <c r="AH7" s="129">
        <f>IF($B$6=100%,(('Preise Output'!$F$10-INDEX(Annahmen!$B$18:$C$22,MATCH('Preise Output'!$C$7,Annahmen!$B$18:$B$22,0),2))*'Preise Output'!$E$26)/10,('Preise Output'!$E$26*'Preise Output'!$F$10-$D$6)/10)</f>
        <v>871.25</v>
      </c>
      <c r="AI7" s="129">
        <f>IF($B$6=100%,(('Preise Output'!$F$10-INDEX(Annahmen!$B$18:$C$22,MATCH('Preise Output'!$C$7,Annahmen!$B$18:$B$22,0),2))*'Preise Output'!$E$26)/10,('Preise Output'!$E$26*'Preise Output'!$F$10-$D$6)/10)</f>
        <v>871.25</v>
      </c>
      <c r="AJ7" s="129">
        <f>IF($B$6=100%,(('Preise Output'!$F$10-INDEX(Annahmen!$B$18:$C$22,MATCH('Preise Output'!$C$7,Annahmen!$B$18:$B$22,0),2))*'Preise Output'!$E$26)/10,('Preise Output'!$E$26*'Preise Output'!$F$10-$D$6)/10)</f>
        <v>871.25</v>
      </c>
      <c r="AK7" s="129">
        <f>IF($B$6=100%,(('Preise Output'!$F$10-INDEX(Annahmen!$B$18:$C$22,MATCH('Preise Output'!$C$7,Annahmen!$B$18:$B$22,0),2))*'Preise Output'!$E$26)/10,('Preise Output'!$E$26*'Preise Output'!$F$10-$D$6)/10)</f>
        <v>871.25</v>
      </c>
      <c r="AL7" s="129">
        <f>IF($B$6=100%,(('Preise Output'!$F$10-INDEX(Annahmen!$B$18:$C$22,MATCH('Preise Output'!$C$7,Annahmen!$B$18:$B$22,0),2))*'Preise Output'!$E$26)/10,('Preise Output'!$E$26*'Preise Output'!$F$10-$D$6)/10)</f>
        <v>871.25</v>
      </c>
      <c r="AM7" s="130"/>
      <c r="AN7" s="130">
        <f t="shared" ref="AN7:AN43" si="0">SUM(D7:AM7)</f>
        <v>26137.5</v>
      </c>
      <c r="AQ7" s="130">
        <f t="shared" ref="AQ7:AQ45" si="1">SUM(D7:F7)</f>
        <v>1742.5</v>
      </c>
      <c r="AR7" s="130">
        <f t="shared" ref="AR7:AR45" si="2">SUM(G7:I7)</f>
        <v>2613.75</v>
      </c>
      <c r="AS7" s="130">
        <f t="shared" ref="AS7:AS45" si="3">SUM(J7:L7)</f>
        <v>2613.75</v>
      </c>
      <c r="AT7" s="130">
        <f t="shared" ref="AT7:AT45" si="4">SUM(M7:O7)</f>
        <v>1742.5</v>
      </c>
      <c r="AU7" s="130">
        <f t="shared" ref="AU7:AU45" si="5">SUM(P7:R7)</f>
        <v>1742.5</v>
      </c>
      <c r="AV7" s="130">
        <f t="shared" ref="AV7:AV45" si="6">SUM(S7:U7)</f>
        <v>2613.75</v>
      </c>
      <c r="AW7" s="130">
        <f t="shared" ref="AW7:AW45" si="7">SUM(V7:X7)</f>
        <v>2613.75</v>
      </c>
      <c r="AX7" s="130">
        <f t="shared" ref="AX7:AX45" si="8">SUM(Y7:AA7)</f>
        <v>1742.5</v>
      </c>
      <c r="AY7" s="130">
        <f t="shared" ref="AY7:AY45" si="9">SUM(AB7:AD7)</f>
        <v>1742.5</v>
      </c>
      <c r="AZ7" s="130">
        <f t="shared" ref="AZ7:AZ45" si="10">SUM(AE7:AG7)</f>
        <v>2613.75</v>
      </c>
      <c r="BA7" s="130">
        <f t="shared" ref="BA7:BA45" si="11">SUM(AH7:AJ7)</f>
        <v>2613.75</v>
      </c>
      <c r="BB7" s="130">
        <f t="shared" ref="BB7:BB45" si="12">SUM(AK7:AM7)</f>
        <v>1742.5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32133.750000000004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25746B0-FFA2-4DE1-B933-F5FD1AF490FC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2025-04-22T11:38:54Z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