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Restaurant Hilling/"/>
    </mc:Choice>
  </mc:AlternateContent>
  <xr:revisionPtr revIDLastSave="43" documentId="8_{207F9823-9F7A-439A-86BD-E629EE244269}" xr6:coauthVersionLast="47" xr6:coauthVersionMax="47" xr10:uidLastSave="{42B191DF-F6B5-4DC5-910D-E9614700A45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<sst xmlns="http://schemas.openxmlformats.org/spreadsheetml/2006/main" count="510" uniqueCount="297">
  <si>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</si>
  <si>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</si>
  <si>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</si>
  <si>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</si>
  <si>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</si>
  <si>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</si>
  <si>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</si>
  <si>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</si>
  <si>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</si>
  <si>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</si>
  <si>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</si>
  <si>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</si>
  <si>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</si>
  <si>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</si>
  <si>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</si>
  <si>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</si>
  <si>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</si>
  <si>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</si>
  <si>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</si>
  <si>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</si>
  <si>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</si>
  <si>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</si>
  <si>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</si>
  <si>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</si>
  <si>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</si>
  <si>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</si>
  <si>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</si>
  <si>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</si>
  <si>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</si>
  <si>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</si>
  <si>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</si>
  <si>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</si>
  <si>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</si>
  <si>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</si>
  <si>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</si>
  <si>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</si>
  <si>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</si>
  <si>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</si>
  <si>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</si>
  <si>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</si>
  <si>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</si>
  <si>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</si>
  <si>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</si>
  <si>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</si>
  <si>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</si>
  <si>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</si>
  <si>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</si>
  <si>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</si>
  <si>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</si>
  <si>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</si>
  <si>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</si>
  <si>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</si>
  <si>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</si>
  <si>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</si>
  <si>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</si>
  <si>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</si>
  <si>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</si>
  <si>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</si>
  <si>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</si>
  <si>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</si>
  <si>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</si>
  <si>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</si>
  <si>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</si>
  <si>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</si>
  <si>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</si>
  <si>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</si>
  <si>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</si>
  <si>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</si>
  <si>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</si>
  <si>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</si>
  <si>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</si>
  <si>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</si>
  <si>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</si>
  <si>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</si>
  <si>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</si>
  <si>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</si>
  <si>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</si>
  <si>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</si>
  <si>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</si>
  <si>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</si>
  <si>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</si>
  <si>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</si>
  <si>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</si>
  <si>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</si>
  <si>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</si>
  <si>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</si>
  <si>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</si>
  <si>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</si>
  <si>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</si>
  <si>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</si>
  <si>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</si>
  <si>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</si>
  <si>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</si>
  <si>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</si>
  <si>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</si>
  <si>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</si>
  <si>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</si>
  <si>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</si>
  <si>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</si>
  <si>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</si>
  <si>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</si>
  <si>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</si>
  <si>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</si>
  <si>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</si>
  <si>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</si>
  <si>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</si>
  <si>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</si>
  <si>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</si>
  <si>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</si>
  <si>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</si>
  <si>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</si>
  <si>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</si>
  <si>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</si>
  <si>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</si>
  <si>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</si>
  <si>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</si>
  <si>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</si>
  <si>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</si>
  <si>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</si>
  <si>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</si>
  <si>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</si>
  <si>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</si>
  <si>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</si>
  <si>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</si>
  <si>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</si>
  <si>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</si>
  <si>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</si>
  <si>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</si>
  <si>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</si>
  <si>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</si>
  <si>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</si>
  <si>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</si>
  <si>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</si>
  <si>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</si>
  <si>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</si>
  <si>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</si>
  <si>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</si>
  <si>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</si>
  <si>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</si>
  <si>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</si>
  <si>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</si>
  <si>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</si>
  <si>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</si>
  <si>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</si>
  <si>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</si>
  <si>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</si>
  <si>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</si>
  <si>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</si>
  <si>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</si>
  <si>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</si>
  <si>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</si>
  <si>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</si>
  <si>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</si>
  <si>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</si>
  <si>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</si>
  <si>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</si>
  <si>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</si>
  <si>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</si>
  <si>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</si>
  <si>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</si>
  <si>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</si>
  <si>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</si>
  <si>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</si>
  <si>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</si>
  <si>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</si>
  <si>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</si>
  <si>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</si>
  <si>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</si>
  <si>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</si>
  <si>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</si>
  <si>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</si>
  <si>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</si>
  <si>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</si>
  <si>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</si>
  <si>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</si>
  <si>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</si>
  <si>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</si>
  <si>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</si>
  <si>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</si>
  <si>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</si>
  <si>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</si>
  <si>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</si>
  <si>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</si>
  <si>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</si>
  <si>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</si>
  <si>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</si>
  <si>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</si>
  <si>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</si>
  <si>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</si>
  <si>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</si>
  <si>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</si>
  <si>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</si>
  <si>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</si>
  <si>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</si>
  <si>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</si>
  <si>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</si>
  <si>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</si>
  <si>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</si>
  <si>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</si>
  <si>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</si>
  <si>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</si>
  <si>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</si>
  <si>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</si>
  <si>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</si>
  <si>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</si>
  <si>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</si>
  <si>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</si>
  <si>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</si>
  <si>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</si>
  <si>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</si>
  <si>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</si>
  <si>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</si>
  <si>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</si>
  <si>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</si>
  <si>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</si>
  <si>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</si>
  <si>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</si>
  <si>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</si>
  <si>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</si>
  <si>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</si>
  <si>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</si>
  <si>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</si>
  <si>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</si>
  <si>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</si>
  <si>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</si>
  <si>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</si>
  <si>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</si>
  <si>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</si>
  <si>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</si>
  <si>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</si>
  <si>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</si>
  <si>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</si>
  <si>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</si>
  <si>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</si>
  <si>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</si>
  <si>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</si>
  <si>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</si>
  <si>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</si>
  <si>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</si>
  <si>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</si>
  <si>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</si>
  <si>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</si>
  <si>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</si>
  <si>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</si>
  <si>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</si>
  <si>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</si>
  <si>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</si>
  <si>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</si>
  <si>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</si>
  <si>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</si>
  <si>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</si>
  <si>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</si>
  <si>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</si>
  <si>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</si>
  <si>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</si>
  <si>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</si>
  <si>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</si>
  <si>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</si>
  <si>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</si>
  <si>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</si>
  <si>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</si>
  <si>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</si>
  <si>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</si>
  <si>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</si>
  <si>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</si>
  <si>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</si>
  <si>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</si>
  <si>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</si>
  <si>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</si>
  <si>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</si>
  <si>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</si>
  <si>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</si>
  <si>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</si>
  <si>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</si>
  <si>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</si>
  <si>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</si>
  <si>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</si>
  <si>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</si>
  <si>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</si>
  <si>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</si>
  <si>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</si>
  <si>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</si>
  <si>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</si>
  <si>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</si>
  <si>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</si>
  <si>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</si>
  <si>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</si>
  <si>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</si>
  <si>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</si>
  <si>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</si>
  <si>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</si>
  <si>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</si>
  <si>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</si>
  <si>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</si>
  <si>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</si>
  <si>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</si>
  <si>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Restaurant Hilling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</si>
</sst>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45560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72.150000000000006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41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4489.5000000000009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673.42500000000007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111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14,9%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E6" sqref="E6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16806.722689075632</v>
      </c>
    </row>
    <row r="12" spans="2:11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>
      <c r="B25" s="97" t="str">
        <f>"Das enspricht "&amp;TEXT('Preise Output'!E26/('Preise Output'!C10),"0,0%") &amp; " des Leerstands p.a."</f>
        <v>Das enspricht 14,9%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>
      <c r="B32" s="108" t="s">
        <v>293</v>
      </c>
      <c r="C32" s="229">
        <f>C26+C27</f>
        <v>1800.9</v>
      </c>
    </row>
    <row r="33" spans="2:3" ht="14.5" thickBot="1">
      <c r="B33" s="115" t="s">
        <v>288</v>
      </c>
      <c r="C33" s="238">
        <f>-(C13+C14)</f>
        <v>-3193.2773109243699</v>
      </c>
    </row>
    <row r="34" spans="2:3">
      <c r="B34" s="96" t="s">
        <v>271</v>
      </c>
      <c r="C34" s="236">
        <f>SUM(C31:C33)</f>
        <v>9946.6226890756298</v>
      </c>
    </row>
    <row r="36" spans="2:3">
      <c r="B36" s="102" t="s">
        <v>65</v>
      </c>
      <c r="C36" s="239">
        <f>C12-C34</f>
        <v>6860.1000000000022</v>
      </c>
    </row>
    <row r="37" spans="2:3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A7E9D4E-3FA4-43D5-85FC-F81D0F5EAA50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2024-09-25T06:14:27Z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