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Atomis Hotels/"/>
    </mc:Choice>
  </mc:AlternateContent>
  <xr:revisionPtr revIDLastSave="2416" documentId="8_{D50F03F6-6C51-4C91-8437-F501A1E56D3F}" xr6:coauthVersionLast="47" xr6:coauthVersionMax="47" xr10:uidLastSave="{E460549E-A103-4794-94A2-BCC9E30917B2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r:id="rId2"/>
    <sheet name="Preisvergleich" sheetId="8" r:id="rId3"/>
    <sheet name="Produktpreise" sheetId="4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Output'!$B$16:$L$23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" i="1" l="1"/>
  <c r="D25" i="2"/>
  <c r="D26" i="2"/>
  <c r="D24" i="2"/>
  <c r="P17" i="12"/>
  <c r="F7" i="1"/>
  <c r="Q16" i="4" l="1"/>
  <c r="G16" i="4" s="1"/>
  <c r="G15" i="4"/>
  <c r="G43" i="4" s="1"/>
  <c r="G14" i="4"/>
  <c r="G42" i="4" s="1"/>
  <c r="Q42" i="4" s="1"/>
  <c r="R42" i="4" s="1"/>
  <c r="G13" i="4"/>
  <c r="G41" i="4" s="1"/>
  <c r="G23" i="1"/>
  <c r="L15" i="4"/>
  <c r="L43" i="4" s="1"/>
  <c r="L14" i="4"/>
  <c r="L42" i="4" s="1"/>
  <c r="I15" i="4"/>
  <c r="I43" i="4" s="1"/>
  <c r="C13" i="8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5" i="1"/>
  <c r="F32" i="4"/>
  <c r="G32" i="4"/>
  <c r="H32" i="4"/>
  <c r="I32" i="4"/>
  <c r="F12" i="4"/>
  <c r="F40" i="4" s="1"/>
  <c r="E12" i="8" s="1"/>
  <c r="L12" i="4"/>
  <c r="L40" i="4" s="1"/>
  <c r="L32" i="4"/>
  <c r="K32" i="4"/>
  <c r="I12" i="4"/>
  <c r="I40" i="4" s="1"/>
  <c r="H12" i="4"/>
  <c r="H40" i="4" s="1"/>
  <c r="G12" i="4"/>
  <c r="G40" i="4" s="1"/>
  <c r="G39" i="4"/>
  <c r="E23" i="1" l="1"/>
  <c r="P19" i="12"/>
  <c r="G18" i="1" s="1"/>
  <c r="E18" i="1" s="1"/>
  <c r="M17" i="12"/>
  <c r="M19" i="12" s="1"/>
  <c r="G22" i="1" s="1"/>
  <c r="E22" i="1" s="1"/>
  <c r="J17" i="12"/>
  <c r="J19" i="12" s="1"/>
  <c r="G21" i="1" s="1"/>
  <c r="E21" i="1" s="1"/>
  <c r="G17" i="12"/>
  <c r="G19" i="12" s="1"/>
  <c r="G20" i="1" s="1"/>
  <c r="E20" i="1" s="1"/>
  <c r="D17" i="12"/>
  <c r="D19" i="12" s="1"/>
  <c r="G19" i="1" s="1"/>
  <c r="E19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C15" i="8"/>
  <c r="J34" i="4"/>
  <c r="J35" i="4"/>
  <c r="J36" i="4"/>
  <c r="J37" i="4"/>
  <c r="J33" i="4"/>
  <c r="Q5" i="4"/>
  <c r="F10" i="1" l="1"/>
  <c r="Q36" i="4"/>
  <c r="R36" i="4" s="1"/>
  <c r="I8" i="4"/>
  <c r="J8" i="4"/>
  <c r="G8" i="4"/>
  <c r="C12" i="8"/>
  <c r="G9" i="4"/>
  <c r="H18" i="1" l="1"/>
  <c r="H21" i="1"/>
  <c r="H20" i="1"/>
  <c r="H19" i="1"/>
  <c r="D9" i="10"/>
  <c r="D8" i="10"/>
  <c r="F8" i="10" s="1"/>
  <c r="I19" i="1" l="1"/>
  <c r="J19" i="1" s="1"/>
  <c r="I20" i="1"/>
  <c r="J20" i="1" s="1"/>
  <c r="I21" i="1"/>
  <c r="J21" i="1" s="1"/>
  <c r="I18" i="1"/>
  <c r="J18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1" i="1"/>
  <c r="F13" i="10" l="1"/>
  <c r="F12" i="10"/>
  <c r="Q12" i="4" l="1"/>
  <c r="M19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0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C11" i="8"/>
  <c r="C16" i="8" s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C17" i="8" l="1"/>
  <c r="C32" i="8" s="1"/>
  <c r="AA31" i="9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C21" i="8" l="1"/>
  <c r="AN31" i="9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3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2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5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5" i="1" l="1"/>
  <c r="R10" i="4"/>
  <c r="R11" i="4"/>
  <c r="R17" i="4"/>
  <c r="R7" i="4" l="1"/>
  <c r="R5" i="4"/>
  <c r="R6" i="4"/>
  <c r="M18" i="1" l="1"/>
  <c r="R20" i="4" l="1"/>
  <c r="C11" i="1"/>
  <c r="M25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1" i="1"/>
  <c r="C7" i="8" l="1"/>
  <c r="B27" i="8" s="1"/>
  <c r="U24" i="10"/>
  <c r="N18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3" i="1"/>
  <c r="O23" i="1" s="1"/>
  <c r="H23" i="1"/>
  <c r="N20" i="1"/>
  <c r="N19" i="1"/>
  <c r="C36" i="8" l="1"/>
  <c r="B36" i="8"/>
  <c r="P26" i="10"/>
  <c r="U26" i="10" s="1"/>
  <c r="P14" i="10"/>
  <c r="U14" i="10" s="1"/>
  <c r="P25" i="10"/>
  <c r="U25" i="10" s="1"/>
  <c r="P21" i="10"/>
  <c r="U21" i="10" s="1"/>
  <c r="P17" i="10"/>
  <c r="U17" i="10" s="1"/>
  <c r="P23" i="1"/>
  <c r="I23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3" i="1" l="1"/>
  <c r="Q23" i="1"/>
  <c r="R23" i="1" s="1"/>
  <c r="U5" i="10"/>
  <c r="N22" i="1" l="1"/>
  <c r="N25" i="1" s="1"/>
  <c r="H22" i="1"/>
  <c r="E25" i="1"/>
  <c r="I26" i="1" s="1"/>
  <c r="AB6" i="9" l="1"/>
  <c r="AY6" i="9" s="1"/>
  <c r="H25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2" i="1"/>
  <c r="J22" i="1" s="1"/>
  <c r="AF7" i="9"/>
  <c r="E7" i="9"/>
  <c r="Q7" i="9"/>
  <c r="H7" i="9"/>
  <c r="L7" i="9"/>
  <c r="M7" i="9"/>
  <c r="T7" i="9"/>
  <c r="U7" i="9"/>
  <c r="P15" i="10" l="1"/>
  <c r="I25" i="1"/>
  <c r="F11" i="1" s="1"/>
  <c r="AN7" i="9"/>
  <c r="AQ7" i="9"/>
  <c r="AW7" i="9"/>
  <c r="AS7" i="9"/>
  <c r="BA7" i="9"/>
  <c r="AY7" i="9"/>
  <c r="BB7" i="9"/>
  <c r="AV7" i="9"/>
  <c r="K20" i="1"/>
  <c r="L20" i="1" s="1"/>
  <c r="K22" i="1"/>
  <c r="L22" i="1" s="1"/>
  <c r="K21" i="1"/>
  <c r="L21" i="1" s="1"/>
  <c r="C27" i="8"/>
  <c r="C28" i="8" s="1"/>
  <c r="K18" i="1"/>
  <c r="L18" i="1" s="1"/>
  <c r="K19" i="1"/>
  <c r="L19" i="1" s="1"/>
  <c r="AT7" i="9"/>
  <c r="AU6" i="9"/>
  <c r="AZ7" i="9"/>
  <c r="AN6" i="9"/>
  <c r="AQ6" i="9"/>
  <c r="AX7" i="9"/>
  <c r="AU7" i="9"/>
  <c r="AR7" i="9"/>
  <c r="AN5" i="9" l="1"/>
  <c r="J25" i="1"/>
  <c r="F9" i="1" s="1"/>
  <c r="U15" i="10"/>
  <c r="P27" i="10"/>
  <c r="O18" i="1"/>
  <c r="S11" i="10"/>
  <c r="Q18" i="1"/>
  <c r="R18" i="1" s="1"/>
  <c r="P18" i="1"/>
  <c r="P20" i="1"/>
  <c r="O20" i="1"/>
  <c r="Q20" i="1"/>
  <c r="R20" i="1" s="1"/>
  <c r="S13" i="10"/>
  <c r="Q19" i="1"/>
  <c r="R19" i="1" s="1"/>
  <c r="O19" i="1"/>
  <c r="S12" i="10"/>
  <c r="P19" i="1"/>
  <c r="S9" i="10"/>
  <c r="S19" i="10"/>
  <c r="C31" i="8"/>
  <c r="C38" i="8" s="1"/>
  <c r="C37" i="8"/>
  <c r="S7" i="10"/>
  <c r="S10" i="10"/>
  <c r="S18" i="10"/>
  <c r="S24" i="10"/>
  <c r="S14" i="10"/>
  <c r="O21" i="1"/>
  <c r="P21" i="1"/>
  <c r="Q21" i="1"/>
  <c r="R21" i="1" s="1"/>
  <c r="S23" i="10"/>
  <c r="S6" i="10"/>
  <c r="S26" i="10"/>
  <c r="S17" i="10"/>
  <c r="K25" i="1"/>
  <c r="S15" i="10"/>
  <c r="O22" i="1"/>
  <c r="Q22" i="1"/>
  <c r="R22" i="1" s="1"/>
  <c r="P22" i="1"/>
  <c r="S22" i="10"/>
  <c r="S25" i="10"/>
  <c r="S20" i="10"/>
  <c r="S21" i="10"/>
  <c r="P28" i="10" l="1"/>
  <c r="U27" i="10"/>
  <c r="C39" i="8"/>
  <c r="C41" i="8" s="1"/>
  <c r="C42" i="8" s="1"/>
  <c r="S5" i="10"/>
  <c r="S27" i="10" s="1"/>
  <c r="S28" i="10" s="1"/>
  <c r="L25" i="1"/>
  <c r="P25" i="1"/>
  <c r="O25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5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5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<sst xmlns="http://schemas.openxmlformats.org/spreadsheetml/2006/main" count="512" uniqueCount="294">
  <si>
    <t>Pricing Tool</t>
  </si>
  <si>
    <t>Allgemeine Hotelinfos</t>
  </si>
  <si>
    <t>Angebotsrelevante Eingaben</t>
  </si>
  <si>
    <t>Datum</t>
  </si>
  <si>
    <t>Tripz Vertragspreis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</si>
  <si>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</si>
  <si>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</si>
  <si>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</si>
  <si>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</si>
  <si>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</si>
  <si>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</si>
  <si>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</si>
  <si>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</si>
  <si>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</si>
  <si>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</si>
  <si>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</si>
  <si>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</si>
  <si>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</si>
  <si>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</si>
  <si>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</si>
  <si>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</si>
  <si>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</si>
  <si>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</si>
  <si>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</si>
  <si>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</si>
  <si>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</si>
  <si>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</si>
  <si>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</si>
  <si>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</si>
  <si>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</si>
  <si>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</si>
  <si>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</si>
  <si>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</si>
  <si>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</si>
  <si>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</si>
  <si>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</si>
  <si>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</si>
  <si>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</si>
  <si>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</si>
  <si>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</si>
  <si>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</si>
  <si>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</si>
  <si>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</si>
  <si>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</si>
  <si>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</si>
  <si>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</si>
  <si>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</si>
  <si>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</si>
  <si>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</si>
  <si>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</si>
  <si>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</si>
  <si>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</si>
  <si>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</si>
  <si>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</si>
  <si>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</si>
  <si>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</si>
  <si>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</si>
  <si>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</si>
  <si>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</si>
  <si>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</si>
  <si>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</si>
  <si>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</si>
  <si>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</si>
  <si>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</si>
  <si>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</si>
  <si>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Mehrwertsteuer 7%</t>
  </si>
  <si>
    <t>Paket</t>
  </si>
  <si>
    <t>Ihre Kosten mit Beyond Bookings</t>
  </si>
  <si>
    <t>Steuerbelastung 7%</t>
  </si>
  <si>
    <t>Steuervorteil 19%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</si>
  <si>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</si>
  <si>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</si>
  <si>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</si>
  <si>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</si>
  <si>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</si>
  <si>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</si>
  <si>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</si>
  <si>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</si>
  <si>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</si>
  <si>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</si>
  <si>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</si>
  <si>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</si>
  <si>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</si>
  <si>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</si>
  <si>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</si>
  <si>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</si>
  <si>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</si>
  <si>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</si>
  <si>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</si>
  <si>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</si>
  <si>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</si>
  <si>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</si>
  <si>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</si>
  <si>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</si>
  <si>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</si>
  <si>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</si>
  <si>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</si>
  <si>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</si>
  <si>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</si>
  <si>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</si>
  <si>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</si>
  <si>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</si>
  <si>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</si>
  <si>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</si>
  <si>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</si>
  <si>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</si>
  <si>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</si>
  <si>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</si>
  <si>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</si>
  <si>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</si>
  <si>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</si>
  <si>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</si>
  <si>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</si>
  <si>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</si>
  <si>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</si>
  <si>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</si>
  <si>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</si>
  <si>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</si>
  <si>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</si>
  <si>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</si>
  <si>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</si>
  <si>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</si>
  <si>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</si>
  <si>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</si>
  <si>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</si>
  <si>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</si>
  <si>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</si>
  <si>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</si>
  <si>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</si>
  <si>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</si>
  <si>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</si>
  <si>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</si>
  <si>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</si>
  <si>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</si>
  <si>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</si>
  <si>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</si>
  <si>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</si>
  <si>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</si>
  <si>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</si>
  <si>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</si>
  <si>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</si>
  <si>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</si>
  <si>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</si>
  <si>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</si>
  <si>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</si>
  <si>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</si>
  <si>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</si>
  <si>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</si>
  <si>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</si>
  <si>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</si>
  <si>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</si>
  <si>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</si>
  <si>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</si>
  <si>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</si>
  <si>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</si>
  <si>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</si>
  <si>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</si>
  <si>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</si>
  <si>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</si>
  <si>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</si>
  <si>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</si>
  <si>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</si>
  <si>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</si>
  <si>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</si>
  <si>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</si>
  <si>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</si>
  <si>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</si>
  <si>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</si>
  <si>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</si>
  <si>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</si>
  <si>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</si>
  <si>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</si>
  <si>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</si>
  <si>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</si>
  <si>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</si>
  <si>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</si>
  <si>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</si>
  <si>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</si>
  <si>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</si>
  <si>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</si>
  <si>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</si>
  <si>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</si>
  <si>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</si>
  <si>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</si>
  <si>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</si>
  <si>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</si>
  <si>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</si>
  <si>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</si>
  <si>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</si>
  <si>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</si>
  <si>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</si>
  <si>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</si>
  <si>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</si>
  <si>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</si>
  <si>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</si>
  <si>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</si>
  <si>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</si>
  <si>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</si>
  <si>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</si>
  <si>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</si>
  <si>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</si>
  <si>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</si>
  <si>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</si>
  <si>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</si>
  <si>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</si>
  <si>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</si>
  <si>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</si>
  <si>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</si>
  <si>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</si>
  <si>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</si>
  <si>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</si>
  <si>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</si>
  <si>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</si>
  <si>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</si>
  <si>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</si>
  <si>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</si>
  <si>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</si>
  <si>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</si>
  <si>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</si>
  <si>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</si>
  <si>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</si>
  <si>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</si>
  <si>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</si>
  <si>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</si>
  <si>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</si>
  <si>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</si>
  <si>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</si>
  <si>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</si>
  <si>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</si>
  <si>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</si>
  <si>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</si>
  <si>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</si>
  <si>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</si>
  <si>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</si>
  <si>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</si>
  <si>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</si>
  <si>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</si>
  <si>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</si>
  <si>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</si>
  <si>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</si>
  <si>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</si>
  <si>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</si>
  <si>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</si>
  <si>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</si>
  <si>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</si>
  <si>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</si>
  <si>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</si>
  <si>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</si>
  <si>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</si>
  <si>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</si>
  <si>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</si>
  <si>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</si>
  <si>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</si>
  <si>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</si>
  <si>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</si>
  <si>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</si>
  <si>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</si>
  <si>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</si>
  <si>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</si>
  <si>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</si>
  <si>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</si>
  <si>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</si>
  <si>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Total Netto</t>
  </si>
  <si>
    <t>Anzahl:</t>
  </si>
  <si>
    <t>Anzahl Zusatzfahrer</t>
  </si>
  <si>
    <t>Schritt 1: Verkauf unverkaufter Zimmer an Beyond Bookings</t>
  </si>
  <si>
    <t>Schritt 2: SIXT+ Bruttorechung wird durch Beyond Bookings beglichen</t>
  </si>
  <si>
    <t>230208_Sixt</t>
  </si>
  <si>
    <t>Preisvergleich</t>
  </si>
  <si>
    <t>Alle Fahrzeuge in Preise Output aufgenommen</t>
  </si>
  <si>
    <t xml:space="preserve">Rundungsthema müsste geprüft werden! </t>
  </si>
  <si>
    <t>Finanzierung für Sixt bei Preisvergleich</t>
  </si>
  <si>
    <t>Gutscheinwert</t>
  </si>
  <si>
    <t>Steuerung über Sterne, die den Gutscheinwert festlegen</t>
  </si>
  <si>
    <t>Finanzierung Rechnung für Dritte</t>
  </si>
  <si>
    <t>Bei Gutscheineinlösung nicht?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</si>
  <si>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</si>
  <si>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</si>
  <si>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</si>
  <si>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</si>
  <si>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</si>
  <si>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</si>
  <si>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</si>
  <si>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</si>
  <si>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</si>
  <si>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</si>
  <si>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Zielpreis (in Roomnights) pro Jahr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</si>
  <si>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</si>
  <si>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</si>
  <si>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</si>
  <si>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</si>
  <si>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</si>
  <si>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</si>
  <si>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Atomis Hotel Munich Airport by Mercure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</si>
</sst>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\ &quot;€&quot;"/>
    <numFmt numFmtId="171" formatCode="#,##0.00_ ;\-#,##0.00\ 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b/>
      <sz val="24"/>
      <color theme="3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hair">
        <color auto="1"/>
      </top>
      <bottom/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2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166" fontId="26" fillId="0" borderId="0" xfId="4" applyNumberFormat="1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166" fontId="26" fillId="0" borderId="9" xfId="4" applyNumberFormat="1" applyFont="1" applyBorder="1"/>
    <xf numFmtId="0" fontId="27" fillId="0" borderId="0" xfId="0" applyFont="1"/>
    <xf numFmtId="166" fontId="25" fillId="0" borderId="0" xfId="4" applyNumberFormat="1" applyFont="1"/>
    <xf numFmtId="0" fontId="28" fillId="0" borderId="0" xfId="0" applyFont="1"/>
    <xf numFmtId="0" fontId="29" fillId="12" borderId="0" xfId="0" applyFont="1" applyFill="1"/>
    <xf numFmtId="166" fontId="29" fillId="12" borderId="0" xfId="4" applyNumberFormat="1" applyFont="1" applyFill="1"/>
    <xf numFmtId="0" fontId="25" fillId="0" borderId="1" xfId="0" applyFont="1" applyBorder="1"/>
    <xf numFmtId="0" fontId="26" fillId="3" borderId="1" xfId="0" applyFont="1" applyFill="1" applyBorder="1"/>
    <xf numFmtId="166" fontId="26" fillId="0" borderId="0" xfId="4" applyNumberFormat="1" applyFont="1" applyBorder="1"/>
    <xf numFmtId="0" fontId="15" fillId="0" borderId="10" xfId="0" applyFont="1" applyBorder="1"/>
    <xf numFmtId="166" fontId="26" fillId="0" borderId="10" xfId="4" applyNumberFormat="1" applyFont="1" applyBorder="1"/>
    <xf numFmtId="166" fontId="26" fillId="0" borderId="11" xfId="4" applyNumberFormat="1" applyFont="1" applyBorder="1"/>
    <xf numFmtId="0" fontId="15" fillId="0" borderId="12" xfId="0" applyFont="1" applyBorder="1"/>
    <xf numFmtId="166" fontId="26" fillId="0" borderId="12" xfId="4" applyNumberFormat="1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166" fontId="30" fillId="13" borderId="0" xfId="4" applyNumberFormat="1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166" fontId="26" fillId="0" borderId="13" xfId="4" applyNumberFormat="1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34" fillId="0" borderId="0" xfId="5" applyFont="1" applyAlignment="1">
      <alignment horizontal="left"/>
    </xf>
    <xf numFmtId="0" fontId="12" fillId="0" borderId="14" xfId="0" applyFont="1" applyBorder="1" applyAlignment="1">
      <alignment horizontal="left" vertical="top" wrapText="1"/>
    </xf>
    <xf numFmtId="44" fontId="12" fillId="4" borderId="15" xfId="1" applyFont="1" applyFill="1" applyBorder="1" applyProtection="1"/>
    <xf numFmtId="0" fontId="12" fillId="0" borderId="16" xfId="0" applyFont="1" applyBorder="1" applyAlignment="1">
      <alignment horizontal="left" vertical="top" wrapText="1"/>
    </xf>
    <xf numFmtId="44" fontId="12" fillId="4" borderId="17" xfId="1" applyFont="1" applyFill="1" applyBorder="1" applyProtection="1"/>
    <xf numFmtId="0" fontId="12" fillId="0" borderId="16" xfId="0" applyFont="1" applyBorder="1" applyAlignment="1">
      <alignment horizontal="left" wrapText="1"/>
    </xf>
    <xf numFmtId="170" fontId="20" fillId="14" borderId="18" xfId="4" applyNumberFormat="1" applyFont="1" applyFill="1" applyBorder="1" applyAlignment="1"/>
    <xf numFmtId="0" fontId="12" fillId="0" borderId="19" xfId="0" applyFont="1" applyBorder="1" applyAlignment="1">
      <alignment horizontal="left" vertical="top" wrapText="1"/>
    </xf>
    <xf numFmtId="0" fontId="12" fillId="0" borderId="21" xfId="0" applyFont="1" applyBorder="1" applyAlignment="1">
      <alignment vertical="top" wrapText="1"/>
    </xf>
    <xf numFmtId="9" fontId="12" fillId="4" borderId="22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165" fontId="12" fillId="3" borderId="20" xfId="1" applyNumberFormat="1" applyFont="1" applyFill="1" applyBorder="1" applyAlignment="1" applyProtection="1">
      <alignment horizontal="right" indent="3"/>
    </xf>
    <xf numFmtId="44" fontId="12" fillId="0" borderId="0" xfId="2" applyNumberFormat="1" applyFont="1"/>
    <xf numFmtId="166" fontId="26" fillId="0" borderId="0" xfId="0" applyNumberFormat="1" applyFont="1"/>
    <xf numFmtId="44" fontId="35" fillId="6" borderId="1" xfId="1" applyFont="1" applyFill="1" applyBorder="1" applyAlignment="1">
      <alignment vertical="top" wrapText="1"/>
    </xf>
    <xf numFmtId="44" fontId="35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1" xfId="0" applyFont="1" applyFill="1" applyBorder="1" applyAlignment="1">
      <alignment vertical="top" wrapText="1"/>
    </xf>
    <xf numFmtId="44" fontId="12" fillId="0" borderId="17" xfId="1" applyFont="1" applyBorder="1" applyProtection="1"/>
    <xf numFmtId="44" fontId="35" fillId="7" borderId="1" xfId="1" applyFont="1" applyFill="1" applyBorder="1" applyAlignment="1">
      <alignment wrapText="1"/>
    </xf>
    <xf numFmtId="44" fontId="35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6" fillId="0" borderId="0" xfId="1" applyFont="1" applyAlignment="1">
      <alignment wrapText="1"/>
    </xf>
    <xf numFmtId="0" fontId="37" fillId="0" borderId="24" xfId="0" applyFont="1" applyBorder="1" applyAlignment="1">
      <alignment horizontal="left" vertical="center"/>
    </xf>
    <xf numFmtId="0" fontId="38" fillId="0" borderId="0" xfId="0" applyFont="1" applyAlignment="1">
      <alignment horizontal="center" vertical="center" wrapText="1"/>
    </xf>
    <xf numFmtId="0" fontId="38" fillId="15" borderId="0" xfId="0" applyFont="1" applyFill="1" applyAlignment="1">
      <alignment horizontal="center" vertical="center" wrapText="1"/>
    </xf>
    <xf numFmtId="0" fontId="37" fillId="0" borderId="0" xfId="0" applyFont="1"/>
    <xf numFmtId="0" fontId="37" fillId="0" borderId="23" xfId="0" applyFont="1" applyBorder="1" applyAlignment="1">
      <alignment vertical="center"/>
    </xf>
    <xf numFmtId="0" fontId="39" fillId="0" borderId="10" xfId="0" applyFont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41" fillId="15" borderId="10" xfId="0" applyFont="1" applyFill="1" applyBorder="1" applyAlignment="1">
      <alignment horizontal="center" vertical="center" wrapText="1"/>
    </xf>
    <xf numFmtId="0" fontId="37" fillId="0" borderId="24" xfId="0" applyFont="1" applyBorder="1"/>
    <xf numFmtId="0" fontId="39" fillId="0" borderId="0" xfId="0" applyFont="1" applyAlignment="1">
      <alignment horizontal="right" vertical="center" wrapText="1"/>
    </xf>
    <xf numFmtId="0" fontId="39" fillId="15" borderId="0" xfId="0" applyFont="1" applyFill="1" applyAlignment="1">
      <alignment horizontal="right" vertical="center" wrapText="1"/>
    </xf>
    <xf numFmtId="6" fontId="37" fillId="0" borderId="0" xfId="0" applyNumberFormat="1" applyFont="1" applyAlignment="1">
      <alignment wrapText="1"/>
    </xf>
    <xf numFmtId="6" fontId="37" fillId="15" borderId="0" xfId="0" applyNumberFormat="1" applyFont="1" applyFill="1" applyAlignment="1">
      <alignment wrapText="1"/>
    </xf>
    <xf numFmtId="0" fontId="37" fillId="0" borderId="0" xfId="0" applyFont="1" applyAlignment="1">
      <alignment wrapText="1"/>
    </xf>
    <xf numFmtId="0" fontId="37" fillId="15" borderId="0" xfId="0" applyFont="1" applyFill="1" applyAlignment="1">
      <alignment wrapText="1"/>
    </xf>
    <xf numFmtId="0" fontId="37" fillId="15" borderId="0" xfId="0" applyFont="1" applyFill="1"/>
    <xf numFmtId="0" fontId="39" fillId="0" borderId="0" xfId="0" applyFont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8" fontId="37" fillId="15" borderId="0" xfId="0" applyNumberFormat="1" applyFont="1" applyFill="1"/>
    <xf numFmtId="0" fontId="42" fillId="0" borderId="24" xfId="0" applyFont="1" applyBorder="1"/>
    <xf numFmtId="8" fontId="42" fillId="0" borderId="0" xfId="0" applyNumberFormat="1" applyFont="1" applyAlignment="1">
      <alignment wrapText="1"/>
    </xf>
    <xf numFmtId="8" fontId="42" fillId="15" borderId="0" xfId="0" applyNumberFormat="1" applyFont="1" applyFill="1" applyAlignment="1">
      <alignment wrapText="1"/>
    </xf>
    <xf numFmtId="8" fontId="42" fillId="0" borderId="0" xfId="0" applyNumberFormat="1" applyFont="1"/>
    <xf numFmtId="8" fontId="42" fillId="15" borderId="0" xfId="0" applyNumberFormat="1" applyFont="1" applyFill="1"/>
    <xf numFmtId="0" fontId="37" fillId="0" borderId="25" xfId="0" applyFont="1" applyBorder="1"/>
    <xf numFmtId="8" fontId="37" fillId="0" borderId="26" xfId="0" applyNumberFormat="1" applyFont="1" applyBorder="1" applyAlignment="1">
      <alignment wrapText="1"/>
    </xf>
    <xf numFmtId="8" fontId="37" fillId="15" borderId="26" xfId="0" applyNumberFormat="1" applyFont="1" applyFill="1" applyBorder="1" applyAlignment="1">
      <alignment wrapText="1"/>
    </xf>
    <xf numFmtId="8" fontId="37" fillId="0" borderId="26" xfId="0" applyNumberFormat="1" applyFont="1" applyBorder="1"/>
    <xf numFmtId="0" fontId="38" fillId="0" borderId="24" xfId="0" applyFont="1" applyBorder="1"/>
    <xf numFmtId="8" fontId="38" fillId="0" borderId="0" xfId="0" applyNumberFormat="1" applyFont="1" applyAlignment="1">
      <alignment wrapText="1"/>
    </xf>
    <xf numFmtId="8" fontId="38" fillId="15" borderId="0" xfId="0" applyNumberFormat="1" applyFont="1" applyFill="1" applyAlignment="1">
      <alignment wrapText="1"/>
    </xf>
    <xf numFmtId="8" fontId="38" fillId="0" borderId="0" xfId="0" applyNumberFormat="1" applyFont="1"/>
    <xf numFmtId="0" fontId="43" fillId="0" borderId="24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4" fillId="0" borderId="6" xfId="0" applyFont="1" applyBorder="1" applyAlignment="1">
      <alignment vertical="top" wrapText="1"/>
    </xf>
    <xf numFmtId="166" fontId="15" fillId="0" borderId="9" xfId="0" applyNumberFormat="1" applyFont="1" applyBorder="1"/>
    <xf numFmtId="166" fontId="26" fillId="0" borderId="27" xfId="4" applyNumberFormat="1" applyFont="1" applyBorder="1"/>
    <xf numFmtId="0" fontId="15" fillId="0" borderId="28" xfId="0" applyFont="1" applyBorder="1"/>
    <xf numFmtId="166" fontId="26" fillId="0" borderId="29" xfId="4" applyNumberFormat="1" applyFont="1" applyBorder="1"/>
    <xf numFmtId="171" fontId="0" fillId="7" borderId="1" xfId="1" applyNumberFormat="1" applyFont="1" applyFill="1" applyBorder="1" applyAlignment="1">
      <alignment vertical="top" wrapText="1"/>
    </xf>
    <xf numFmtId="0" fontId="12" fillId="17" borderId="0" xfId="0" applyFont="1" applyFill="1"/>
    <xf numFmtId="0" fontId="2" fillId="17" borderId="1" xfId="0" applyFont="1" applyFill="1" applyBorder="1"/>
    <xf numFmtId="0" fontId="26" fillId="17" borderId="0" xfId="0" applyFont="1" applyFill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4" fillId="0" borderId="0" xfId="0" applyFont="1"/>
    <xf numFmtId="0" fontId="45" fillId="0" borderId="0" xfId="5" applyFont="1"/>
    <xf numFmtId="166" fontId="44" fillId="0" borderId="0" xfId="4" applyNumberFormat="1" applyFont="1" applyAlignment="1">
      <alignment horizontal="left"/>
    </xf>
    <xf numFmtId="44" fontId="0" fillId="0" borderId="24" xfId="1" applyFont="1" applyBorder="1"/>
    <xf numFmtId="44" fontId="12" fillId="0" borderId="0" xfId="0" applyNumberFormat="1" applyFont="1"/>
    <xf numFmtId="9" fontId="26" fillId="0" borderId="0" xfId="2" applyFo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4"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7"/>
  <sheetViews>
    <sheetView showGridLines="0" zoomScale="80" zoomScaleNormal="80" workbookViewId="0">
      <pane xSplit="3" ySplit="16" topLeftCell="D24" activePane="bottomRight" state="frozen"/>
      <selection pane="topRight" activeCell="D1" sqref="D1"/>
      <selection pane="bottomLeft" activeCell="A15" sqref="A15"/>
      <selection pane="bottomRight" activeCell="F24" sqref="F24"/>
    </sheetView>
  </sheetViews>
  <sheetFormatPr baseColWidth="10" defaultColWidth="10.7265625" defaultRowHeight="15" outlineLevelCol="2" x14ac:dyDescent="0.4"/>
  <cols>
    <col min="1" max="1" width="4.7265625" style="37" customWidth="1"/>
    <col min="2" max="2" width="61.7265625" style="37" bestFit="1" customWidth="1"/>
    <col min="3" max="3" width="29.7265625" style="37" bestFit="1" customWidth="1"/>
    <col min="4" max="4" width="17.26953125" style="38" customWidth="1"/>
    <col min="5" max="5" width="50.1796875" style="37" bestFit="1" customWidth="1"/>
    <col min="6" max="6" width="28.7265625" style="37" bestFit="1" customWidth="1"/>
    <col min="7" max="7" width="24.26953125" style="37" customWidth="1" outlineLevel="1"/>
    <col min="8" max="8" width="24.26953125" style="40" customWidth="1" outlineLevel="1"/>
    <col min="9" max="9" width="31.54296875" style="40" customWidth="1" outlineLevel="1"/>
    <col min="10" max="10" width="24.453125" style="40" customWidth="1" outlineLevel="1"/>
    <col min="11" max="12" width="24.453125" style="40" hidden="1" customWidth="1" outlineLevel="1"/>
    <col min="13" max="13" width="18.26953125" style="40" hidden="1" customWidth="1" outlineLevel="2"/>
    <col min="14" max="14" width="18" style="40" hidden="1" customWidth="1" outlineLevel="2"/>
    <col min="15" max="15" width="28" style="40" hidden="1" customWidth="1" outlineLevel="2"/>
    <col min="16" max="16" width="28" style="40" hidden="1" customWidth="1" outlineLevel="1" collapsed="1"/>
    <col min="17" max="17" width="26.453125" style="40" hidden="1" customWidth="1" outlineLevel="1"/>
    <col min="18" max="18" width="25" style="40" hidden="1" customWidth="1" outlineLevel="1"/>
    <col min="19" max="19" width="24.26953125" style="37" customWidth="1"/>
    <col min="20" max="20" width="17.453125" style="37" customWidth="1"/>
    <col min="21" max="21" width="10.7265625" style="37"/>
    <col min="22" max="22" width="17" style="37" customWidth="1"/>
    <col min="23" max="23" width="16.54296875" style="37" customWidth="1"/>
    <col min="24" max="24" width="19" style="37" customWidth="1"/>
    <col min="25" max="25" width="15" style="37" customWidth="1"/>
    <col min="26" max="26" width="18.26953125" style="37" customWidth="1"/>
    <col min="27" max="27" width="17.7265625" style="37" customWidth="1"/>
    <col min="28" max="29" width="15.26953125" style="37" customWidth="1"/>
    <col min="30" max="32" width="10.7265625" style="37"/>
    <col min="33" max="33" width="16.453125" style="37" customWidth="1"/>
    <col min="34" max="16384" width="10.7265625" style="37"/>
  </cols>
  <sheetData>
    <row r="1" spans="1:32" x14ac:dyDescent="0.4">
      <c r="E1" s="175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36" x14ac:dyDescent="0.95">
      <c r="B2" s="161" t="s">
        <v>0</v>
      </c>
      <c r="D2" s="154"/>
      <c r="K2" s="42"/>
      <c r="L2" s="42"/>
      <c r="M2" s="42"/>
      <c r="N2" s="42"/>
      <c r="O2" s="42"/>
      <c r="P2" s="42"/>
      <c r="Q2" s="42"/>
      <c r="R2" s="42"/>
    </row>
    <row r="3" spans="1:32" s="44" customFormat="1" ht="16.5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9.5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53">
        <v>45314</v>
      </c>
      <c r="E5" s="162" t="s">
        <v>4</v>
      </c>
      <c r="F5" s="163">
        <f>INDEX(Annahmen!$B$17:$C$22,MATCH('Preise Output'!C7,Annahmen!$B$17:$B$22,0),2)</f>
        <v>35</v>
      </c>
      <c r="G5" s="237"/>
      <c r="H5" s="237"/>
    </row>
    <row r="6" spans="1:32" ht="30" x14ac:dyDescent="0.4">
      <c r="B6" s="48" t="s">
        <v>5</v>
      </c>
      <c r="C6" s="49" t="s">
        <v>293</v>
      </c>
      <c r="E6" s="164" t="s">
        <v>6</v>
      </c>
      <c r="F6" s="165">
        <f>INDEX(Annahmen!$B$17:$D$22,MATCH('Preise Output'!$C$7,Annahmen!$B$17:$B$22,0),3)</f>
        <v>60</v>
      </c>
      <c r="G6" s="236"/>
      <c r="H6" s="236"/>
      <c r="I6" s="236"/>
      <c r="J6" s="236"/>
      <c r="K6" s="236"/>
      <c r="L6" s="236"/>
      <c r="M6" s="236"/>
      <c r="N6" s="236"/>
      <c r="O6" s="236"/>
      <c r="P6" s="236"/>
      <c r="Q6" s="236"/>
      <c r="R6" s="236"/>
    </row>
    <row r="7" spans="1:32" x14ac:dyDescent="0.4">
      <c r="B7" s="48" t="s">
        <v>7</v>
      </c>
      <c r="C7" s="49" t="s">
        <v>8</v>
      </c>
      <c r="E7" s="166" t="s">
        <v>9</v>
      </c>
      <c r="F7" s="224">
        <f>INDEX(Annahmen!$B$17:$E$22,MATCH('Preise Output'!$C$7,Annahmen!$B$17:$B$22,0),4)</f>
        <v>35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10</v>
      </c>
      <c r="C8" s="171">
        <v>168</v>
      </c>
      <c r="E8" s="238"/>
      <c r="F8" s="238"/>
      <c r="G8" s="238"/>
      <c r="H8" s="238"/>
      <c r="I8" s="238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11</v>
      </c>
      <c r="C9" s="54">
        <v>0.6</v>
      </c>
      <c r="E9" s="169" t="s">
        <v>251</v>
      </c>
      <c r="F9" s="170">
        <f>IFERROR(J25,"Bitte Produkt auswählen")</f>
        <v>0.27071178529754958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12</v>
      </c>
      <c r="C10" s="58">
        <f>C8*365*(1-C9)</f>
        <v>24528</v>
      </c>
      <c r="E10" s="164" t="s">
        <v>14</v>
      </c>
      <c r="F10" s="182">
        <f>F6*0.8</f>
        <v>48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13</v>
      </c>
      <c r="C11" s="59">
        <f>IF(C10*0.15&lt;1000,C10*0.15,1000)</f>
        <v>1000</v>
      </c>
      <c r="E11" s="181" t="s">
        <v>15</v>
      </c>
      <c r="F11" s="167">
        <f>+I25</f>
        <v>41136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D12" s="61"/>
      <c r="E12" s="168" t="s">
        <v>248</v>
      </c>
      <c r="F12" s="174">
        <v>30000</v>
      </c>
      <c r="G12" s="180"/>
      <c r="H12" s="223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ht="15" customHeight="1" x14ac:dyDescent="0.45">
      <c r="B13" s="160" t="s">
        <v>16</v>
      </c>
      <c r="C13" s="156"/>
      <c r="D13" s="61"/>
      <c r="E13" s="61"/>
      <c r="H13" s="50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3.9" customHeight="1" x14ac:dyDescent="0.45">
      <c r="B14" s="155"/>
      <c r="C14" s="156"/>
      <c r="D14" s="61"/>
      <c r="E14" s="60"/>
      <c r="F14" s="55"/>
      <c r="G14" s="55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21.5" x14ac:dyDescent="0.4">
      <c r="B15" s="93"/>
      <c r="C15" s="93"/>
      <c r="D15" s="62" t="s">
        <v>17</v>
      </c>
      <c r="E15" s="63"/>
      <c r="F15" s="64"/>
      <c r="G15" s="64"/>
      <c r="H15" s="65"/>
      <c r="I15" s="65"/>
      <c r="J15" s="63"/>
      <c r="K15" s="66"/>
      <c r="L15" s="67" t="s">
        <v>18</v>
      </c>
      <c r="M15" s="68"/>
      <c r="N15" s="68"/>
      <c r="O15" s="68"/>
      <c r="P15" s="68"/>
      <c r="Q15" s="68"/>
      <c r="R15" s="68"/>
      <c r="S15" s="129"/>
      <c r="AE15" s="52"/>
      <c r="AF15" s="52"/>
    </row>
    <row r="16" spans="1:32" s="69" customFormat="1" ht="30.65" customHeight="1" x14ac:dyDescent="0.4">
      <c r="B16" s="119" t="s">
        <v>19</v>
      </c>
      <c r="C16" s="119" t="s">
        <v>20</v>
      </c>
      <c r="D16" s="119" t="s">
        <v>21</v>
      </c>
      <c r="E16" s="120" t="s">
        <v>286</v>
      </c>
      <c r="F16" s="120" t="s">
        <v>22</v>
      </c>
      <c r="G16" s="121" t="s">
        <v>23</v>
      </c>
      <c r="H16" s="121" t="s">
        <v>24</v>
      </c>
      <c r="I16" s="121" t="s">
        <v>249</v>
      </c>
      <c r="J16" s="120" t="s">
        <v>250</v>
      </c>
      <c r="K16" s="121" t="s">
        <v>25</v>
      </c>
      <c r="L16" s="121" t="s">
        <v>26</v>
      </c>
      <c r="M16" s="121" t="s">
        <v>27</v>
      </c>
      <c r="N16" s="121" t="s">
        <v>28</v>
      </c>
      <c r="O16" s="121" t="s">
        <v>29</v>
      </c>
      <c r="P16" s="121" t="s">
        <v>30</v>
      </c>
      <c r="Q16" s="121" t="s">
        <v>31</v>
      </c>
      <c r="R16" s="121" t="s">
        <v>32</v>
      </c>
      <c r="S16" s="129"/>
      <c r="AE16" s="70"/>
      <c r="AF16" s="70"/>
    </row>
    <row r="17" spans="2:32" s="69" customFormat="1" ht="19" customHeight="1" x14ac:dyDescent="0.4">
      <c r="B17" s="71"/>
      <c r="C17" s="71"/>
      <c r="D17" s="71"/>
      <c r="E17" s="72"/>
      <c r="F17" s="72"/>
      <c r="G17" s="73"/>
      <c r="H17" s="73"/>
      <c r="I17" s="73"/>
      <c r="J17" s="72"/>
      <c r="K17" s="73"/>
      <c r="L17" s="74"/>
      <c r="M17" s="73"/>
      <c r="N17" s="73"/>
      <c r="O17" s="73"/>
      <c r="P17" s="73"/>
      <c r="Q17" s="73"/>
      <c r="R17" s="73"/>
      <c r="AE17" s="70"/>
      <c r="AF17" s="70"/>
    </row>
    <row r="18" spans="2:32" ht="16.149999999999999" customHeight="1" x14ac:dyDescent="0.4">
      <c r="B18" s="75" t="s">
        <v>259</v>
      </c>
      <c r="C18" s="76" t="s">
        <v>37</v>
      </c>
      <c r="D18" s="172">
        <v>0</v>
      </c>
      <c r="E18" s="76">
        <f>ROUND(G18/F$7,0)</f>
        <v>0</v>
      </c>
      <c r="F18" s="75">
        <v>1</v>
      </c>
      <c r="G18" s="77">
        <f>Sixt!P19*D18</f>
        <v>0</v>
      </c>
      <c r="H18" s="77">
        <f t="shared" ref="H18:H23" si="0">$E18*$F$10*$F18-$G18</f>
        <v>0</v>
      </c>
      <c r="I18" s="77">
        <f t="shared" ref="I18:I22" si="1">G18+H18</f>
        <v>0</v>
      </c>
      <c r="J18" s="78" t="str">
        <f>IFERROR(H18/(I18),"")</f>
        <v/>
      </c>
      <c r="K18" s="77">
        <f t="shared" ref="K18:K22" si="2">$E18*$F$7*$F18</f>
        <v>0</v>
      </c>
      <c r="L18" s="77">
        <f t="shared" ref="L18" si="3">K18-K18/1.19</f>
        <v>0</v>
      </c>
      <c r="M18" s="77">
        <f t="shared" ref="M18:M22" si="4">G18*1.19-G18</f>
        <v>0</v>
      </c>
      <c r="N18" s="77">
        <f t="shared" ref="N18:N23" si="5">(($F$10/0.8*0.2*0.19)*E18)</f>
        <v>0</v>
      </c>
      <c r="O18" s="77">
        <f t="shared" ref="O18:O22" si="6">L18-M18-N18</f>
        <v>0</v>
      </c>
      <c r="P18" s="79">
        <f t="shared" ref="P18:P22" si="7">IFERROR($H18-L18,"")</f>
        <v>0</v>
      </c>
      <c r="Q18" s="78" t="str">
        <f t="shared" ref="Q18:Q22" si="8">IFERROR(($H18-L18)/$I18,"")</f>
        <v/>
      </c>
      <c r="R18" s="80" t="str">
        <f t="shared" ref="R18:R20" si="9">IFERROR((1-Q18)*F18,"")</f>
        <v/>
      </c>
    </row>
    <row r="19" spans="2:32" ht="16.149999999999999" customHeight="1" x14ac:dyDescent="0.4">
      <c r="B19" s="75" t="s">
        <v>255</v>
      </c>
      <c r="C19" s="76" t="s">
        <v>33</v>
      </c>
      <c r="D19" s="172">
        <v>0</v>
      </c>
      <c r="E19" s="76">
        <f>ROUND(G19/F$7,0)</f>
        <v>0</v>
      </c>
      <c r="F19" s="75">
        <v>1</v>
      </c>
      <c r="G19" s="77">
        <f>Sixt!D19*D19</f>
        <v>0</v>
      </c>
      <c r="H19" s="77">
        <f t="shared" si="0"/>
        <v>0</v>
      </c>
      <c r="I19" s="77">
        <f t="shared" si="1"/>
        <v>0</v>
      </c>
      <c r="J19" s="78" t="str">
        <f>IFERROR(H19/(I19),"")</f>
        <v/>
      </c>
      <c r="K19" s="77">
        <f t="shared" si="2"/>
        <v>0</v>
      </c>
      <c r="L19" s="77">
        <f t="shared" ref="L19:L20" si="10">K19-K19/1.19</f>
        <v>0</v>
      </c>
      <c r="M19" s="77">
        <f t="shared" ref="M19:M20" si="11">G19*1.19-G19</f>
        <v>0</v>
      </c>
      <c r="N19" s="77">
        <f t="shared" si="5"/>
        <v>0</v>
      </c>
      <c r="O19" s="77">
        <f t="shared" ref="O19:O20" si="12">L19-M19-N19</f>
        <v>0</v>
      </c>
      <c r="P19" s="79">
        <f t="shared" ref="P19:P20" si="13">IFERROR($H19-L19,"")</f>
        <v>0</v>
      </c>
      <c r="Q19" s="78" t="str">
        <f t="shared" ref="Q19:Q20" si="14">IFERROR(($H19-L19)/$I19,"")</f>
        <v/>
      </c>
      <c r="R19" s="80" t="str">
        <f t="shared" si="9"/>
        <v/>
      </c>
    </row>
    <row r="20" spans="2:32" ht="16.149999999999999" customHeight="1" x14ac:dyDescent="0.4">
      <c r="B20" s="75" t="s">
        <v>256</v>
      </c>
      <c r="C20" s="76" t="s">
        <v>33</v>
      </c>
      <c r="D20" s="172">
        <v>0</v>
      </c>
      <c r="E20" s="76">
        <f t="shared" ref="E20:E22" si="15">ROUND(G20/F$7,0)</f>
        <v>0</v>
      </c>
      <c r="F20" s="75">
        <v>1</v>
      </c>
      <c r="G20" s="77">
        <f>Sixt!G19*D20</f>
        <v>0</v>
      </c>
      <c r="H20" s="77">
        <f t="shared" si="0"/>
        <v>0</v>
      </c>
      <c r="I20" s="77">
        <f t="shared" si="1"/>
        <v>0</v>
      </c>
      <c r="J20" s="78" t="str">
        <f t="shared" ref="J20:J23" si="16">IFERROR(H20/(I20),"")</f>
        <v/>
      </c>
      <c r="K20" s="77">
        <f t="shared" si="2"/>
        <v>0</v>
      </c>
      <c r="L20" s="77">
        <f t="shared" si="10"/>
        <v>0</v>
      </c>
      <c r="M20" s="77">
        <f t="shared" si="11"/>
        <v>0</v>
      </c>
      <c r="N20" s="77">
        <f t="shared" si="5"/>
        <v>0</v>
      </c>
      <c r="O20" s="77">
        <f t="shared" si="12"/>
        <v>0</v>
      </c>
      <c r="P20" s="79">
        <f t="shared" si="13"/>
        <v>0</v>
      </c>
      <c r="Q20" s="78" t="str">
        <f t="shared" si="14"/>
        <v/>
      </c>
      <c r="R20" s="80" t="str">
        <f t="shared" si="9"/>
        <v/>
      </c>
    </row>
    <row r="21" spans="2:32" ht="16.149999999999999" customHeight="1" x14ac:dyDescent="0.4">
      <c r="B21" s="225" t="s">
        <v>257</v>
      </c>
      <c r="C21" s="76" t="s">
        <v>33</v>
      </c>
      <c r="D21" s="172">
        <v>0</v>
      </c>
      <c r="E21" s="76">
        <f t="shared" si="15"/>
        <v>0</v>
      </c>
      <c r="F21" s="75">
        <v>1</v>
      </c>
      <c r="G21" s="77">
        <f>Sixt!J19*D21</f>
        <v>0</v>
      </c>
      <c r="H21" s="77">
        <f t="shared" si="0"/>
        <v>0</v>
      </c>
      <c r="I21" s="77">
        <f t="shared" si="1"/>
        <v>0</v>
      </c>
      <c r="J21" s="78" t="str">
        <f t="shared" si="16"/>
        <v/>
      </c>
      <c r="K21" s="77">
        <f t="shared" si="2"/>
        <v>0</v>
      </c>
      <c r="L21" s="77">
        <f t="shared" ref="L21" si="17">K21-K21/1.19</f>
        <v>0</v>
      </c>
      <c r="M21" s="77">
        <f t="shared" ref="M21" si="18">G21*1.19-G21</f>
        <v>0</v>
      </c>
      <c r="N21" s="77">
        <f t="shared" si="5"/>
        <v>0</v>
      </c>
      <c r="O21" s="77">
        <f t="shared" ref="O21" si="19">L21-M21-N21</f>
        <v>0</v>
      </c>
      <c r="P21" s="79">
        <f t="shared" ref="P21" si="20">IFERROR($H21-L21,"")</f>
        <v>0</v>
      </c>
      <c r="Q21" s="78" t="str">
        <f t="shared" ref="Q21" si="21">IFERROR(($H21-L21)/$I21,"")</f>
        <v/>
      </c>
      <c r="R21" s="80" t="str">
        <f t="shared" ref="R21" si="22">IFERROR((1-Q21)*F21,"")</f>
        <v/>
      </c>
    </row>
    <row r="22" spans="2:32" ht="16" customHeight="1" x14ac:dyDescent="0.4">
      <c r="B22" s="75" t="s">
        <v>258</v>
      </c>
      <c r="C22" s="76" t="s">
        <v>33</v>
      </c>
      <c r="D22" s="172">
        <v>0</v>
      </c>
      <c r="E22" s="76">
        <f t="shared" si="15"/>
        <v>0</v>
      </c>
      <c r="F22" s="75">
        <v>1</v>
      </c>
      <c r="G22" s="77">
        <f>Sixt!M19*D22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23">K22-K22/1.19</f>
        <v>0</v>
      </c>
      <c r="M22" s="77">
        <f t="shared" si="4"/>
        <v>0</v>
      </c>
      <c r="N22" s="77">
        <f t="shared" si="5"/>
        <v>0</v>
      </c>
      <c r="O22" s="77">
        <f t="shared" si="6"/>
        <v>0</v>
      </c>
      <c r="P22" s="79">
        <f t="shared" si="7"/>
        <v>0</v>
      </c>
      <c r="Q22" s="78" t="str">
        <f t="shared" si="8"/>
        <v/>
      </c>
      <c r="R22" s="80" t="str">
        <f t="shared" ref="R22" si="24">IFERROR((1-Q22)*F22,"")</f>
        <v/>
      </c>
    </row>
    <row r="23" spans="2:32" ht="16" customHeight="1" x14ac:dyDescent="0.4">
      <c r="B23" s="75" t="s">
        <v>274</v>
      </c>
      <c r="C23" s="76" t="s">
        <v>33</v>
      </c>
      <c r="D23" s="172">
        <v>1</v>
      </c>
      <c r="E23" s="76">
        <f>ROUND(G23/F$7/F23,0)</f>
        <v>857</v>
      </c>
      <c r="F23" s="172">
        <v>1</v>
      </c>
      <c r="G23" s="77">
        <f>F12*D23</f>
        <v>30000</v>
      </c>
      <c r="H23" s="77">
        <f t="shared" si="0"/>
        <v>11136</v>
      </c>
      <c r="I23" s="77">
        <f>G23+H23</f>
        <v>41136</v>
      </c>
      <c r="J23" s="78">
        <f t="shared" si="16"/>
        <v>0.27071178529754958</v>
      </c>
      <c r="K23" s="77">
        <v>0</v>
      </c>
      <c r="L23" s="77">
        <v>0</v>
      </c>
      <c r="M23" s="77">
        <f>G23*1.19-G23</f>
        <v>5700</v>
      </c>
      <c r="N23" s="77">
        <f t="shared" si="5"/>
        <v>1953.9600000000003</v>
      </c>
      <c r="O23" s="77">
        <f>L23-M23-N23</f>
        <v>-7653.96</v>
      </c>
      <c r="P23" s="79">
        <f>IFERROR($H23-L23,"")</f>
        <v>11136</v>
      </c>
      <c r="Q23" s="78">
        <f>IFERROR(($H23-L23)/$I23,"")</f>
        <v>0.27071178529754958</v>
      </c>
      <c r="R23" s="80">
        <f>IFERROR((1-Q23)*F23,"")</f>
        <v>0.72928821470245042</v>
      </c>
    </row>
    <row r="24" spans="2:32" s="81" customFormat="1" x14ac:dyDescent="0.4">
      <c r="C24" s="82"/>
      <c r="D24" s="83"/>
      <c r="E24" s="82"/>
      <c r="F24" s="84"/>
      <c r="G24" s="85"/>
      <c r="H24" s="85"/>
      <c r="I24" s="85"/>
      <c r="J24" s="86"/>
      <c r="K24" s="85"/>
      <c r="L24" s="85"/>
      <c r="M24" s="85"/>
      <c r="N24" s="85"/>
      <c r="O24" s="85"/>
      <c r="P24" s="85"/>
      <c r="Q24" s="85"/>
      <c r="R24" s="85"/>
    </row>
    <row r="25" spans="2:32" s="92" customFormat="1" ht="19" x14ac:dyDescent="0.5">
      <c r="B25" s="87" t="s">
        <v>51</v>
      </c>
      <c r="C25" s="87"/>
      <c r="D25" s="88">
        <f>SUBTOTAL(9,D18:D23)</f>
        <v>1</v>
      </c>
      <c r="E25" s="89">
        <f>SUBTOTAL(9,E18:E23)</f>
        <v>857</v>
      </c>
      <c r="F25" s="89"/>
      <c r="G25" s="89">
        <f>SUBTOTAL(9,G18:G23)</f>
        <v>30000</v>
      </c>
      <c r="H25" s="89">
        <f>SUBTOTAL(9,H18:H23)</f>
        <v>11136</v>
      </c>
      <c r="I25" s="89">
        <f>SUBTOTAL(9,I18:I23)</f>
        <v>41136</v>
      </c>
      <c r="J25" s="90">
        <f>H25/I25</f>
        <v>0.27071178529754958</v>
      </c>
      <c r="K25" s="89">
        <f t="shared" ref="K25:P25" si="25">SUBTOTAL(9,K18:K23)</f>
        <v>0</v>
      </c>
      <c r="L25" s="89">
        <f t="shared" si="25"/>
        <v>0</v>
      </c>
      <c r="M25" s="89">
        <f t="shared" si="25"/>
        <v>5700</v>
      </c>
      <c r="N25" s="89">
        <f t="shared" si="25"/>
        <v>1953.9600000000003</v>
      </c>
      <c r="O25" s="89">
        <f t="shared" si="25"/>
        <v>-7653.96</v>
      </c>
      <c r="P25" s="89">
        <f t="shared" si="25"/>
        <v>11136</v>
      </c>
      <c r="Q25" s="90">
        <f>($H25-L25)/$I25</f>
        <v>0.27071178529754958</v>
      </c>
      <c r="R25" s="91">
        <f>IFERROR((1-Q25)*F25,"")</f>
        <v>0</v>
      </c>
    </row>
    <row r="26" spans="2:32" x14ac:dyDescent="0.4">
      <c r="B26" s="231" t="s">
        <v>271</v>
      </c>
      <c r="E26" s="240"/>
      <c r="H26" s="222"/>
      <c r="I26" s="40">
        <f>E25*F10*F23</f>
        <v>41136</v>
      </c>
    </row>
    <row r="27" spans="2:32" x14ac:dyDescent="0.4">
      <c r="H27" s="222"/>
      <c r="I27" s="222"/>
    </row>
  </sheetData>
  <autoFilter ref="B16:M23" xr:uid="{00000000-0009-0000-0000-000000000000}"/>
  <conditionalFormatting sqref="C18">
    <cfRule type="cellIs" dxfId="13" priority="38" operator="equal">
      <formula>"Verfügbar als Firmenwagen"</formula>
    </cfRule>
    <cfRule type="cellIs" dxfId="12" priority="39" operator="equal">
      <formula>"Verfügbar"</formula>
    </cfRule>
    <cfRule type="cellIs" dxfId="11" priority="40" operator="equal">
      <formula>"Nicht verfügbar"</formula>
    </cfRule>
  </conditionalFormatting>
  <conditionalFormatting sqref="F9">
    <cfRule type="containsText" dxfId="10" priority="18" operator="containsText" text="Bitte Produkt auswählen">
      <formula>NOT(ISERROR(SEARCH("Bitte Produkt auswählen",F9)))</formula>
    </cfRule>
    <cfRule type="cellIs" dxfId="9" priority="25" operator="lessThan">
      <formula>0.195</formula>
    </cfRule>
    <cfRule type="cellIs" dxfId="8" priority="26" operator="lessThan">
      <formula>0.295</formula>
    </cfRule>
    <cfRule type="cellIs" dxfId="7" priority="28" operator="greaterThanOrEqual">
      <formula>0.295</formula>
    </cfRule>
  </conditionalFormatting>
  <conditionalFormatting sqref="C20:C23">
    <cfRule type="cellIs" dxfId="6" priority="12" operator="equal">
      <formula>"Verfügbar als Firmenwagen"</formula>
    </cfRule>
    <cfRule type="cellIs" dxfId="5" priority="13" operator="equal">
      <formula>"Verfügbar"</formula>
    </cfRule>
    <cfRule type="cellIs" dxfId="4" priority="14" operator="equal">
      <formula>"Nicht verfügbar"</formula>
    </cfRule>
  </conditionalFormatting>
  <conditionalFormatting sqref="G25">
    <cfRule type="cellIs" dxfId="3" priority="4" operator="greaterThan">
      <formula>50000</formula>
    </cfRule>
  </conditionalFormatting>
  <conditionalFormatting sqref="C19">
    <cfRule type="cellIs" dxfId="2" priority="1" operator="equal">
      <formula>"Verfügbar als Firmenwagen"</formula>
    </cfRule>
    <cfRule type="cellIs" dxfId="1" priority="2" operator="equal">
      <formula>"Verfügbar"</formula>
    </cfRule>
    <cfRule type="cellIs" dxfId="0" priority="3" operator="equal">
      <formula>"Nicht verfügbar"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54296875" customWidth="1"/>
    <col min="11" max="11" width="0" hidden="1" customWidth="1"/>
    <col min="13" max="13" width="13.54296875" customWidth="1"/>
    <col min="14" max="14" width="0" hidden="1" customWidth="1"/>
    <col min="16" max="16" width="11.81640625" bestFit="1" customWidth="1"/>
  </cols>
  <sheetData>
    <row r="1" spans="1:16" ht="62" x14ac:dyDescent="0.35">
      <c r="A1" s="187" t="s">
        <v>211</v>
      </c>
      <c r="B1" s="188" t="s">
        <v>212</v>
      </c>
      <c r="C1" s="188"/>
      <c r="D1" s="189" t="s">
        <v>212</v>
      </c>
      <c r="E1" s="188" t="s">
        <v>213</v>
      </c>
      <c r="F1" s="188"/>
      <c r="G1" s="189" t="s">
        <v>213</v>
      </c>
      <c r="H1" s="188" t="s">
        <v>214</v>
      </c>
      <c r="I1" s="188"/>
      <c r="J1" s="189" t="s">
        <v>214</v>
      </c>
      <c r="K1" s="188" t="s">
        <v>215</v>
      </c>
      <c r="L1" s="188"/>
      <c r="M1" s="189" t="s">
        <v>215</v>
      </c>
      <c r="N1" s="188" t="s">
        <v>216</v>
      </c>
      <c r="O1" s="188"/>
      <c r="P1" s="189" t="s">
        <v>290</v>
      </c>
    </row>
    <row r="2" spans="1:16" ht="15.5" x14ac:dyDescent="0.35">
      <c r="A2" s="187" t="s">
        <v>217</v>
      </c>
      <c r="B2" s="188" t="s">
        <v>218</v>
      </c>
      <c r="C2" s="188"/>
      <c r="D2" s="189" t="s">
        <v>219</v>
      </c>
      <c r="E2" s="188" t="s">
        <v>218</v>
      </c>
      <c r="F2" s="188"/>
      <c r="G2" s="189" t="s">
        <v>219</v>
      </c>
      <c r="H2" s="188"/>
      <c r="I2" s="188"/>
      <c r="J2" s="189" t="s">
        <v>219</v>
      </c>
      <c r="K2" s="188" t="s">
        <v>220</v>
      </c>
      <c r="L2" s="188"/>
      <c r="M2" s="189" t="s">
        <v>219</v>
      </c>
      <c r="N2" s="188"/>
      <c r="O2" s="188"/>
      <c r="P2" s="189" t="s">
        <v>219</v>
      </c>
    </row>
    <row r="3" spans="1:16" ht="46.5" x14ac:dyDescent="0.35">
      <c r="A3" s="191" t="s">
        <v>221</v>
      </c>
      <c r="B3" s="192" t="s">
        <v>222</v>
      </c>
      <c r="C3" s="192" t="s">
        <v>243</v>
      </c>
      <c r="D3" s="193" t="s">
        <v>223</v>
      </c>
      <c r="E3" s="192" t="s">
        <v>222</v>
      </c>
      <c r="F3" s="192"/>
      <c r="G3" s="194" t="s">
        <v>224</v>
      </c>
      <c r="H3" s="192" t="s">
        <v>225</v>
      </c>
      <c r="I3" s="192"/>
      <c r="J3" s="194" t="s">
        <v>224</v>
      </c>
      <c r="K3" s="192" t="s">
        <v>226</v>
      </c>
      <c r="L3" s="192"/>
      <c r="M3" s="193" t="s">
        <v>223</v>
      </c>
      <c r="N3" s="192" t="s">
        <v>227</v>
      </c>
      <c r="O3" s="192"/>
      <c r="P3" s="193"/>
    </row>
    <row r="4" spans="1:16" ht="15.5" x14ac:dyDescent="0.35">
      <c r="A4" s="195" t="s">
        <v>228</v>
      </c>
      <c r="B4" s="196" t="s">
        <v>229</v>
      </c>
      <c r="C4" s="196"/>
      <c r="D4" s="197" t="s">
        <v>229</v>
      </c>
      <c r="E4" s="196" t="s">
        <v>229</v>
      </c>
      <c r="F4" s="196"/>
      <c r="G4" s="197" t="s">
        <v>229</v>
      </c>
      <c r="H4" s="196" t="s">
        <v>230</v>
      </c>
      <c r="I4" s="196"/>
      <c r="J4" s="197" t="s">
        <v>230</v>
      </c>
      <c r="K4" s="196" t="s">
        <v>231</v>
      </c>
      <c r="L4" s="196"/>
      <c r="M4" s="197" t="s">
        <v>231</v>
      </c>
      <c r="N4" s="196" t="s">
        <v>232</v>
      </c>
      <c r="O4" s="196"/>
      <c r="P4" s="197"/>
    </row>
    <row r="5" spans="1:16" ht="15.5" x14ac:dyDescent="0.35">
      <c r="A5" s="195" t="s">
        <v>233</v>
      </c>
      <c r="B5" s="198">
        <v>499</v>
      </c>
      <c r="C5" s="198"/>
      <c r="D5" s="199">
        <v>399</v>
      </c>
      <c r="E5" s="198">
        <v>499</v>
      </c>
      <c r="F5" s="198"/>
      <c r="G5" s="199">
        <v>499</v>
      </c>
      <c r="H5" s="198">
        <v>649</v>
      </c>
      <c r="I5" s="198"/>
      <c r="J5" s="199">
        <v>649</v>
      </c>
      <c r="K5" s="198">
        <v>899</v>
      </c>
      <c r="L5" s="198"/>
      <c r="M5" s="199">
        <v>629</v>
      </c>
      <c r="N5" s="198">
        <v>1099</v>
      </c>
      <c r="O5" s="198"/>
      <c r="P5" s="199"/>
    </row>
    <row r="6" spans="1:16" ht="15.5" x14ac:dyDescent="0.35">
      <c r="A6" s="195"/>
      <c r="B6" s="200"/>
      <c r="C6" s="200"/>
      <c r="D6" s="201"/>
      <c r="E6" s="200"/>
      <c r="F6" s="200"/>
      <c r="G6" s="201"/>
      <c r="H6" s="190"/>
      <c r="I6" s="190"/>
      <c r="J6" s="202"/>
      <c r="K6" s="190"/>
      <c r="L6" s="190"/>
      <c r="M6" s="202"/>
      <c r="N6" s="203"/>
      <c r="O6" s="190"/>
      <c r="P6" s="202"/>
    </row>
    <row r="7" spans="1:16" ht="15.5" x14ac:dyDescent="0.35">
      <c r="A7" s="195" t="s">
        <v>234</v>
      </c>
      <c r="B7" s="204">
        <v>563.99</v>
      </c>
      <c r="C7" s="172">
        <v>1</v>
      </c>
      <c r="D7" s="205">
        <v>463.98</v>
      </c>
      <c r="E7" s="204">
        <v>563.99</v>
      </c>
      <c r="F7" s="172">
        <v>1</v>
      </c>
      <c r="G7" s="205">
        <v>533.99</v>
      </c>
      <c r="H7" s="206">
        <v>713.99</v>
      </c>
      <c r="I7" s="172">
        <v>1</v>
      </c>
      <c r="J7" s="207">
        <v>613.99</v>
      </c>
      <c r="K7" s="206">
        <v>963.98</v>
      </c>
      <c r="L7" s="172">
        <v>1</v>
      </c>
      <c r="M7" s="207">
        <v>693.98</v>
      </c>
      <c r="N7" s="206">
        <v>1188.99</v>
      </c>
      <c r="O7" s="172"/>
      <c r="P7" s="207"/>
    </row>
    <row r="8" spans="1:16" ht="15.5" x14ac:dyDescent="0.35">
      <c r="A8" s="208" t="s">
        <v>235</v>
      </c>
      <c r="B8" s="209">
        <v>499</v>
      </c>
      <c r="C8" s="172"/>
      <c r="D8" s="210">
        <v>399</v>
      </c>
      <c r="E8" s="209">
        <v>499</v>
      </c>
      <c r="F8" s="172"/>
      <c r="G8" s="210">
        <v>469</v>
      </c>
      <c r="H8" s="211">
        <v>649</v>
      </c>
      <c r="I8" s="172"/>
      <c r="J8" s="212">
        <v>549</v>
      </c>
      <c r="K8" s="211">
        <v>899</v>
      </c>
      <c r="L8" s="172"/>
      <c r="M8" s="212">
        <v>629</v>
      </c>
      <c r="N8" s="211">
        <v>1099</v>
      </c>
      <c r="O8" s="172"/>
      <c r="P8" s="212"/>
    </row>
    <row r="9" spans="1:16" ht="15.5" x14ac:dyDescent="0.35">
      <c r="A9" s="208" t="s">
        <v>236</v>
      </c>
      <c r="B9" s="209">
        <v>648.99</v>
      </c>
      <c r="C9" s="172"/>
      <c r="D9" s="210">
        <v>548.98</v>
      </c>
      <c r="E9" s="209">
        <v>648.99</v>
      </c>
      <c r="F9" s="172"/>
      <c r="G9" s="210">
        <v>618.99</v>
      </c>
      <c r="H9" s="211">
        <v>798.99</v>
      </c>
      <c r="I9" s="172"/>
      <c r="J9" s="212">
        <v>698.99</v>
      </c>
      <c r="K9" s="211">
        <v>1048.99</v>
      </c>
      <c r="L9" s="172"/>
      <c r="M9" s="212">
        <v>778.99</v>
      </c>
      <c r="N9" s="211">
        <v>1278.99</v>
      </c>
      <c r="O9" s="172"/>
      <c r="P9" s="212"/>
    </row>
    <row r="10" spans="1:16" ht="15.5" x14ac:dyDescent="0.35">
      <c r="A10" s="195" t="s">
        <v>237</v>
      </c>
      <c r="B10" s="204">
        <v>89.99</v>
      </c>
      <c r="C10" s="172">
        <v>1</v>
      </c>
      <c r="D10" s="205">
        <v>89.99</v>
      </c>
      <c r="E10" s="204">
        <v>89.99</v>
      </c>
      <c r="F10" s="172">
        <v>1</v>
      </c>
      <c r="G10" s="205">
        <v>89.99</v>
      </c>
      <c r="H10" s="206">
        <v>89.99</v>
      </c>
      <c r="I10" s="172">
        <v>1</v>
      </c>
      <c r="J10" s="207">
        <v>89.99</v>
      </c>
      <c r="K10" s="206">
        <v>109.99</v>
      </c>
      <c r="L10" s="172">
        <v>1</v>
      </c>
      <c r="M10" s="207">
        <v>109.99</v>
      </c>
      <c r="N10" s="206">
        <v>129.97999999999999</v>
      </c>
      <c r="O10" s="172"/>
      <c r="P10" s="207"/>
    </row>
    <row r="11" spans="1:16" ht="15.5" x14ac:dyDescent="0.35">
      <c r="A11" s="195" t="s">
        <v>238</v>
      </c>
      <c r="B11" s="204">
        <v>29.99</v>
      </c>
      <c r="C11" s="172">
        <v>1</v>
      </c>
      <c r="D11" s="205">
        <v>29.99</v>
      </c>
      <c r="E11" s="204">
        <v>29.99</v>
      </c>
      <c r="F11" s="172">
        <v>1</v>
      </c>
      <c r="G11" s="205">
        <v>29.99</v>
      </c>
      <c r="H11" s="206">
        <v>29.99</v>
      </c>
      <c r="I11" s="172">
        <v>1</v>
      </c>
      <c r="J11" s="207">
        <v>29.99</v>
      </c>
      <c r="K11" s="206">
        <v>29.99</v>
      </c>
      <c r="L11" s="172">
        <v>1</v>
      </c>
      <c r="M11" s="207">
        <v>29.99</v>
      </c>
      <c r="N11" s="206">
        <v>29.99</v>
      </c>
      <c r="O11" s="172"/>
      <c r="P11" s="207"/>
    </row>
    <row r="12" spans="1:16" ht="15.5" x14ac:dyDescent="0.35">
      <c r="A12" s="195" t="s">
        <v>239</v>
      </c>
      <c r="B12" s="204">
        <v>9.98</v>
      </c>
      <c r="C12" s="172">
        <v>1</v>
      </c>
      <c r="D12" s="205">
        <v>9.98</v>
      </c>
      <c r="E12" s="204">
        <v>9.98</v>
      </c>
      <c r="F12" s="172">
        <v>1</v>
      </c>
      <c r="G12" s="205">
        <v>9.98</v>
      </c>
      <c r="H12" s="206">
        <v>9.98</v>
      </c>
      <c r="I12" s="172">
        <v>1</v>
      </c>
      <c r="J12" s="207">
        <v>9.98</v>
      </c>
      <c r="K12" s="206">
        <v>9.98</v>
      </c>
      <c r="L12" s="172">
        <v>1</v>
      </c>
      <c r="M12" s="207">
        <v>9.98</v>
      </c>
      <c r="N12" s="206">
        <v>9.98</v>
      </c>
      <c r="O12" s="172"/>
      <c r="P12" s="207"/>
    </row>
    <row r="13" spans="1:16" ht="15.5" x14ac:dyDescent="0.35">
      <c r="A13" s="195" t="s">
        <v>240</v>
      </c>
      <c r="B13" s="204">
        <v>29.99</v>
      </c>
      <c r="C13" s="172"/>
      <c r="D13" s="205"/>
      <c r="E13" s="204">
        <v>29.99</v>
      </c>
      <c r="F13" s="172">
        <v>1</v>
      </c>
      <c r="G13" s="205">
        <v>29.99</v>
      </c>
      <c r="H13" s="206">
        <v>29.99</v>
      </c>
      <c r="I13" s="172">
        <v>1</v>
      </c>
      <c r="J13" s="207">
        <v>29.99</v>
      </c>
      <c r="K13" s="206">
        <v>29.99</v>
      </c>
      <c r="L13" s="172"/>
      <c r="M13" s="207"/>
      <c r="N13" s="206">
        <v>29.99</v>
      </c>
      <c r="O13" s="172"/>
      <c r="P13" s="207"/>
    </row>
    <row r="14" spans="1:16" ht="15.5" x14ac:dyDescent="0.35">
      <c r="A14" s="195" t="s">
        <v>241</v>
      </c>
      <c r="B14" s="204">
        <v>14.98</v>
      </c>
      <c r="C14" s="172">
        <v>1</v>
      </c>
      <c r="D14" s="205">
        <v>15</v>
      </c>
      <c r="E14" s="204">
        <v>14.98</v>
      </c>
      <c r="F14" s="172">
        <v>1</v>
      </c>
      <c r="G14" s="205">
        <v>15</v>
      </c>
      <c r="H14" s="206">
        <v>14.98</v>
      </c>
      <c r="I14" s="172">
        <v>1</v>
      </c>
      <c r="J14" s="207">
        <v>15</v>
      </c>
      <c r="K14" s="206">
        <v>14.98</v>
      </c>
      <c r="L14" s="172">
        <v>1</v>
      </c>
      <c r="M14" s="207">
        <v>15</v>
      </c>
      <c r="N14" s="206">
        <v>14.98</v>
      </c>
      <c r="O14" s="172"/>
      <c r="P14" s="207"/>
    </row>
    <row r="15" spans="1:16" ht="16" thickBot="1" x14ac:dyDescent="0.4">
      <c r="A15" s="213" t="s">
        <v>245</v>
      </c>
      <c r="B15" s="214">
        <v>59.97</v>
      </c>
      <c r="C15" s="172">
        <v>3</v>
      </c>
      <c r="D15" s="215">
        <v>19.989999999999998</v>
      </c>
      <c r="E15" s="214">
        <v>59.97</v>
      </c>
      <c r="F15" s="172">
        <v>3</v>
      </c>
      <c r="G15" s="215">
        <v>19.989999999999998</v>
      </c>
      <c r="H15" s="216">
        <v>59.97</v>
      </c>
      <c r="I15" s="172">
        <v>3</v>
      </c>
      <c r="J15" s="215">
        <v>19.989999999999998</v>
      </c>
      <c r="K15" s="216">
        <v>59.97</v>
      </c>
      <c r="L15" s="172">
        <v>3</v>
      </c>
      <c r="M15" s="215">
        <v>19.989999999999998</v>
      </c>
      <c r="N15" s="216">
        <v>59.97</v>
      </c>
      <c r="O15" s="172"/>
      <c r="P15" s="215"/>
    </row>
    <row r="16" spans="1:16" ht="16" thickTop="1" x14ac:dyDescent="0.35">
      <c r="A16" s="195"/>
      <c r="B16" s="200"/>
      <c r="C16" s="200"/>
      <c r="D16" s="201"/>
      <c r="E16" s="200"/>
      <c r="F16" s="200"/>
      <c r="G16" s="201"/>
      <c r="H16" s="190"/>
      <c r="I16" s="190"/>
      <c r="J16" s="202"/>
      <c r="K16" s="190"/>
      <c r="L16" s="190"/>
      <c r="M16" s="202"/>
      <c r="N16" s="190"/>
      <c r="O16" s="190"/>
      <c r="P16" s="202"/>
    </row>
    <row r="17" spans="1:16" ht="15.5" x14ac:dyDescent="0.35">
      <c r="A17" s="217" t="s">
        <v>244</v>
      </c>
      <c r="B17" s="218"/>
      <c r="C17" s="218"/>
      <c r="D17" s="219">
        <f>SUMPRODUCT(C7:C15,D7:D15)</f>
        <v>668.91000000000008</v>
      </c>
      <c r="E17" s="218"/>
      <c r="F17" s="218"/>
      <c r="G17" s="219">
        <f>SUMPRODUCT(F7:F15,G7:G15)</f>
        <v>768.91000000000008</v>
      </c>
      <c r="H17" s="220"/>
      <c r="I17" s="220"/>
      <c r="J17" s="219">
        <f>SUMPRODUCT(I7:I15,J7:J15)</f>
        <v>848.91000000000008</v>
      </c>
      <c r="K17" s="220"/>
      <c r="L17" s="220"/>
      <c r="M17" s="219">
        <f>SUMPRODUCT(L7:L15,M7:M15)</f>
        <v>918.91000000000008</v>
      </c>
      <c r="N17" s="220"/>
      <c r="O17" s="190"/>
      <c r="P17" s="219">
        <f>SUMPRODUCT(O7:O15,P7:P15)</f>
        <v>0</v>
      </c>
    </row>
    <row r="18" spans="1:16" ht="15.5" x14ac:dyDescent="0.35">
      <c r="A18" s="221" t="s">
        <v>242</v>
      </c>
      <c r="B18" s="200"/>
      <c r="C18" s="200"/>
      <c r="D18" s="204"/>
      <c r="E18" s="200"/>
      <c r="F18" s="200"/>
      <c r="G18" s="200"/>
      <c r="H18" s="190"/>
      <c r="I18" s="190"/>
      <c r="J18" s="190"/>
      <c r="K18" s="190"/>
      <c r="L18" s="190"/>
      <c r="M18" s="190"/>
      <c r="N18" s="190"/>
      <c r="O18" s="190"/>
    </row>
    <row r="19" spans="1:16" ht="15.5" x14ac:dyDescent="0.35">
      <c r="A19" s="217" t="s">
        <v>246</v>
      </c>
      <c r="B19" s="200"/>
      <c r="C19" s="200"/>
      <c r="D19" s="218">
        <f>D17*12</f>
        <v>8026.920000000001</v>
      </c>
      <c r="E19" s="200"/>
      <c r="F19" s="200"/>
      <c r="G19" s="218">
        <f>G17*12</f>
        <v>9226.9200000000019</v>
      </c>
      <c r="H19" s="190"/>
      <c r="I19" s="190"/>
      <c r="J19" s="218">
        <f>J17*12</f>
        <v>10186.920000000002</v>
      </c>
      <c r="K19" s="190"/>
      <c r="L19" s="190"/>
      <c r="M19" s="218">
        <f>M17*12</f>
        <v>11026.920000000002</v>
      </c>
      <c r="N19" s="190"/>
      <c r="O19" s="190"/>
      <c r="P19" s="218">
        <f>P17*12</f>
        <v>0</v>
      </c>
    </row>
    <row r="20" spans="1:16" ht="15.5" x14ac:dyDescent="0.35">
      <c r="A20" s="217" t="s">
        <v>247</v>
      </c>
      <c r="B20" s="218"/>
      <c r="C20" s="218">
        <f>SUM(C19:O19)</f>
        <v>38467.680000000008</v>
      </c>
      <c r="D20" s="218"/>
      <c r="E20" s="200"/>
      <c r="F20" s="200"/>
      <c r="G20" s="218"/>
      <c r="H20" s="190"/>
      <c r="I20" s="190"/>
      <c r="J20" s="218"/>
      <c r="K20" s="190"/>
      <c r="L20" s="190"/>
      <c r="M20" s="218"/>
      <c r="N20" s="190"/>
      <c r="O20" s="190"/>
    </row>
    <row r="21" spans="1:16" ht="15.5" x14ac:dyDescent="0.35">
      <c r="A21" s="190"/>
      <c r="B21" s="200"/>
      <c r="C21" s="200"/>
      <c r="D21" s="200"/>
      <c r="E21" s="200"/>
      <c r="F21" s="200"/>
      <c r="G21" s="200"/>
      <c r="H21" s="190"/>
      <c r="I21" s="190"/>
      <c r="J21" s="190"/>
      <c r="K21" s="190"/>
      <c r="L21" s="190"/>
      <c r="M21" s="190"/>
      <c r="N21" s="190"/>
      <c r="O21" s="190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42"/>
  <sheetViews>
    <sheetView showGridLines="0" tabSelected="1" topLeftCell="A7" workbookViewId="0">
      <selection activeCell="I39" sqref="I39"/>
    </sheetView>
  </sheetViews>
  <sheetFormatPr baseColWidth="10" defaultColWidth="8.7265625" defaultRowHeight="14" x14ac:dyDescent="0.4"/>
  <cols>
    <col min="1" max="1" width="3" style="98" customWidth="1"/>
    <col min="2" max="2" width="41" style="98" bestFit="1" customWidth="1"/>
    <col min="3" max="3" width="37.26953125" style="97" bestFit="1" customWidth="1"/>
    <col min="4" max="16384" width="8.7265625" style="98"/>
  </cols>
  <sheetData>
    <row r="2" spans="2:11" x14ac:dyDescent="0.4">
      <c r="B2" s="107" t="s">
        <v>52</v>
      </c>
      <c r="C2" s="108">
        <v>25</v>
      </c>
    </row>
    <row r="3" spans="2:11" x14ac:dyDescent="0.4">
      <c r="B3" s="107" t="s">
        <v>53</v>
      </c>
      <c r="C3" s="108">
        <v>45</v>
      </c>
    </row>
    <row r="4" spans="2:11" x14ac:dyDescent="0.4">
      <c r="B4" s="107" t="s">
        <v>54</v>
      </c>
      <c r="C4" s="107">
        <f>+C3-C2</f>
        <v>20</v>
      </c>
    </row>
    <row r="5" spans="2:11" ht="6" customHeight="1" x14ac:dyDescent="0.4">
      <c r="C5" s="98"/>
    </row>
    <row r="6" spans="2:11" x14ac:dyDescent="0.4">
      <c r="B6" s="107" t="s">
        <v>55</v>
      </c>
      <c r="C6" s="108" t="s">
        <v>274</v>
      </c>
    </row>
    <row r="7" spans="2:11" x14ac:dyDescent="0.4">
      <c r="B7" s="107" t="s">
        <v>56</v>
      </c>
      <c r="C7" s="107">
        <f>IFERROR(INDEX('Preise Output'!$B$18:$E$23,MATCH(Preisvergleich!$C$6,'Preise Output'!$B$18:$B$23,0),4)/INDEX('Preise Output'!$B$18:$E$23,MATCH(Preisvergleich!$C$6,'Preise Output'!$B$18:$B$23,0),3),"--")</f>
        <v>857</v>
      </c>
    </row>
    <row r="9" spans="2:11" x14ac:dyDescent="0.4">
      <c r="B9" s="117" t="s">
        <v>57</v>
      </c>
      <c r="C9" s="118"/>
    </row>
    <row r="11" spans="2:11" x14ac:dyDescent="0.4">
      <c r="B11" s="113" t="s">
        <v>260</v>
      </c>
      <c r="C11" s="114">
        <f>INDEX(Produktpreise!$B$33:$S$54,MATCH(Preisvergleich!$C$6,Produktpreise!$C$33:$C$54,0),MATCH(Preisvergleich!B11,Produktpreise!$B$32:$S$32,0))</f>
        <v>25210.084033613446</v>
      </c>
    </row>
    <row r="12" spans="2:11" x14ac:dyDescent="0.4">
      <c r="B12" s="113" t="s">
        <v>245</v>
      </c>
      <c r="C12" s="114">
        <f>INDEX(Produktpreise!$B$33:$S$54,MATCH(Preisvergleich!$C$6,Produktpreise!$C$33:$C$54,0),MATCH(Preisvergleich!B12,Produktpreise!$B$32:$S$32,0))</f>
        <v>0</v>
      </c>
      <c r="D12" s="98" t="s">
        <v>263</v>
      </c>
      <c r="E12" s="98">
        <f>INDEX(Produktpreise!$B$33:$S$54,MATCH(Preisvergleich!$C$6,Produktpreise!$C$33:$C$54,0),MATCH("Anzahl Zusatzfahrer",Produktpreise!$B$32:$S$32,0))</f>
        <v>0</v>
      </c>
      <c r="I12" s="176"/>
      <c r="J12" s="176"/>
    </row>
    <row r="13" spans="2:11" x14ac:dyDescent="0.4">
      <c r="B13" s="113" t="s">
        <v>261</v>
      </c>
      <c r="C13" s="114">
        <f>INDEX(Produktpreise!$B$33:$S$54,MATCH(Preisvergleich!$C$6,Produktpreise!$C$33:$C$54,0),MATCH(Preisvergleich!B13,Produktpreise!$B$32:$S$32,0))</f>
        <v>0</v>
      </c>
      <c r="I13" s="176"/>
      <c r="J13" s="176"/>
    </row>
    <row r="14" spans="2:11" hidden="1" x14ac:dyDescent="0.4">
      <c r="B14" s="113" t="s">
        <v>241</v>
      </c>
      <c r="C14" s="114"/>
      <c r="K14" s="176"/>
    </row>
    <row r="15" spans="2:11" ht="14.5" thickBot="1" x14ac:dyDescent="0.45">
      <c r="B15" s="99" t="s">
        <v>62</v>
      </c>
      <c r="C15" s="227">
        <f>INDEX(Produktpreise!$B$33:$S$54,MATCH(Preisvergleich!$C$6,Produktpreise!$C$33:$C$54,0),MATCH(Preisvergleich!B15,Produktpreise!$B$32:$S$32,0))</f>
        <v>0</v>
      </c>
    </row>
    <row r="16" spans="2:11" x14ac:dyDescent="0.4">
      <c r="B16" s="228" t="s">
        <v>262</v>
      </c>
      <c r="C16" s="229">
        <f>SUM(C11:C15)</f>
        <v>25210.084033613446</v>
      </c>
    </row>
    <row r="17" spans="2:11" ht="14.5" thickBot="1" x14ac:dyDescent="0.45">
      <c r="B17" s="100" t="s">
        <v>63</v>
      </c>
      <c r="C17" s="226">
        <f>C16*0.19</f>
        <v>4789.9159663865548</v>
      </c>
    </row>
    <row r="18" spans="2:11" hidden="1" x14ac:dyDescent="0.4">
      <c r="B18" s="110" t="s">
        <v>62</v>
      </c>
      <c r="C18" s="111"/>
      <c r="K18" s="176"/>
    </row>
    <row r="19" spans="2:11" hidden="1" x14ac:dyDescent="0.4">
      <c r="B19" s="99" t="s">
        <v>184</v>
      </c>
      <c r="D19" s="176"/>
    </row>
    <row r="20" spans="2:11" ht="14.5" hidden="1" thickBot="1" x14ac:dyDescent="0.45">
      <c r="B20" s="100" t="s">
        <v>63</v>
      </c>
      <c r="C20" s="101"/>
      <c r="D20" s="98" t="s">
        <v>189</v>
      </c>
    </row>
    <row r="21" spans="2:11" x14ac:dyDescent="0.4">
      <c r="B21" s="102" t="s">
        <v>185</v>
      </c>
      <c r="C21" s="103">
        <f>SUM(C16:C17)</f>
        <v>30000</v>
      </c>
    </row>
    <row r="24" spans="2:11" x14ac:dyDescent="0.4">
      <c r="B24" s="117" t="s">
        <v>64</v>
      </c>
      <c r="C24" s="118"/>
    </row>
    <row r="25" spans="2:11" ht="6.65" customHeight="1" x14ac:dyDescent="0.4"/>
    <row r="26" spans="2:11" x14ac:dyDescent="0.4">
      <c r="B26" s="104" t="s">
        <v>265</v>
      </c>
    </row>
    <row r="27" spans="2:11" x14ac:dyDescent="0.4">
      <c r="B27" s="115" t="str">
        <f>C7&amp;" "&amp;"Gutscheine"&amp;" "&amp;"x"&amp;" "&amp;ROUND('Preise Output'!F7,0)&amp;"€"&amp;" "&amp;"je"&amp;" "&amp;"Gutschein"</f>
        <v>857 Gutscheine x 35€ je Gutschein</v>
      </c>
      <c r="C27" s="112">
        <f>IFERROR(C7*INDEX('Preise Output'!$B$16:$F$23,MATCH(Preisvergleich!$C$6,'Preise Output'!$B$16:$B$23,0),5)*'Preise Output'!$F$7,"--")</f>
        <v>29995</v>
      </c>
      <c r="D27" s="233" t="s">
        <v>270</v>
      </c>
      <c r="E27" s="233"/>
      <c r="F27" s="233"/>
      <c r="G27" s="233"/>
    </row>
    <row r="28" spans="2:11" x14ac:dyDescent="0.4">
      <c r="B28" s="98" t="s">
        <v>65</v>
      </c>
      <c r="C28" s="97">
        <f>IFERROR(C27*0.07,"--")</f>
        <v>2099.65</v>
      </c>
      <c r="D28" s="233" t="s">
        <v>275</v>
      </c>
    </row>
    <row r="30" spans="2:11" x14ac:dyDescent="0.4">
      <c r="B30" s="104" t="s">
        <v>266</v>
      </c>
    </row>
    <row r="31" spans="2:11" x14ac:dyDescent="0.4">
      <c r="B31" s="115" t="s">
        <v>66</v>
      </c>
      <c r="C31" s="112">
        <f>C27</f>
        <v>29995</v>
      </c>
    </row>
    <row r="32" spans="2:11" x14ac:dyDescent="0.4">
      <c r="B32" s="98" t="s">
        <v>63</v>
      </c>
      <c r="C32" s="109">
        <f>+C17</f>
        <v>4789.9159663865548</v>
      </c>
    </row>
    <row r="35" spans="2:3" x14ac:dyDescent="0.4">
      <c r="B35" s="96" t="s">
        <v>67</v>
      </c>
    </row>
    <row r="36" spans="2:3" x14ac:dyDescent="0.4">
      <c r="B36" s="115" t="str">
        <f>C4&amp;"€"&amp;" "&amp;"je"&amp;" "&amp;"Gutschein"&amp;" "&amp;"x"&amp;" "&amp;C7&amp;" "&amp;"Roomnights"&amp;" "&amp;"x"&amp;" "&amp;INDEX('Preise Output'!$B$16:$F$23,MATCH(Preisvergleich!$C$6,'Preise Output'!$B$16:$B$23,0),5)&amp;" "&amp;"Jahre"</f>
        <v>20€ je Gutschein x 857 Roomnights x 1 Jahre</v>
      </c>
      <c r="C36" s="112">
        <f>IFERROR(C4*C7*INDEX('Preise Output'!$B$16:$F$23,MATCH(Preisvergleich!$C$6,'Preise Output'!$B$16:$B$23,0),5),"--")</f>
        <v>17140</v>
      </c>
    </row>
    <row r="37" spans="2:3" x14ac:dyDescent="0.4">
      <c r="B37" s="116" t="s">
        <v>68</v>
      </c>
      <c r="C37" s="114">
        <f>C28</f>
        <v>2099.65</v>
      </c>
    </row>
    <row r="38" spans="2:3" ht="14.5" thickBot="1" x14ac:dyDescent="0.45">
      <c r="B38" s="124" t="s">
        <v>69</v>
      </c>
      <c r="C38" s="125">
        <f>IFERROR(-C32,"--")</f>
        <v>-4789.9159663865548</v>
      </c>
    </row>
    <row r="39" spans="2:3" x14ac:dyDescent="0.4">
      <c r="B39" s="96" t="s">
        <v>282</v>
      </c>
      <c r="C39" s="103">
        <f>SUM(C36:C38)</f>
        <v>14449.734033613448</v>
      </c>
    </row>
    <row r="41" spans="2:3" x14ac:dyDescent="0.4">
      <c r="B41" s="105" t="s">
        <v>70</v>
      </c>
      <c r="C41" s="106">
        <f>C16-C39</f>
        <v>10760.349999999999</v>
      </c>
    </row>
    <row r="42" spans="2:3" x14ac:dyDescent="0.4">
      <c r="C42" s="241">
        <f>C41/C16</f>
        <v>0.42682721666666662</v>
      </c>
    </row>
  </sheetData>
  <dataConsolidate/>
  <dataValidations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BE6E83AE-2B59-4F59-9722-C607DE02B814}">
          <x14:formula1>
            <xm:f>'Preise Output'!$B$18:$B$23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3" width="42" customWidth="1"/>
    <col min="4" max="5" width="24.7265625" customWidth="1"/>
    <col min="6" max="6" width="24.26953125" customWidth="1"/>
    <col min="7" max="7" width="20" customWidth="1"/>
    <col min="8" max="8" width="17.26953125" customWidth="1"/>
    <col min="9" max="10" width="20.453125" customWidth="1"/>
    <col min="11" max="12" width="20.26953125" customWidth="1"/>
    <col min="13" max="13" width="18.453125" customWidth="1"/>
    <col min="14" max="14" width="13.453125" bestFit="1" customWidth="1"/>
    <col min="15" max="15" width="13.453125" customWidth="1"/>
    <col min="16" max="16" width="19.54296875" customWidth="1"/>
    <col min="17" max="17" width="20" style="7" customWidth="1"/>
    <col min="18" max="18" width="14.453125" customWidth="1"/>
    <col min="19" max="19" width="15.26953125" customWidth="1"/>
    <col min="20" max="20" width="12" bestFit="1" customWidth="1"/>
  </cols>
  <sheetData>
    <row r="2" spans="2:19" s="94" customFormat="1" ht="24" customHeight="1" x14ac:dyDescent="0.35">
      <c r="B2" s="94" t="s">
        <v>71</v>
      </c>
      <c r="Q2" s="95"/>
    </row>
    <row r="3" spans="2:19" x14ac:dyDescent="0.35">
      <c r="N3" t="s">
        <v>62</v>
      </c>
      <c r="O3" t="s">
        <v>177</v>
      </c>
    </row>
    <row r="4" spans="2:19" s="1" customFormat="1" ht="43.5" x14ac:dyDescent="0.35">
      <c r="B4" s="122" t="s">
        <v>7</v>
      </c>
      <c r="C4" s="122" t="s">
        <v>55</v>
      </c>
      <c r="D4" s="122" t="s">
        <v>75</v>
      </c>
      <c r="E4" s="122" t="s">
        <v>76</v>
      </c>
      <c r="F4" s="122" t="s">
        <v>264</v>
      </c>
      <c r="G4" s="122" t="s">
        <v>260</v>
      </c>
      <c r="H4" s="122" t="s">
        <v>245</v>
      </c>
      <c r="I4" s="122" t="s">
        <v>261</v>
      </c>
      <c r="J4" s="122"/>
      <c r="K4" s="122" t="s">
        <v>241</v>
      </c>
      <c r="L4" s="122" t="s">
        <v>62</v>
      </c>
      <c r="M4" s="122" t="s">
        <v>84</v>
      </c>
      <c r="N4" s="122" t="s">
        <v>200</v>
      </c>
      <c r="O4" s="122" t="s">
        <v>181</v>
      </c>
      <c r="P4" s="122" t="s">
        <v>22</v>
      </c>
      <c r="Q4" s="123" t="s">
        <v>23</v>
      </c>
      <c r="R4" s="122" t="s">
        <v>86</v>
      </c>
      <c r="S4" s="122" t="s">
        <v>87</v>
      </c>
    </row>
    <row r="5" spans="2:19" s="1" customFormat="1" x14ac:dyDescent="0.35">
      <c r="B5" s="9" t="s">
        <v>88</v>
      </c>
      <c r="C5" s="10" t="s">
        <v>179</v>
      </c>
      <c r="D5" s="10" t="s">
        <v>89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88</v>
      </c>
      <c r="C6" s="10" t="s">
        <v>180</v>
      </c>
      <c r="D6" s="10" t="s">
        <v>89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88</v>
      </c>
      <c r="C7" s="10" t="s">
        <v>186</v>
      </c>
      <c r="D7" s="10" t="s">
        <v>89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88</v>
      </c>
      <c r="C8" s="10" t="s">
        <v>183</v>
      </c>
      <c r="D8" s="10" t="s">
        <v>89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88</v>
      </c>
      <c r="C9" s="10" t="s">
        <v>34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90</v>
      </c>
      <c r="C10" s="15" t="s">
        <v>176</v>
      </c>
      <c r="D10" s="15" t="s">
        <v>89</v>
      </c>
      <c r="E10" s="15"/>
      <c r="F10" s="16">
        <v>0</v>
      </c>
      <c r="G10" s="16">
        <f>1229*1.07</f>
        <v>1315.03</v>
      </c>
      <c r="H10" s="16">
        <v>35</v>
      </c>
      <c r="I10" s="177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90</v>
      </c>
      <c r="C11" s="75" t="s">
        <v>259</v>
      </c>
      <c r="D11" s="15" t="s">
        <v>89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91</v>
      </c>
      <c r="C12" s="75" t="s">
        <v>255</v>
      </c>
      <c r="D12" s="20" t="s">
        <v>89</v>
      </c>
      <c r="E12" s="20"/>
      <c r="F12" s="230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91</v>
      </c>
      <c r="C13" s="75" t="s">
        <v>256</v>
      </c>
      <c r="D13" s="20" t="s">
        <v>89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34">
        <f>(Sixt!F15*Sixt!G15/SUM(Sixt!F7:F9))*12/1.19</f>
        <v>604.73949579831935</v>
      </c>
      <c r="I13" s="234">
        <f>(Sixt!F13*Sixt!G13/SUM(Sixt!F7:F9))*12/1.19</f>
        <v>302.42016806722688</v>
      </c>
      <c r="J13" s="234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59</v>
      </c>
      <c r="C14" s="225" t="s">
        <v>257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35">
        <f>(Sixt!I15*Sixt!J15/SUM(Sixt!I7:I9))*12/1.19</f>
        <v>604.73949579831935</v>
      </c>
      <c r="I14" s="235">
        <f>(Sixt!I13*Sixt!J13/SUM(Sixt!I7:I9))*12/1.19</f>
        <v>302.42016806722688</v>
      </c>
      <c r="J14" s="235"/>
      <c r="K14" s="11"/>
      <c r="L14" s="235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92</v>
      </c>
      <c r="C15" s="75" t="s">
        <v>258</v>
      </c>
      <c r="D15" s="10" t="s">
        <v>89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35">
        <f>(Sixt!L15*Sixt!M15/SUM(Sixt!L7:L9))*12/1.19</f>
        <v>604.73949579831935</v>
      </c>
      <c r="I15" s="235">
        <f>(Sixt!L13*Sixt!M13/SUM(Sixt!L7:L9))*12/1.19</f>
        <v>0</v>
      </c>
      <c r="J15" s="235"/>
      <c r="K15" s="235"/>
      <c r="L15" s="235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92</v>
      </c>
      <c r="C16" s="32" t="s">
        <v>274</v>
      </c>
      <c r="D16" s="32" t="s">
        <v>89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58">
        <f>'Preise Output'!F23</f>
        <v>1</v>
      </c>
      <c r="Q16" s="157">
        <f>'Preise Output'!F12/1.19</f>
        <v>25210.084033613446</v>
      </c>
      <c r="R16" s="35">
        <f t="shared" si="4"/>
        <v>25210.084033613446</v>
      </c>
      <c r="S16" s="32"/>
    </row>
    <row r="17" spans="2:19" s="5" customFormat="1" x14ac:dyDescent="0.35">
      <c r="B17" s="9" t="s">
        <v>88</v>
      </c>
      <c r="C17" s="25" t="s">
        <v>196</v>
      </c>
      <c r="D17" s="32" t="s">
        <v>89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199</v>
      </c>
      <c r="C18" s="25" t="s">
        <v>197</v>
      </c>
      <c r="D18" s="32" t="s">
        <v>89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199</v>
      </c>
      <c r="C19" s="25" t="s">
        <v>198</v>
      </c>
      <c r="D19" s="32" t="s">
        <v>89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91</v>
      </c>
      <c r="C20" s="25" t="s">
        <v>208</v>
      </c>
      <c r="D20" s="20" t="s">
        <v>89</v>
      </c>
      <c r="E20" s="25"/>
      <c r="F20" s="26">
        <v>0</v>
      </c>
      <c r="G20" s="183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91</v>
      </c>
      <c r="C21" s="25" t="s">
        <v>205</v>
      </c>
      <c r="D21" s="20" t="s">
        <v>89</v>
      </c>
      <c r="E21" s="25"/>
      <c r="F21" s="26">
        <v>0</v>
      </c>
      <c r="G21" s="183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194</v>
      </c>
      <c r="C22" s="25" t="s">
        <v>195</v>
      </c>
      <c r="D22" s="20" t="s">
        <v>89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91</v>
      </c>
      <c r="C23" s="19" t="s">
        <v>190</v>
      </c>
      <c r="D23" s="20" t="s">
        <v>89</v>
      </c>
      <c r="E23" s="20"/>
      <c r="F23" s="21"/>
      <c r="G23" s="22">
        <f>G50*(1-27%)-G49*0.17</f>
        <v>3775.9184999999998</v>
      </c>
      <c r="H23" s="22">
        <f>750+90</f>
        <v>840</v>
      </c>
      <c r="I23" s="185">
        <f>20*2+35</f>
        <v>75</v>
      </c>
      <c r="J23" s="22"/>
      <c r="K23" s="183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91</v>
      </c>
      <c r="C24" s="19" t="s">
        <v>191</v>
      </c>
      <c r="D24" s="20" t="s">
        <v>89</v>
      </c>
      <c r="E24" s="20"/>
      <c r="F24" s="21"/>
      <c r="G24" s="22">
        <f>G51*(1-27%)-G49*0.17</f>
        <v>5819.9184999999998</v>
      </c>
      <c r="H24" s="22">
        <f>750*2+180</f>
        <v>1680</v>
      </c>
      <c r="I24" s="185">
        <f>I23*2</f>
        <v>150</v>
      </c>
      <c r="J24" s="22"/>
      <c r="K24" s="183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91</v>
      </c>
      <c r="C25" s="19" t="s">
        <v>192</v>
      </c>
      <c r="D25" s="20" t="s">
        <v>89</v>
      </c>
      <c r="E25" s="20"/>
      <c r="F25" s="21"/>
      <c r="G25" s="22">
        <f>G52*(1-27%)-G49*0.17</f>
        <v>3921.9184999999998</v>
      </c>
      <c r="H25" s="22">
        <f>750+90</f>
        <v>840</v>
      </c>
      <c r="I25" s="185">
        <f>20*2+35</f>
        <v>75</v>
      </c>
      <c r="J25" s="22"/>
      <c r="K25" s="183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91</v>
      </c>
      <c r="C26" s="19" t="s">
        <v>193</v>
      </c>
      <c r="D26" s="20" t="s">
        <v>89</v>
      </c>
      <c r="E26" s="20"/>
      <c r="F26" s="21"/>
      <c r="G26" s="22">
        <f>G53*(1-27%)-G49*0.17</f>
        <v>5965.9184999999998</v>
      </c>
      <c r="H26" s="22">
        <f>750*2+180</f>
        <v>1680</v>
      </c>
      <c r="I26" s="185">
        <f>I25*2</f>
        <v>150</v>
      </c>
      <c r="J26" s="22"/>
      <c r="K26" s="183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86"/>
      <c r="G27" s="186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182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178</v>
      </c>
      <c r="Q31" s="2"/>
      <c r="R31" s="2"/>
      <c r="S31" s="2"/>
    </row>
    <row r="32" spans="2:19" s="1" customFormat="1" ht="29" x14ac:dyDescent="0.35">
      <c r="B32" s="122" t="s">
        <v>7</v>
      </c>
      <c r="C32" s="122" t="s">
        <v>55</v>
      </c>
      <c r="D32" s="122" t="s">
        <v>75</v>
      </c>
      <c r="E32" s="122" t="s">
        <v>76</v>
      </c>
      <c r="F32" s="122" t="str">
        <f t="shared" ref="F32:I32" si="10">F4</f>
        <v>Anzahl Zusatzfahrer</v>
      </c>
      <c r="G32" s="122" t="str">
        <f t="shared" si="10"/>
        <v>Abo-Kosten</v>
      </c>
      <c r="H32" s="122" t="str">
        <f t="shared" si="10"/>
        <v>Zusatzfahrer</v>
      </c>
      <c r="I32" s="122" t="str">
        <f t="shared" si="10"/>
        <v>Komfortausstattung</v>
      </c>
      <c r="J32" s="122"/>
      <c r="K32" s="122" t="str">
        <f>K4</f>
        <v>Ersatzwagengarantie</v>
      </c>
      <c r="L32" s="122" t="str">
        <f>L4</f>
        <v>Versicherung</v>
      </c>
      <c r="M32" s="122" t="s">
        <v>60</v>
      </c>
      <c r="N32" s="122" t="s">
        <v>62</v>
      </c>
      <c r="O32" s="122" t="s">
        <v>181</v>
      </c>
      <c r="P32" s="122" t="s">
        <v>22</v>
      </c>
      <c r="Q32" s="123" t="s">
        <v>23</v>
      </c>
      <c r="R32" s="122" t="s">
        <v>86</v>
      </c>
      <c r="S32" s="122" t="s">
        <v>87</v>
      </c>
    </row>
    <row r="33" spans="2:19" x14ac:dyDescent="0.35">
      <c r="B33" s="9" t="s">
        <v>88</v>
      </c>
      <c r="C33" s="10" t="s">
        <v>179</v>
      </c>
      <c r="D33" s="10" t="s">
        <v>89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88</v>
      </c>
      <c r="C34" s="10" t="s">
        <v>180</v>
      </c>
      <c r="D34" s="10" t="s">
        <v>89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88</v>
      </c>
      <c r="C35" s="10" t="s">
        <v>186</v>
      </c>
      <c r="D35" s="10" t="s">
        <v>89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88</v>
      </c>
      <c r="C36" s="10" t="s">
        <v>183</v>
      </c>
      <c r="D36" s="10" t="s">
        <v>89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88</v>
      </c>
      <c r="C37" s="10" t="s">
        <v>34</v>
      </c>
      <c r="D37" s="10" t="s">
        <v>89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90</v>
      </c>
      <c r="C38" s="15" t="s">
        <v>176</v>
      </c>
      <c r="D38" s="15" t="s">
        <v>89</v>
      </c>
      <c r="E38" s="15"/>
      <c r="F38" s="16">
        <v>0</v>
      </c>
      <c r="G38" s="36">
        <v>1672</v>
      </c>
      <c r="H38" s="16">
        <v>0</v>
      </c>
      <c r="I38" s="11">
        <v>0</v>
      </c>
      <c r="J38" s="178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90</v>
      </c>
      <c r="C39" s="75" t="s">
        <v>259</v>
      </c>
      <c r="D39" s="15" t="s">
        <v>89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91</v>
      </c>
      <c r="C40" s="75" t="s">
        <v>255</v>
      </c>
      <c r="D40" s="20" t="s">
        <v>89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91</v>
      </c>
      <c r="C41" s="75" t="s">
        <v>256</v>
      </c>
      <c r="D41" s="20" t="s">
        <v>89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92</v>
      </c>
      <c r="C42" s="225" t="s">
        <v>257</v>
      </c>
      <c r="D42" s="32" t="s">
        <v>89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92</v>
      </c>
      <c r="C43" s="75" t="s">
        <v>258</v>
      </c>
      <c r="D43" s="32" t="s">
        <v>89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59"/>
      <c r="N43" s="159"/>
      <c r="O43" s="159"/>
      <c r="P43" s="158">
        <v>1</v>
      </c>
      <c r="Q43" s="15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88</v>
      </c>
      <c r="C44" s="32" t="s">
        <v>274</v>
      </c>
      <c r="D44" s="10" t="s">
        <v>89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199</v>
      </c>
      <c r="C45" s="25" t="s">
        <v>197</v>
      </c>
      <c r="D45" s="32" t="s">
        <v>89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199</v>
      </c>
      <c r="C46" s="25" t="s">
        <v>198</v>
      </c>
      <c r="D46" s="32" t="s">
        <v>89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91</v>
      </c>
      <c r="C47" s="25" t="s">
        <v>208</v>
      </c>
      <c r="D47" s="32" t="s">
        <v>89</v>
      </c>
      <c r="E47" s="25"/>
      <c r="F47" s="26">
        <v>0</v>
      </c>
      <c r="G47" s="183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91</v>
      </c>
      <c r="C48" s="25" t="s">
        <v>205</v>
      </c>
      <c r="D48" s="32" t="s">
        <v>89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194</v>
      </c>
      <c r="C49" s="25" t="s">
        <v>195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91</v>
      </c>
      <c r="C50" s="19" t="s">
        <v>190</v>
      </c>
      <c r="D50" s="19"/>
      <c r="E50" s="19"/>
      <c r="F50" s="19">
        <v>0</v>
      </c>
      <c r="G50" s="22">
        <f>(3199.95+1599.95)</f>
        <v>4799.8999999999996</v>
      </c>
      <c r="H50" s="173">
        <f t="shared" ref="H50:I53" si="20">H23</f>
        <v>840</v>
      </c>
      <c r="I50" s="184">
        <f t="shared" si="20"/>
        <v>75</v>
      </c>
      <c r="J50" s="173">
        <f t="shared" ref="J50:L51" si="21">J23*1.19</f>
        <v>0</v>
      </c>
      <c r="K50" s="184">
        <f>K23</f>
        <v>0</v>
      </c>
      <c r="L50" s="173">
        <f t="shared" si="21"/>
        <v>0</v>
      </c>
      <c r="M50" s="173">
        <f>19.95*12</f>
        <v>239.39999999999998</v>
      </c>
      <c r="N50" s="173">
        <f t="shared" ref="N50:O51" si="22">N23</f>
        <v>0</v>
      </c>
      <c r="O50" s="173">
        <f t="shared" si="22"/>
        <v>0</v>
      </c>
      <c r="P50" s="19">
        <v>3</v>
      </c>
      <c r="Q50" s="24">
        <f>G50+H50+I50*(P50-1)+M50*(P50-1)+L50*P50</f>
        <v>6268.7</v>
      </c>
      <c r="R50" s="173">
        <f>Q50/P50</f>
        <v>2089.5666666666666</v>
      </c>
      <c r="S50" s="19"/>
    </row>
    <row r="51" spans="2:20" x14ac:dyDescent="0.35">
      <c r="B51" s="19" t="s">
        <v>91</v>
      </c>
      <c r="C51" s="19" t="s">
        <v>191</v>
      </c>
      <c r="D51" s="19"/>
      <c r="E51" s="19"/>
      <c r="F51" s="19">
        <v>0</v>
      </c>
      <c r="G51" s="22">
        <f>(5999.95+1599.95)</f>
        <v>7599.9</v>
      </c>
      <c r="H51" s="173">
        <f t="shared" si="20"/>
        <v>1680</v>
      </c>
      <c r="I51" s="184">
        <f t="shared" si="20"/>
        <v>150</v>
      </c>
      <c r="J51" s="173">
        <f t="shared" si="21"/>
        <v>0</v>
      </c>
      <c r="K51" s="184">
        <f>K24</f>
        <v>0</v>
      </c>
      <c r="L51" s="173">
        <f t="shared" si="21"/>
        <v>0</v>
      </c>
      <c r="M51" s="173">
        <f>19.95*12*2</f>
        <v>478.79999999999995</v>
      </c>
      <c r="N51" s="173">
        <f t="shared" si="22"/>
        <v>0</v>
      </c>
      <c r="O51" s="173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73">
        <f t="shared" ref="R51:R53" si="24">Q51/P51</f>
        <v>3512.5</v>
      </c>
      <c r="S51" s="19"/>
      <c r="T51" s="179"/>
    </row>
    <row r="52" spans="2:20" x14ac:dyDescent="0.35">
      <c r="B52" s="19" t="s">
        <v>91</v>
      </c>
      <c r="C52" s="19" t="s">
        <v>192</v>
      </c>
      <c r="D52" s="19"/>
      <c r="E52" s="25"/>
      <c r="F52" s="19">
        <v>0</v>
      </c>
      <c r="G52" s="27">
        <f>(3399.95+1599.95)</f>
        <v>4999.8999999999996</v>
      </c>
      <c r="H52" s="173">
        <f t="shared" si="20"/>
        <v>840</v>
      </c>
      <c r="I52" s="184">
        <f t="shared" si="20"/>
        <v>75</v>
      </c>
      <c r="J52" s="27"/>
      <c r="K52" s="184">
        <f>K25</f>
        <v>0</v>
      </c>
      <c r="L52" s="27"/>
      <c r="M52" s="173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73">
        <f t="shared" si="24"/>
        <v>2156.2333333333331</v>
      </c>
      <c r="S52" s="27"/>
    </row>
    <row r="53" spans="2:20" x14ac:dyDescent="0.35">
      <c r="B53" s="19" t="s">
        <v>91</v>
      </c>
      <c r="C53" s="19" t="s">
        <v>193</v>
      </c>
      <c r="D53" s="19"/>
      <c r="E53" s="25"/>
      <c r="F53" s="19">
        <v>0</v>
      </c>
      <c r="G53" s="27">
        <f>(6199.95+1599.95)</f>
        <v>7799.9</v>
      </c>
      <c r="H53" s="173">
        <f t="shared" si="20"/>
        <v>1680</v>
      </c>
      <c r="I53" s="184">
        <f t="shared" si="20"/>
        <v>150</v>
      </c>
      <c r="J53" s="27"/>
      <c r="K53" s="184">
        <f>K26</f>
        <v>0</v>
      </c>
      <c r="L53" s="27"/>
      <c r="M53" s="173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73">
        <f t="shared" si="24"/>
        <v>3579.1666666666665</v>
      </c>
      <c r="S53" s="27"/>
    </row>
    <row r="54" spans="2:20" x14ac:dyDescent="0.35">
      <c r="B54" s="25" t="s">
        <v>93</v>
      </c>
      <c r="C54" s="25" t="s">
        <v>50</v>
      </c>
      <c r="D54" s="25" t="s">
        <v>94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2"/>
  <sheetViews>
    <sheetView workbookViewId="0">
      <selection activeCell="B23" sqref="B23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201</v>
      </c>
      <c r="B1" t="s">
        <v>289</v>
      </c>
    </row>
    <row r="2" spans="1:2" x14ac:dyDescent="0.35">
      <c r="A2">
        <v>221220</v>
      </c>
      <c r="B2" t="s">
        <v>202</v>
      </c>
    </row>
    <row r="3" spans="1:2" x14ac:dyDescent="0.35">
      <c r="B3" t="s">
        <v>203</v>
      </c>
    </row>
    <row r="4" spans="1:2" x14ac:dyDescent="0.35">
      <c r="B4" t="s">
        <v>204</v>
      </c>
    </row>
    <row r="5" spans="1:2" x14ac:dyDescent="0.35">
      <c r="A5">
        <v>230126</v>
      </c>
      <c r="B5" t="s">
        <v>206</v>
      </c>
    </row>
    <row r="6" spans="1:2" x14ac:dyDescent="0.35">
      <c r="B6" t="s">
        <v>207</v>
      </c>
    </row>
    <row r="7" spans="1:2" x14ac:dyDescent="0.35">
      <c r="B7" t="s">
        <v>209</v>
      </c>
    </row>
    <row r="9" spans="1:2" x14ac:dyDescent="0.35">
      <c r="A9" t="s">
        <v>252</v>
      </c>
      <c r="B9" t="s">
        <v>210</v>
      </c>
    </row>
    <row r="10" spans="1:2" x14ac:dyDescent="0.35">
      <c r="B10" t="s">
        <v>253</v>
      </c>
    </row>
    <row r="11" spans="1:2" x14ac:dyDescent="0.35">
      <c r="B11" t="s">
        <v>254</v>
      </c>
    </row>
    <row r="12" spans="1:2" x14ac:dyDescent="0.35">
      <c r="A12" t="s">
        <v>267</v>
      </c>
      <c r="B12" t="s">
        <v>269</v>
      </c>
    </row>
    <row r="13" spans="1:2" x14ac:dyDescent="0.35">
      <c r="B13" t="s">
        <v>268</v>
      </c>
    </row>
    <row r="14" spans="1:2" x14ac:dyDescent="0.35">
      <c r="A14" t="s">
        <v>276</v>
      </c>
      <c r="B14" t="s">
        <v>273</v>
      </c>
    </row>
    <row r="15" spans="1:2" x14ac:dyDescent="0.35">
      <c r="B15" t="s">
        <v>277</v>
      </c>
    </row>
    <row r="16" spans="1:2" x14ac:dyDescent="0.35">
      <c r="A16" t="s">
        <v>278</v>
      </c>
      <c r="B16" t="s">
        <v>281</v>
      </c>
    </row>
    <row r="17" spans="1:2" x14ac:dyDescent="0.35">
      <c r="B17" t="s">
        <v>279</v>
      </c>
    </row>
    <row r="18" spans="1:2" x14ac:dyDescent="0.35">
      <c r="B18" t="s">
        <v>280</v>
      </c>
    </row>
    <row r="19" spans="1:2" x14ac:dyDescent="0.35">
      <c r="A19" t="s">
        <v>283</v>
      </c>
      <c r="B19" t="s">
        <v>284</v>
      </c>
    </row>
    <row r="20" spans="1:2" x14ac:dyDescent="0.35">
      <c r="B20" t="s">
        <v>285</v>
      </c>
    </row>
    <row r="21" spans="1:2" x14ac:dyDescent="0.35">
      <c r="A21" t="s">
        <v>287</v>
      </c>
      <c r="B21" t="s">
        <v>288</v>
      </c>
    </row>
    <row r="22" spans="1:2" x14ac:dyDescent="0.35">
      <c r="A22" t="s">
        <v>291</v>
      </c>
      <c r="B22" t="s">
        <v>292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26953125" defaultRowHeight="14.5" outlineLevelRow="1" x14ac:dyDescent="0.35"/>
  <cols>
    <col min="3" max="3" width="26.7265625" customWidth="1"/>
    <col min="4" max="4" width="12.1796875" style="137" customWidth="1"/>
    <col min="5" max="5" width="11.26953125" style="136" bestFit="1" customWidth="1"/>
    <col min="6" max="6" width="11.7265625" style="136" bestFit="1" customWidth="1"/>
    <col min="7" max="7" width="11.26953125" style="136" bestFit="1" customWidth="1"/>
    <col min="8" max="8" width="14.54296875" style="136" customWidth="1"/>
    <col min="9" max="15" width="11.26953125" style="136" bestFit="1" customWidth="1"/>
    <col min="16" max="16" width="10.54296875" bestFit="1" customWidth="1"/>
    <col min="17" max="27" width="11.26953125" bestFit="1" customWidth="1"/>
    <col min="28" max="28" width="10.54296875" bestFit="1" customWidth="1"/>
    <col min="29" max="39" width="11.26953125" bestFit="1" customWidth="1"/>
    <col min="40" max="40" width="12.26953125" bestFit="1" customWidth="1"/>
    <col min="41" max="41" width="10.54296875" bestFit="1" customWidth="1"/>
    <col min="43" max="43" width="12.7265625" bestFit="1" customWidth="1"/>
    <col min="44" max="44" width="11.26953125" bestFit="1" customWidth="1"/>
    <col min="45" max="50" width="10.26953125" bestFit="1" customWidth="1"/>
    <col min="51" max="54" width="10.453125" bestFit="1" customWidth="1"/>
  </cols>
  <sheetData>
    <row r="2" spans="2:54" s="128" customFormat="1" x14ac:dyDescent="0.35">
      <c r="D2" s="132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</row>
    <row r="4" spans="2:54" x14ac:dyDescent="0.35">
      <c r="D4" s="134" t="s">
        <v>95</v>
      </c>
      <c r="E4" s="135" t="s">
        <v>96</v>
      </c>
      <c r="F4" s="134" t="s">
        <v>97</v>
      </c>
      <c r="G4" s="135" t="s">
        <v>98</v>
      </c>
      <c r="H4" s="134" t="s">
        <v>99</v>
      </c>
      <c r="I4" s="135" t="s">
        <v>100</v>
      </c>
      <c r="J4" s="134" t="s">
        <v>101</v>
      </c>
      <c r="K4" s="135" t="s">
        <v>102</v>
      </c>
      <c r="L4" s="134" t="s">
        <v>103</v>
      </c>
      <c r="M4" s="135" t="s">
        <v>104</v>
      </c>
      <c r="N4" s="134" t="s">
        <v>105</v>
      </c>
      <c r="O4" s="135" t="s">
        <v>106</v>
      </c>
      <c r="P4" s="134" t="s">
        <v>107</v>
      </c>
      <c r="Q4" s="135" t="s">
        <v>108</v>
      </c>
      <c r="R4" s="134" t="s">
        <v>109</v>
      </c>
      <c r="S4" s="135" t="s">
        <v>110</v>
      </c>
      <c r="T4" s="134" t="s">
        <v>111</v>
      </c>
      <c r="U4" s="135" t="s">
        <v>112</v>
      </c>
      <c r="V4" s="134" t="s">
        <v>113</v>
      </c>
      <c r="W4" s="135" t="s">
        <v>114</v>
      </c>
      <c r="X4" s="134" t="s">
        <v>115</v>
      </c>
      <c r="Y4" s="135" t="s">
        <v>116</v>
      </c>
      <c r="Z4" s="134" t="s">
        <v>117</v>
      </c>
      <c r="AA4" s="135" t="s">
        <v>118</v>
      </c>
      <c r="AB4" s="134" t="s">
        <v>119</v>
      </c>
      <c r="AC4" s="135" t="s">
        <v>120</v>
      </c>
      <c r="AD4" s="134" t="s">
        <v>121</v>
      </c>
      <c r="AE4" s="135" t="s">
        <v>122</v>
      </c>
      <c r="AF4" s="134" t="s">
        <v>123</v>
      </c>
      <c r="AG4" s="135" t="s">
        <v>124</v>
      </c>
      <c r="AH4" s="134" t="s">
        <v>125</v>
      </c>
      <c r="AI4" s="135" t="s">
        <v>126</v>
      </c>
      <c r="AJ4" s="134" t="s">
        <v>127</v>
      </c>
      <c r="AK4" s="135" t="s">
        <v>128</v>
      </c>
      <c r="AL4" s="134" t="s">
        <v>129</v>
      </c>
      <c r="AM4" s="135" t="s">
        <v>130</v>
      </c>
      <c r="AN4" s="134" t="s">
        <v>131</v>
      </c>
      <c r="AQ4" s="126" t="s">
        <v>132</v>
      </c>
      <c r="AR4" s="126" t="s">
        <v>133</v>
      </c>
      <c r="AS4" s="126" t="s">
        <v>134</v>
      </c>
      <c r="AT4" s="126" t="s">
        <v>135</v>
      </c>
      <c r="AU4" s="126" t="s">
        <v>136</v>
      </c>
      <c r="AV4" s="126" t="s">
        <v>137</v>
      </c>
      <c r="AW4" s="126" t="s">
        <v>138</v>
      </c>
      <c r="AX4" s="126" t="s">
        <v>139</v>
      </c>
      <c r="AY4" s="126" t="s">
        <v>140</v>
      </c>
      <c r="AZ4" s="126" t="s">
        <v>141</v>
      </c>
      <c r="BA4" s="126" t="s">
        <v>142</v>
      </c>
      <c r="BB4" s="126" t="s">
        <v>143</v>
      </c>
    </row>
    <row r="5" spans="2:54" x14ac:dyDescent="0.35">
      <c r="C5" s="126" t="s">
        <v>144</v>
      </c>
      <c r="D5" s="134"/>
      <c r="E5" s="135"/>
      <c r="F5" s="135"/>
      <c r="G5" s="135"/>
      <c r="H5" s="135"/>
      <c r="I5" s="135"/>
      <c r="J5" s="135"/>
      <c r="K5" s="135"/>
      <c r="L5" s="135"/>
      <c r="M5" s="135"/>
      <c r="N5" s="135"/>
      <c r="O5" s="135"/>
      <c r="AN5" s="144">
        <f>SUM(AN6:AN7)</f>
        <v>123407.99999999999</v>
      </c>
    </row>
    <row r="6" spans="2:54" x14ac:dyDescent="0.35">
      <c r="B6" s="145">
        <v>1</v>
      </c>
      <c r="C6" s="127" t="s">
        <v>77</v>
      </c>
      <c r="D6" s="138">
        <f>'Preise Output'!$E$25*B6*'Preise Output'!F5</f>
        <v>29995</v>
      </c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8"/>
      <c r="P6" s="138">
        <f>'Preise Output'!$E$25*B6*INDEX(Annahmen!$B$19:$C$22,MATCH('Preise Output'!$C$7,Annahmen!$B$19:$B$22,0),2)</f>
        <v>29995</v>
      </c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40"/>
      <c r="AB6" s="138">
        <f>'Preise Output'!$E$25*B6*INDEX(Annahmen!$B$19:$C$22,MATCH('Preise Output'!$C$7,Annahmen!$B$19:$B$22,0),2)</f>
        <v>29995</v>
      </c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40"/>
      <c r="AN6" s="140">
        <f>SUM(D6:AM6)</f>
        <v>89985</v>
      </c>
      <c r="AQ6" s="140">
        <f>SUM(D6:F6)</f>
        <v>29995</v>
      </c>
      <c r="AR6" s="140">
        <f>SUM(G6:I6)</f>
        <v>0</v>
      </c>
      <c r="AS6" s="140">
        <f>SUM(J6:L6)</f>
        <v>0</v>
      </c>
      <c r="AT6" s="140">
        <f>SUM(M6:O6)</f>
        <v>0</v>
      </c>
      <c r="AU6" s="140">
        <f>SUM(P6:R6)</f>
        <v>29995</v>
      </c>
      <c r="AV6" s="140">
        <f>SUM(S6:U6)</f>
        <v>0</v>
      </c>
      <c r="AW6" s="140">
        <f>SUM(V6:X6)</f>
        <v>0</v>
      </c>
      <c r="AX6" s="140">
        <f>SUM(Y6:AA6)</f>
        <v>0</v>
      </c>
      <c r="AY6" s="140">
        <f>SUM(AB6:AD6)</f>
        <v>29995</v>
      </c>
      <c r="AZ6" s="140">
        <f>SUM(AE6:AG6)</f>
        <v>0</v>
      </c>
      <c r="BA6" s="140">
        <f>SUM(AH6:AJ6)</f>
        <v>0</v>
      </c>
      <c r="BB6" s="140">
        <f>SUM(AK6:AM6)</f>
        <v>0</v>
      </c>
    </row>
    <row r="7" spans="2:54" x14ac:dyDescent="0.35">
      <c r="C7" s="127" t="s">
        <v>145</v>
      </c>
      <c r="D7" s="139"/>
      <c r="E7" s="139">
        <f>IF($B$6=100%,(('Preise Output'!$F$10-INDEX(Annahmen!$B$18:$C$22,MATCH('Preise Output'!$C$7,Annahmen!$B$18:$B$22,0),2))*'Preise Output'!$E$25)/10,('Preise Output'!$E$25*'Preise Output'!$F$10-$D$6)/10)</f>
        <v>1114.0999999999999</v>
      </c>
      <c r="F7" s="139">
        <f>IF($B$6=100%,(('Preise Output'!$F$10-INDEX(Annahmen!$B$18:$C$22,MATCH('Preise Output'!$C$7,Annahmen!$B$18:$B$22,0),2))*'Preise Output'!$E$25)/10,('Preise Output'!$E$25*'Preise Output'!$F$10-$D$6)/10)</f>
        <v>1114.0999999999999</v>
      </c>
      <c r="G7" s="139">
        <f>IF($B$6=100%,(('Preise Output'!$F$10-INDEX(Annahmen!$B$18:$C$22,MATCH('Preise Output'!$C$7,Annahmen!$B$18:$B$22,0),2))*'Preise Output'!$E$25)/10,('Preise Output'!$E$25*'Preise Output'!$F$10-$D$6)/10)</f>
        <v>1114.0999999999999</v>
      </c>
      <c r="H7" s="139">
        <f>IF($B$6=100%,(('Preise Output'!$F$10-INDEX(Annahmen!$B$18:$C$22,MATCH('Preise Output'!$C$7,Annahmen!$B$18:$B$22,0),2))*'Preise Output'!$E$25)/10,('Preise Output'!$E$25*'Preise Output'!$F$10-$D$6)/10)</f>
        <v>1114.0999999999999</v>
      </c>
      <c r="I7" s="139">
        <f>IF($B$6=100%,(('Preise Output'!$F$10-INDEX(Annahmen!$B$18:$C$22,MATCH('Preise Output'!$C$7,Annahmen!$B$18:$B$22,0),2))*'Preise Output'!$E$25)/10,('Preise Output'!$E$25*'Preise Output'!$F$10-$D$6)/10)</f>
        <v>1114.0999999999999</v>
      </c>
      <c r="J7" s="139">
        <f>IF($B$6=100%,(('Preise Output'!$F$10-INDEX(Annahmen!$B$18:$C$22,MATCH('Preise Output'!$C$7,Annahmen!$B$18:$B$22,0),2))*'Preise Output'!$E$25)/10,('Preise Output'!$E$25*'Preise Output'!$F$10-$D$6)/10)</f>
        <v>1114.0999999999999</v>
      </c>
      <c r="K7" s="139">
        <f>IF($B$6=100%,(('Preise Output'!$F$10-INDEX(Annahmen!$B$18:$C$22,MATCH('Preise Output'!$C$7,Annahmen!$B$18:$B$22,0),2))*'Preise Output'!$E$25)/10,('Preise Output'!$E$25*'Preise Output'!$F$10-$D$6)/10)</f>
        <v>1114.0999999999999</v>
      </c>
      <c r="L7" s="139">
        <f>IF($B$6=100%,(('Preise Output'!$F$10-INDEX(Annahmen!$B$18:$C$22,MATCH('Preise Output'!$C$7,Annahmen!$B$18:$B$22,0),2))*'Preise Output'!$E$25)/10,('Preise Output'!$E$25*'Preise Output'!$F$10-$D$6)/10)</f>
        <v>1114.0999999999999</v>
      </c>
      <c r="M7" s="139">
        <f>IF($B$6=100%,(('Preise Output'!$F$10-INDEX(Annahmen!$B$18:$C$22,MATCH('Preise Output'!$C$7,Annahmen!$B$18:$B$22,0),2))*'Preise Output'!$E$25)/10,('Preise Output'!$E$25*'Preise Output'!$F$10-$D$6)/10)</f>
        <v>1114.0999999999999</v>
      </c>
      <c r="N7" s="139">
        <f>IF($B$6=100%,(('Preise Output'!$F$10-INDEX(Annahmen!$B$18:$C$22,MATCH('Preise Output'!$C$7,Annahmen!$B$18:$B$22,0),2))*'Preise Output'!$E$25)/10,('Preise Output'!$E$25*'Preise Output'!$F$10-$D$6)/10)</f>
        <v>1114.0999999999999</v>
      </c>
      <c r="O7" s="138"/>
      <c r="P7" s="139"/>
      <c r="Q7" s="139">
        <f>IF($B$6=100%,(('Preise Output'!$F$10-INDEX(Annahmen!$B$18:$C$22,MATCH('Preise Output'!$C$7,Annahmen!$B$18:$B$22,0),2))*'Preise Output'!$E$25)/10,('Preise Output'!$E$25*'Preise Output'!$F$10-$D$6)/10)</f>
        <v>1114.0999999999999</v>
      </c>
      <c r="R7" s="139">
        <f>IF($B$6=100%,(('Preise Output'!$F$10-INDEX(Annahmen!$B$18:$C$22,MATCH('Preise Output'!$C$7,Annahmen!$B$18:$B$22,0),2))*'Preise Output'!$E$25)/10,('Preise Output'!$E$25*'Preise Output'!$F$10-$D$6)/10)</f>
        <v>1114.0999999999999</v>
      </c>
      <c r="S7" s="139">
        <f>IF($B$6=100%,(('Preise Output'!$F$10-INDEX(Annahmen!$B$18:$C$22,MATCH('Preise Output'!$C$7,Annahmen!$B$18:$B$22,0),2))*'Preise Output'!$E$25)/10,('Preise Output'!$E$25*'Preise Output'!$F$10-$D$6)/10)</f>
        <v>1114.0999999999999</v>
      </c>
      <c r="T7" s="139">
        <f>IF($B$6=100%,(('Preise Output'!$F$10-INDEX(Annahmen!$B$18:$C$22,MATCH('Preise Output'!$C$7,Annahmen!$B$18:$B$22,0),2))*'Preise Output'!$E$25)/10,('Preise Output'!$E$25*'Preise Output'!$F$10-$D$6)/10)</f>
        <v>1114.0999999999999</v>
      </c>
      <c r="U7" s="139">
        <f>IF($B$6=100%,(('Preise Output'!$F$10-INDEX(Annahmen!$B$18:$C$22,MATCH('Preise Output'!$C$7,Annahmen!$B$18:$B$22,0),2))*'Preise Output'!$E$25)/10,('Preise Output'!$E$25*'Preise Output'!$F$10-$D$6)/10)</f>
        <v>1114.0999999999999</v>
      </c>
      <c r="V7" s="139">
        <f>IF($B$6=100%,(('Preise Output'!$F$10-INDEX(Annahmen!$B$18:$C$22,MATCH('Preise Output'!$C$7,Annahmen!$B$18:$B$22,0),2))*'Preise Output'!$E$25)/10,('Preise Output'!$E$25*'Preise Output'!$F$10-$D$6)/10)</f>
        <v>1114.0999999999999</v>
      </c>
      <c r="W7" s="139">
        <f>IF($B$6=100%,(('Preise Output'!$F$10-INDEX(Annahmen!$B$18:$C$22,MATCH('Preise Output'!$C$7,Annahmen!$B$18:$B$22,0),2))*'Preise Output'!$E$25)/10,('Preise Output'!$E$25*'Preise Output'!$F$10-$D$6)/10)</f>
        <v>1114.0999999999999</v>
      </c>
      <c r="X7" s="139">
        <f>IF($B$6=100%,(('Preise Output'!$F$10-INDEX(Annahmen!$B$18:$C$22,MATCH('Preise Output'!$C$7,Annahmen!$B$18:$B$22,0),2))*'Preise Output'!$E$25)/10,('Preise Output'!$E$25*'Preise Output'!$F$10-$D$6)/10)</f>
        <v>1114.0999999999999</v>
      </c>
      <c r="Y7" s="139">
        <f>IF($B$6=100%,(('Preise Output'!$F$10-INDEX(Annahmen!$B$18:$C$22,MATCH('Preise Output'!$C$7,Annahmen!$B$18:$B$22,0),2))*'Preise Output'!$E$25)/10,('Preise Output'!$E$25*'Preise Output'!$F$10-$D$6)/10)</f>
        <v>1114.0999999999999</v>
      </c>
      <c r="Z7" s="139">
        <f>IF($B$6=100%,(('Preise Output'!$F$10-INDEX(Annahmen!$B$18:$C$22,MATCH('Preise Output'!$C$7,Annahmen!$B$18:$B$22,0),2))*'Preise Output'!$E$25)/10,('Preise Output'!$E$25*'Preise Output'!$F$10-$D$6)/10)</f>
        <v>1114.0999999999999</v>
      </c>
      <c r="AA7" s="140"/>
      <c r="AB7" s="139"/>
      <c r="AC7" s="139">
        <f>IF($B$6=100%,(('Preise Output'!$F$10-INDEX(Annahmen!$B$18:$C$22,MATCH('Preise Output'!$C$7,Annahmen!$B$18:$B$22,0),2))*'Preise Output'!$E$25)/10,('Preise Output'!$E$25*'Preise Output'!$F$10-$D$6)/10)</f>
        <v>1114.0999999999999</v>
      </c>
      <c r="AD7" s="139">
        <f>IF($B$6=100%,(('Preise Output'!$F$10-INDEX(Annahmen!$B$18:$C$22,MATCH('Preise Output'!$C$7,Annahmen!$B$18:$B$22,0),2))*'Preise Output'!$E$25)/10,('Preise Output'!$E$25*'Preise Output'!$F$10-$D$6)/10)</f>
        <v>1114.0999999999999</v>
      </c>
      <c r="AE7" s="139">
        <f>IF($B$6=100%,(('Preise Output'!$F$10-INDEX(Annahmen!$B$18:$C$22,MATCH('Preise Output'!$C$7,Annahmen!$B$18:$B$22,0),2))*'Preise Output'!$E$25)/10,('Preise Output'!$E$25*'Preise Output'!$F$10-$D$6)/10)</f>
        <v>1114.0999999999999</v>
      </c>
      <c r="AF7" s="139">
        <f>IF($B$6=100%,(('Preise Output'!$F$10-INDEX(Annahmen!$B$18:$C$22,MATCH('Preise Output'!$C$7,Annahmen!$B$18:$B$22,0),2))*'Preise Output'!$E$25)/10,('Preise Output'!$E$25*'Preise Output'!$F$10-$D$6)/10)</f>
        <v>1114.0999999999999</v>
      </c>
      <c r="AG7" s="139">
        <f>IF($B$6=100%,(('Preise Output'!$F$10-INDEX(Annahmen!$B$18:$C$22,MATCH('Preise Output'!$C$7,Annahmen!$B$18:$B$22,0),2))*'Preise Output'!$E$25)/10,('Preise Output'!$E$25*'Preise Output'!$F$10-$D$6)/10)</f>
        <v>1114.0999999999999</v>
      </c>
      <c r="AH7" s="139">
        <f>IF($B$6=100%,(('Preise Output'!$F$10-INDEX(Annahmen!$B$18:$C$22,MATCH('Preise Output'!$C$7,Annahmen!$B$18:$B$22,0),2))*'Preise Output'!$E$25)/10,('Preise Output'!$E$25*'Preise Output'!$F$10-$D$6)/10)</f>
        <v>1114.0999999999999</v>
      </c>
      <c r="AI7" s="139">
        <f>IF($B$6=100%,(('Preise Output'!$F$10-INDEX(Annahmen!$B$18:$C$22,MATCH('Preise Output'!$C$7,Annahmen!$B$18:$B$22,0),2))*'Preise Output'!$E$25)/10,('Preise Output'!$E$25*'Preise Output'!$F$10-$D$6)/10)</f>
        <v>1114.0999999999999</v>
      </c>
      <c r="AJ7" s="139">
        <f>IF($B$6=100%,(('Preise Output'!$F$10-INDEX(Annahmen!$B$18:$C$22,MATCH('Preise Output'!$C$7,Annahmen!$B$18:$B$22,0),2))*'Preise Output'!$E$25)/10,('Preise Output'!$E$25*'Preise Output'!$F$10-$D$6)/10)</f>
        <v>1114.0999999999999</v>
      </c>
      <c r="AK7" s="139">
        <f>IF($B$6=100%,(('Preise Output'!$F$10-INDEX(Annahmen!$B$18:$C$22,MATCH('Preise Output'!$C$7,Annahmen!$B$18:$B$22,0),2))*'Preise Output'!$E$25)/10,('Preise Output'!$E$25*'Preise Output'!$F$10-$D$6)/10)</f>
        <v>1114.0999999999999</v>
      </c>
      <c r="AL7" s="139">
        <f>IF($B$6=100%,(('Preise Output'!$F$10-INDEX(Annahmen!$B$18:$C$22,MATCH('Preise Output'!$C$7,Annahmen!$B$18:$B$22,0),2))*'Preise Output'!$E$25)/10,('Preise Output'!$E$25*'Preise Output'!$F$10-$D$6)/10)</f>
        <v>1114.0999999999999</v>
      </c>
      <c r="AM7" s="140"/>
      <c r="AN7" s="140">
        <f t="shared" ref="AN7:AN43" si="0">SUM(D7:AM7)</f>
        <v>33422.999999999985</v>
      </c>
      <c r="AQ7" s="140">
        <f t="shared" ref="AQ7:AQ45" si="1">SUM(D7:F7)</f>
        <v>2228.1999999999998</v>
      </c>
      <c r="AR7" s="140">
        <f t="shared" ref="AR7:AR45" si="2">SUM(G7:I7)</f>
        <v>3342.2999999999997</v>
      </c>
      <c r="AS7" s="140">
        <f t="shared" ref="AS7:AS45" si="3">SUM(J7:L7)</f>
        <v>3342.2999999999997</v>
      </c>
      <c r="AT7" s="140">
        <f t="shared" ref="AT7:AT45" si="4">SUM(M7:O7)</f>
        <v>2228.1999999999998</v>
      </c>
      <c r="AU7" s="140">
        <f t="shared" ref="AU7:AU45" si="5">SUM(P7:R7)</f>
        <v>2228.1999999999998</v>
      </c>
      <c r="AV7" s="140">
        <f t="shared" ref="AV7:AV45" si="6">SUM(S7:U7)</f>
        <v>3342.2999999999997</v>
      </c>
      <c r="AW7" s="140">
        <f t="shared" ref="AW7:AW45" si="7">SUM(V7:X7)</f>
        <v>3342.2999999999997</v>
      </c>
      <c r="AX7" s="140">
        <f t="shared" ref="AX7:AX45" si="8">SUM(Y7:AA7)</f>
        <v>2228.1999999999998</v>
      </c>
      <c r="AY7" s="140">
        <f t="shared" ref="AY7:AY45" si="9">SUM(AB7:AD7)</f>
        <v>2228.1999999999998</v>
      </c>
      <c r="AZ7" s="140">
        <f t="shared" ref="AZ7:AZ45" si="10">SUM(AE7:AG7)</f>
        <v>3342.2999999999997</v>
      </c>
      <c r="BA7" s="140">
        <f t="shared" ref="BA7:BA45" si="11">SUM(AH7:AJ7)</f>
        <v>3342.2999999999997</v>
      </c>
      <c r="BB7" s="140">
        <f t="shared" ref="BB7:BB45" si="12">SUM(AK7:AM7)</f>
        <v>2228.1999999999998</v>
      </c>
    </row>
    <row r="8" spans="2:54" x14ac:dyDescent="0.35">
      <c r="C8" s="126" t="s">
        <v>146</v>
      </c>
      <c r="D8" s="138" t="e">
        <f t="shared" ref="D8:AN8" si="13">D9+D18+D25+D33+D38+D42+D43</f>
        <v>#REF!</v>
      </c>
      <c r="E8" s="138" t="e">
        <f t="shared" si="13"/>
        <v>#N/A</v>
      </c>
      <c r="F8" s="138" t="e">
        <f t="shared" si="13"/>
        <v>#N/A</v>
      </c>
      <c r="G8" s="138" t="e">
        <f t="shared" si="13"/>
        <v>#REF!</v>
      </c>
      <c r="H8" s="138" t="e">
        <f t="shared" si="13"/>
        <v>#N/A</v>
      </c>
      <c r="I8" s="138" t="e">
        <f t="shared" si="13"/>
        <v>#N/A</v>
      </c>
      <c r="J8" s="138" t="e">
        <f t="shared" si="13"/>
        <v>#REF!</v>
      </c>
      <c r="K8" s="138" t="e">
        <f t="shared" si="13"/>
        <v>#N/A</v>
      </c>
      <c r="L8" s="138" t="e">
        <f t="shared" si="13"/>
        <v>#N/A</v>
      </c>
      <c r="M8" s="138" t="e">
        <f t="shared" si="13"/>
        <v>#REF!</v>
      </c>
      <c r="N8" s="138" t="e">
        <f t="shared" si="13"/>
        <v>#N/A</v>
      </c>
      <c r="O8" s="138" t="e">
        <f t="shared" si="13"/>
        <v>#REF!</v>
      </c>
      <c r="P8" s="138" t="e">
        <f t="shared" si="13"/>
        <v>#REF!</v>
      </c>
      <c r="Q8" s="138" t="e">
        <f t="shared" si="13"/>
        <v>#N/A</v>
      </c>
      <c r="R8" s="138" t="e">
        <f t="shared" si="13"/>
        <v>#N/A</v>
      </c>
      <c r="S8" s="138" t="e">
        <f t="shared" si="13"/>
        <v>#REF!</v>
      </c>
      <c r="T8" s="138" t="e">
        <f t="shared" si="13"/>
        <v>#N/A</v>
      </c>
      <c r="U8" s="138" t="e">
        <f t="shared" si="13"/>
        <v>#N/A</v>
      </c>
      <c r="V8" s="138" t="e">
        <f t="shared" si="13"/>
        <v>#REF!</v>
      </c>
      <c r="W8" s="138" t="e">
        <f t="shared" si="13"/>
        <v>#N/A</v>
      </c>
      <c r="X8" s="138" t="e">
        <f t="shared" si="13"/>
        <v>#N/A</v>
      </c>
      <c r="Y8" s="138" t="e">
        <f t="shared" si="13"/>
        <v>#REF!</v>
      </c>
      <c r="Z8" s="138" t="e">
        <f t="shared" si="13"/>
        <v>#N/A</v>
      </c>
      <c r="AA8" s="138" t="e">
        <f t="shared" si="13"/>
        <v>#REF!</v>
      </c>
      <c r="AB8" s="138" t="e">
        <f t="shared" si="13"/>
        <v>#REF!</v>
      </c>
      <c r="AC8" s="138" t="e">
        <f t="shared" si="13"/>
        <v>#N/A</v>
      </c>
      <c r="AD8" s="138" t="e">
        <f t="shared" si="13"/>
        <v>#N/A</v>
      </c>
      <c r="AE8" s="138" t="e">
        <f t="shared" si="13"/>
        <v>#REF!</v>
      </c>
      <c r="AF8" s="138" t="e">
        <f t="shared" si="13"/>
        <v>#N/A</v>
      </c>
      <c r="AG8" s="138" t="e">
        <f t="shared" si="13"/>
        <v>#N/A</v>
      </c>
      <c r="AH8" s="138" t="e">
        <f t="shared" si="13"/>
        <v>#REF!</v>
      </c>
      <c r="AI8" s="138" t="e">
        <f t="shared" si="13"/>
        <v>#N/A</v>
      </c>
      <c r="AJ8" s="138" t="e">
        <f t="shared" si="13"/>
        <v>#N/A</v>
      </c>
      <c r="AK8" s="138" t="e">
        <f t="shared" si="13"/>
        <v>#REF!</v>
      </c>
      <c r="AL8" s="138" t="e">
        <f t="shared" si="13"/>
        <v>#N/A</v>
      </c>
      <c r="AM8" s="138" t="e">
        <f t="shared" si="13"/>
        <v>#REF!</v>
      </c>
      <c r="AN8" s="144" t="e">
        <f t="shared" si="13"/>
        <v>#REF!</v>
      </c>
      <c r="AQ8" s="140" t="e">
        <f t="shared" si="1"/>
        <v>#REF!</v>
      </c>
      <c r="AR8" s="140" t="e">
        <f t="shared" si="2"/>
        <v>#REF!</v>
      </c>
      <c r="AS8" s="140" t="e">
        <f t="shared" si="3"/>
        <v>#REF!</v>
      </c>
      <c r="AT8" s="140" t="e">
        <f t="shared" si="4"/>
        <v>#REF!</v>
      </c>
      <c r="AU8" s="140" t="e">
        <f t="shared" si="5"/>
        <v>#REF!</v>
      </c>
      <c r="AV8" s="140" t="e">
        <f t="shared" si="6"/>
        <v>#REF!</v>
      </c>
      <c r="AW8" s="140" t="e">
        <f t="shared" si="7"/>
        <v>#REF!</v>
      </c>
      <c r="AX8" s="140" t="e">
        <f t="shared" si="8"/>
        <v>#REF!</v>
      </c>
      <c r="AY8" s="140" t="e">
        <f t="shared" si="9"/>
        <v>#REF!</v>
      </c>
      <c r="AZ8" s="140" t="e">
        <f t="shared" si="10"/>
        <v>#REF!</v>
      </c>
      <c r="BA8" s="140" t="e">
        <f t="shared" si="11"/>
        <v>#REF!</v>
      </c>
      <c r="BB8" s="140" t="e">
        <f t="shared" si="12"/>
        <v>#REF!</v>
      </c>
    </row>
    <row r="9" spans="2:54" s="126" customFormat="1" x14ac:dyDescent="0.35">
      <c r="C9" s="126" t="s">
        <v>147</v>
      </c>
      <c r="D9" s="139" t="e">
        <f>SUM(D10:D17)</f>
        <v>#REF!</v>
      </c>
      <c r="E9" s="139">
        <f t="shared" ref="E9:AM9" si="14">SUM(E10:E17)</f>
        <v>0</v>
      </c>
      <c r="F9" s="139">
        <f t="shared" si="14"/>
        <v>0</v>
      </c>
      <c r="G9" s="139" t="e">
        <f t="shared" si="14"/>
        <v>#REF!</v>
      </c>
      <c r="H9" s="139">
        <f t="shared" si="14"/>
        <v>0</v>
      </c>
      <c r="I9" s="139">
        <f t="shared" si="14"/>
        <v>0</v>
      </c>
      <c r="J9" s="139" t="e">
        <f t="shared" si="14"/>
        <v>#REF!</v>
      </c>
      <c r="K9" s="139">
        <f t="shared" si="14"/>
        <v>0</v>
      </c>
      <c r="L9" s="139">
        <f t="shared" si="14"/>
        <v>0</v>
      </c>
      <c r="M9" s="139" t="e">
        <f t="shared" si="14"/>
        <v>#REF!</v>
      </c>
      <c r="N9" s="139">
        <f t="shared" si="14"/>
        <v>0</v>
      </c>
      <c r="O9" s="139">
        <f t="shared" si="14"/>
        <v>0</v>
      </c>
      <c r="P9" s="139" t="e">
        <f t="shared" si="14"/>
        <v>#REF!</v>
      </c>
      <c r="Q9" s="139">
        <f t="shared" si="14"/>
        <v>0</v>
      </c>
      <c r="R9" s="139">
        <f t="shared" si="14"/>
        <v>0</v>
      </c>
      <c r="S9" s="139" t="e">
        <f t="shared" si="14"/>
        <v>#REF!</v>
      </c>
      <c r="T9" s="139">
        <f t="shared" si="14"/>
        <v>0</v>
      </c>
      <c r="U9" s="139">
        <f t="shared" si="14"/>
        <v>0</v>
      </c>
      <c r="V9" s="139" t="e">
        <f t="shared" si="14"/>
        <v>#REF!</v>
      </c>
      <c r="W9" s="139">
        <f t="shared" si="14"/>
        <v>0</v>
      </c>
      <c r="X9" s="139">
        <f t="shared" si="14"/>
        <v>0</v>
      </c>
      <c r="Y9" s="139" t="e">
        <f t="shared" si="14"/>
        <v>#REF!</v>
      </c>
      <c r="Z9" s="139">
        <f t="shared" si="14"/>
        <v>0</v>
      </c>
      <c r="AA9" s="139">
        <f t="shared" si="14"/>
        <v>0</v>
      </c>
      <c r="AB9" s="139" t="e">
        <f t="shared" si="14"/>
        <v>#REF!</v>
      </c>
      <c r="AC9" s="139">
        <f t="shared" si="14"/>
        <v>0</v>
      </c>
      <c r="AD9" s="139">
        <f t="shared" si="14"/>
        <v>0</v>
      </c>
      <c r="AE9" s="139" t="e">
        <f t="shared" si="14"/>
        <v>#REF!</v>
      </c>
      <c r="AF9" s="139">
        <f t="shared" si="14"/>
        <v>0</v>
      </c>
      <c r="AG9" s="139">
        <f t="shared" si="14"/>
        <v>0</v>
      </c>
      <c r="AH9" s="139" t="e">
        <f t="shared" si="14"/>
        <v>#REF!</v>
      </c>
      <c r="AI9" s="139">
        <f t="shared" si="14"/>
        <v>0</v>
      </c>
      <c r="AJ9" s="139">
        <f t="shared" si="14"/>
        <v>0</v>
      </c>
      <c r="AK9" s="139" t="e">
        <f t="shared" si="14"/>
        <v>#REF!</v>
      </c>
      <c r="AL9" s="139">
        <f t="shared" si="14"/>
        <v>0</v>
      </c>
      <c r="AM9" s="139" t="e">
        <f t="shared" si="14"/>
        <v>#REF!</v>
      </c>
      <c r="AN9" s="144" t="e">
        <f>SUM(AN10:AN17)</f>
        <v>#REF!</v>
      </c>
      <c r="AQ9" s="144"/>
      <c r="AR9" s="144"/>
      <c r="AS9" s="144"/>
      <c r="AT9" s="144"/>
      <c r="AU9" s="144"/>
      <c r="AV9" s="144"/>
      <c r="AW9" s="144"/>
      <c r="AX9" s="144"/>
      <c r="AY9" s="144"/>
      <c r="AZ9" s="144"/>
      <c r="BA9" s="144"/>
      <c r="BB9" s="144"/>
    </row>
    <row r="10" spans="2:54" outlineLevel="1" x14ac:dyDescent="0.35">
      <c r="C10" s="127" t="s">
        <v>58</v>
      </c>
      <c r="D10" s="138" t="e">
        <f>-SUM(Kosten!F5:F7)</f>
        <v>#REF!</v>
      </c>
      <c r="E10" s="141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 t="e">
        <f t="shared" si="0"/>
        <v>#REF!</v>
      </c>
      <c r="AQ10" s="140" t="e">
        <f t="shared" si="1"/>
        <v>#REF!</v>
      </c>
      <c r="AR10" s="140">
        <f t="shared" si="2"/>
        <v>0</v>
      </c>
      <c r="AS10" s="140">
        <f t="shared" si="3"/>
        <v>0</v>
      </c>
      <c r="AT10" s="140">
        <f t="shared" si="4"/>
        <v>0</v>
      </c>
      <c r="AU10" s="140">
        <f t="shared" si="5"/>
        <v>0</v>
      </c>
      <c r="AV10" s="140">
        <f t="shared" si="6"/>
        <v>0</v>
      </c>
      <c r="AW10" s="140">
        <f t="shared" si="7"/>
        <v>0</v>
      </c>
      <c r="AX10" s="140">
        <f t="shared" si="8"/>
        <v>0</v>
      </c>
      <c r="AY10" s="140">
        <f t="shared" si="9"/>
        <v>0</v>
      </c>
      <c r="AZ10" s="140">
        <f t="shared" si="10"/>
        <v>0</v>
      </c>
      <c r="BA10" s="140">
        <f t="shared" si="11"/>
        <v>0</v>
      </c>
      <c r="BB10" s="140">
        <f t="shared" si="12"/>
        <v>0</v>
      </c>
    </row>
    <row r="11" spans="2:54" outlineLevel="1" x14ac:dyDescent="0.35">
      <c r="C11" s="127" t="s">
        <v>59</v>
      </c>
      <c r="D11" s="138" t="e">
        <f>-SUM(Kosten!G5:G7)</f>
        <v>#REF!</v>
      </c>
      <c r="E11" s="138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 t="e">
        <f t="shared" si="0"/>
        <v>#REF!</v>
      </c>
      <c r="AQ11" s="140" t="e">
        <f t="shared" si="1"/>
        <v>#REF!</v>
      </c>
      <c r="AR11" s="140">
        <f t="shared" si="2"/>
        <v>0</v>
      </c>
      <c r="AS11" s="140">
        <f t="shared" si="3"/>
        <v>0</v>
      </c>
      <c r="AT11" s="140">
        <f t="shared" si="4"/>
        <v>0</v>
      </c>
      <c r="AU11" s="140">
        <f t="shared" si="5"/>
        <v>0</v>
      </c>
      <c r="AV11" s="140">
        <f t="shared" si="6"/>
        <v>0</v>
      </c>
      <c r="AW11" s="140">
        <f t="shared" si="7"/>
        <v>0</v>
      </c>
      <c r="AX11" s="140">
        <f t="shared" si="8"/>
        <v>0</v>
      </c>
      <c r="AY11" s="140">
        <f t="shared" si="9"/>
        <v>0</v>
      </c>
      <c r="AZ11" s="140">
        <f t="shared" si="10"/>
        <v>0</v>
      </c>
      <c r="BA11" s="140">
        <f t="shared" si="11"/>
        <v>0</v>
      </c>
      <c r="BB11" s="140">
        <f t="shared" si="12"/>
        <v>0</v>
      </c>
    </row>
    <row r="12" spans="2:54" outlineLevel="1" x14ac:dyDescent="0.35">
      <c r="C12" s="127" t="s">
        <v>62</v>
      </c>
      <c r="D12" s="138" t="e">
        <f>-SUM(Kosten!$M$5:$M$7)</f>
        <v>#REF!</v>
      </c>
      <c r="E12" s="138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8" t="e">
        <f>-SUM(Kosten!$M$5:$M$7)</f>
        <v>#REF!</v>
      </c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38" t="e">
        <f>-SUM(Kosten!$M$5:$M$7)</f>
        <v>#REF!</v>
      </c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 t="e">
        <f t="shared" si="0"/>
        <v>#REF!</v>
      </c>
      <c r="AQ12" s="140" t="e">
        <f t="shared" si="1"/>
        <v>#REF!</v>
      </c>
      <c r="AR12" s="140">
        <f t="shared" si="2"/>
        <v>0</v>
      </c>
      <c r="AS12" s="140">
        <f t="shared" si="3"/>
        <v>0</v>
      </c>
      <c r="AT12" s="140">
        <f t="shared" si="4"/>
        <v>0</v>
      </c>
      <c r="AU12" s="140" t="e">
        <f t="shared" si="5"/>
        <v>#REF!</v>
      </c>
      <c r="AV12" s="140">
        <f t="shared" si="6"/>
        <v>0</v>
      </c>
      <c r="AW12" s="140">
        <f t="shared" si="7"/>
        <v>0</v>
      </c>
      <c r="AX12" s="140">
        <f t="shared" si="8"/>
        <v>0</v>
      </c>
      <c r="AY12" s="140" t="e">
        <f t="shared" si="9"/>
        <v>#REF!</v>
      </c>
      <c r="AZ12" s="140">
        <f t="shared" si="10"/>
        <v>0</v>
      </c>
      <c r="BA12" s="140">
        <f t="shared" si="11"/>
        <v>0</v>
      </c>
      <c r="BB12" s="140">
        <f t="shared" si="12"/>
        <v>0</v>
      </c>
    </row>
    <row r="13" spans="2:54" outlineLevel="1" x14ac:dyDescent="0.35">
      <c r="C13" s="127" t="s">
        <v>72</v>
      </c>
      <c r="D13" s="138" t="e">
        <f>-SUM(Kosten!H5:H7)</f>
        <v>#REF!</v>
      </c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 t="e">
        <f t="shared" si="0"/>
        <v>#REF!</v>
      </c>
      <c r="AQ13" s="140" t="e">
        <f t="shared" si="1"/>
        <v>#REF!</v>
      </c>
      <c r="AR13" s="140">
        <f t="shared" si="2"/>
        <v>0</v>
      </c>
      <c r="AS13" s="140">
        <f t="shared" si="3"/>
        <v>0</v>
      </c>
      <c r="AT13" s="140">
        <f t="shared" si="4"/>
        <v>0</v>
      </c>
      <c r="AU13" s="140">
        <f t="shared" si="5"/>
        <v>0</v>
      </c>
      <c r="AV13" s="140">
        <f t="shared" si="6"/>
        <v>0</v>
      </c>
      <c r="AW13" s="140">
        <f t="shared" si="7"/>
        <v>0</v>
      </c>
      <c r="AX13" s="140">
        <f t="shared" si="8"/>
        <v>0</v>
      </c>
      <c r="AY13" s="140">
        <f t="shared" si="9"/>
        <v>0</v>
      </c>
      <c r="AZ13" s="140">
        <f t="shared" si="10"/>
        <v>0</v>
      </c>
      <c r="BA13" s="140">
        <f t="shared" si="11"/>
        <v>0</v>
      </c>
      <c r="BB13" s="140">
        <f t="shared" si="12"/>
        <v>0</v>
      </c>
    </row>
    <row r="14" spans="2:54" outlineLevel="1" x14ac:dyDescent="0.35">
      <c r="C14" s="127" t="s">
        <v>148</v>
      </c>
      <c r="D14" s="138" t="e">
        <f>-Kosten!F8-Kosten!H8</f>
        <v>#REF!</v>
      </c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</row>
    <row r="15" spans="2:54" outlineLevel="1" x14ac:dyDescent="0.35">
      <c r="C15" s="127" t="s">
        <v>74</v>
      </c>
      <c r="D15" s="138"/>
      <c r="E15" s="138"/>
      <c r="F15" s="138"/>
      <c r="G15" s="138" t="e">
        <f>-SUM(Kosten!$J$5:$J$7)/3</f>
        <v>#REF!</v>
      </c>
      <c r="H15" s="138"/>
      <c r="I15" s="138"/>
      <c r="J15" s="138" t="e">
        <f>-SUM(Kosten!$J$5:$J$7)/3</f>
        <v>#REF!</v>
      </c>
      <c r="K15" s="138"/>
      <c r="L15" s="138"/>
      <c r="M15" s="138" t="e">
        <f>-SUM(Kosten!$J$5:$J$7)/3</f>
        <v>#REF!</v>
      </c>
      <c r="N15" s="138"/>
      <c r="O15" s="138"/>
      <c r="Q15" s="140"/>
      <c r="R15" s="140"/>
      <c r="S15" s="138" t="e">
        <f>-SUM(Kosten!$J$5:$J$7)/3</f>
        <v>#REF!</v>
      </c>
      <c r="T15" s="140"/>
      <c r="U15" s="140"/>
      <c r="V15" s="138" t="e">
        <f>-SUM(Kosten!$J$5:$J$7)/3</f>
        <v>#REF!</v>
      </c>
      <c r="W15" s="140"/>
      <c r="X15" s="140"/>
      <c r="Y15" s="138" t="e">
        <f>-SUM(Kosten!$J$5:$J$7)/3</f>
        <v>#REF!</v>
      </c>
      <c r="Z15" s="140"/>
      <c r="AA15" s="140"/>
      <c r="AB15" s="138"/>
      <c r="AC15" s="140"/>
      <c r="AD15" s="140"/>
      <c r="AE15" s="138" t="e">
        <f>-SUM(Kosten!$J$5:$J$7)/3</f>
        <v>#REF!</v>
      </c>
      <c r="AF15" s="140"/>
      <c r="AG15" s="140"/>
      <c r="AH15" s="138" t="e">
        <f>-SUM(Kosten!$J$5:$J$7)/3</f>
        <v>#REF!</v>
      </c>
      <c r="AI15" s="140"/>
      <c r="AJ15" s="140"/>
      <c r="AK15" s="138" t="e">
        <f>-SUM(Kosten!$J$5:$J$7)/3</f>
        <v>#REF!</v>
      </c>
      <c r="AL15" s="140"/>
      <c r="AM15" s="140"/>
      <c r="AN15" s="140" t="e">
        <f t="shared" si="0"/>
        <v>#REF!</v>
      </c>
      <c r="AQ15" s="140">
        <f t="shared" si="1"/>
        <v>0</v>
      </c>
      <c r="AR15" s="140" t="e">
        <f t="shared" si="2"/>
        <v>#REF!</v>
      </c>
      <c r="AS15" s="140" t="e">
        <f t="shared" si="3"/>
        <v>#REF!</v>
      </c>
      <c r="AT15" s="140" t="e">
        <f>SUM(M15:O15)</f>
        <v>#REF!</v>
      </c>
      <c r="AU15" s="140" t="e">
        <f>SUM(M15:R15)</f>
        <v>#REF!</v>
      </c>
      <c r="AV15" s="140" t="e">
        <f t="shared" si="6"/>
        <v>#REF!</v>
      </c>
      <c r="AW15" s="140" t="e">
        <f t="shared" si="7"/>
        <v>#REF!</v>
      </c>
      <c r="AX15" s="140" t="e">
        <f t="shared" si="8"/>
        <v>#REF!</v>
      </c>
      <c r="AY15" s="140">
        <f t="shared" si="9"/>
        <v>0</v>
      </c>
      <c r="AZ15" s="140" t="e">
        <f t="shared" si="10"/>
        <v>#REF!</v>
      </c>
      <c r="BA15" s="140" t="e">
        <f t="shared" si="11"/>
        <v>#REF!</v>
      </c>
      <c r="BB15" s="140" t="e">
        <f t="shared" si="12"/>
        <v>#REF!</v>
      </c>
    </row>
    <row r="16" spans="2:54" outlineLevel="1" x14ac:dyDescent="0.35">
      <c r="C16" s="127" t="s">
        <v>73</v>
      </c>
      <c r="D16" s="138"/>
      <c r="E16" s="138"/>
      <c r="F16" s="138"/>
      <c r="G16" s="138"/>
      <c r="H16" s="138"/>
      <c r="I16" s="138"/>
      <c r="J16" s="138"/>
      <c r="K16" s="138"/>
      <c r="L16" s="138"/>
      <c r="N16" s="138"/>
      <c r="O16" s="138"/>
      <c r="P16" s="138" t="e">
        <f>-SUM(Kosten!$I$5:$I$7)</f>
        <v>#REF!</v>
      </c>
      <c r="Q16" s="140"/>
      <c r="R16" s="140"/>
      <c r="S16" s="140"/>
      <c r="T16" s="140"/>
      <c r="U16" s="140"/>
      <c r="V16" s="140"/>
      <c r="W16" s="140"/>
      <c r="X16" s="140"/>
      <c r="Z16" s="140"/>
      <c r="AA16" s="140"/>
      <c r="AB16" s="138" t="e">
        <f>-SUM(Kosten!$I$5:$I$7)</f>
        <v>#REF!</v>
      </c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 t="e">
        <f t="shared" si="0"/>
        <v>#REF!</v>
      </c>
      <c r="AQ16" s="140">
        <f t="shared" si="1"/>
        <v>0</v>
      </c>
      <c r="AR16" s="140">
        <f t="shared" si="2"/>
        <v>0</v>
      </c>
      <c r="AS16" s="140">
        <f t="shared" si="3"/>
        <v>0</v>
      </c>
      <c r="AT16" s="140">
        <f t="shared" si="4"/>
        <v>0</v>
      </c>
      <c r="AU16" s="140" t="e">
        <f>SUM(P16:R16)</f>
        <v>#REF!</v>
      </c>
      <c r="AV16" s="140">
        <f t="shared" si="6"/>
        <v>0</v>
      </c>
      <c r="AW16" s="140">
        <f t="shared" si="7"/>
        <v>0</v>
      </c>
      <c r="AX16" s="140">
        <f t="shared" si="8"/>
        <v>0</v>
      </c>
      <c r="AY16" s="140" t="e">
        <f>SUM(AB16:AD16)</f>
        <v>#REF!</v>
      </c>
      <c r="AZ16" s="140">
        <f t="shared" si="10"/>
        <v>0</v>
      </c>
      <c r="BA16" s="140">
        <f t="shared" si="11"/>
        <v>0</v>
      </c>
      <c r="BB16" s="140">
        <f t="shared" si="12"/>
        <v>0</v>
      </c>
    </row>
    <row r="17" spans="3:54" outlineLevel="1" x14ac:dyDescent="0.35">
      <c r="C17" s="127" t="s">
        <v>61</v>
      </c>
      <c r="D17" s="138"/>
      <c r="E17" s="138"/>
      <c r="F17" s="138"/>
      <c r="G17" s="138"/>
      <c r="H17" s="138"/>
      <c r="I17" s="138"/>
      <c r="J17" s="138"/>
      <c r="K17" s="138"/>
      <c r="L17" s="138"/>
      <c r="M17" s="138"/>
      <c r="N17" s="138"/>
      <c r="O17" s="138"/>
      <c r="P17" s="140"/>
      <c r="Q17" s="140"/>
      <c r="R17" s="140"/>
      <c r="S17" s="140"/>
      <c r="T17" s="140"/>
      <c r="U17" s="140"/>
      <c r="V17" s="140"/>
      <c r="W17" s="140"/>
      <c r="X17" s="140"/>
      <c r="Y17" s="138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 t="e">
        <f>-SUM(Kosten!$N$5:$N$7)</f>
        <v>#REF!</v>
      </c>
      <c r="AN17" s="140" t="e">
        <f t="shared" si="0"/>
        <v>#REF!</v>
      </c>
      <c r="AQ17" s="140">
        <f t="shared" si="1"/>
        <v>0</v>
      </c>
      <c r="AR17" s="140">
        <f t="shared" si="2"/>
        <v>0</v>
      </c>
      <c r="AS17" s="140">
        <f t="shared" si="3"/>
        <v>0</v>
      </c>
      <c r="AT17" s="140">
        <f t="shared" si="4"/>
        <v>0</v>
      </c>
      <c r="AU17" s="140">
        <f t="shared" si="5"/>
        <v>0</v>
      </c>
      <c r="AV17" s="140">
        <f t="shared" si="6"/>
        <v>0</v>
      </c>
      <c r="AW17" s="140">
        <f t="shared" si="7"/>
        <v>0</v>
      </c>
      <c r="AX17" s="140">
        <f t="shared" si="8"/>
        <v>0</v>
      </c>
      <c r="AY17" s="140">
        <f t="shared" si="9"/>
        <v>0</v>
      </c>
      <c r="AZ17" s="140">
        <f t="shared" si="10"/>
        <v>0</v>
      </c>
      <c r="BA17" s="140">
        <f t="shared" si="11"/>
        <v>0</v>
      </c>
      <c r="BB17" s="140" t="e">
        <f t="shared" si="12"/>
        <v>#REF!</v>
      </c>
    </row>
    <row r="18" spans="3:54" s="126" customFormat="1" x14ac:dyDescent="0.35">
      <c r="C18" s="126" t="s">
        <v>90</v>
      </c>
      <c r="D18" s="139" t="e">
        <f>SUM(D19:D24)</f>
        <v>#REF!</v>
      </c>
      <c r="E18" s="139">
        <f t="shared" ref="E18:AM18" si="15">SUM(E19:E24)</f>
        <v>0</v>
      </c>
      <c r="F18" s="139">
        <f t="shared" si="15"/>
        <v>0</v>
      </c>
      <c r="G18" s="139">
        <f t="shared" si="15"/>
        <v>0</v>
      </c>
      <c r="H18" s="139">
        <f t="shared" si="15"/>
        <v>0</v>
      </c>
      <c r="I18" s="139">
        <f t="shared" si="15"/>
        <v>0</v>
      </c>
      <c r="J18" s="139">
        <f t="shared" si="15"/>
        <v>0</v>
      </c>
      <c r="K18" s="139">
        <f t="shared" si="15"/>
        <v>0</v>
      </c>
      <c r="L18" s="139">
        <f t="shared" si="15"/>
        <v>0</v>
      </c>
      <c r="M18" s="139">
        <f t="shared" si="15"/>
        <v>0</v>
      </c>
      <c r="N18" s="139">
        <f t="shared" si="15"/>
        <v>0</v>
      </c>
      <c r="O18" s="139" t="e">
        <f t="shared" si="15"/>
        <v>#REF!</v>
      </c>
      <c r="P18" s="139" t="e">
        <f t="shared" si="15"/>
        <v>#REF!</v>
      </c>
      <c r="Q18" s="139">
        <f t="shared" si="15"/>
        <v>0</v>
      </c>
      <c r="R18" s="139">
        <f t="shared" si="15"/>
        <v>0</v>
      </c>
      <c r="S18" s="139">
        <f t="shared" si="15"/>
        <v>0</v>
      </c>
      <c r="T18" s="139">
        <f t="shared" si="15"/>
        <v>0</v>
      </c>
      <c r="U18" s="139">
        <f t="shared" si="15"/>
        <v>0</v>
      </c>
      <c r="V18" s="139">
        <f t="shared" si="15"/>
        <v>0</v>
      </c>
      <c r="W18" s="139">
        <f t="shared" si="15"/>
        <v>0</v>
      </c>
      <c r="X18" s="139">
        <f t="shared" si="15"/>
        <v>0</v>
      </c>
      <c r="Y18" s="139">
        <f t="shared" si="15"/>
        <v>0</v>
      </c>
      <c r="Z18" s="139">
        <f t="shared" si="15"/>
        <v>0</v>
      </c>
      <c r="AA18" s="139" t="e">
        <f t="shared" si="15"/>
        <v>#REF!</v>
      </c>
      <c r="AB18" s="139" t="e">
        <f t="shared" si="15"/>
        <v>#REF!</v>
      </c>
      <c r="AC18" s="139">
        <f t="shared" si="15"/>
        <v>0</v>
      </c>
      <c r="AD18" s="139">
        <f t="shared" si="15"/>
        <v>0</v>
      </c>
      <c r="AE18" s="139">
        <f t="shared" si="15"/>
        <v>0</v>
      </c>
      <c r="AF18" s="139">
        <f t="shared" si="15"/>
        <v>0</v>
      </c>
      <c r="AG18" s="139">
        <f t="shared" si="15"/>
        <v>0</v>
      </c>
      <c r="AH18" s="139">
        <f t="shared" si="15"/>
        <v>0</v>
      </c>
      <c r="AI18" s="139">
        <f t="shared" si="15"/>
        <v>0</v>
      </c>
      <c r="AJ18" s="139">
        <f t="shared" si="15"/>
        <v>0</v>
      </c>
      <c r="AK18" s="139">
        <f t="shared" si="15"/>
        <v>0</v>
      </c>
      <c r="AL18" s="139">
        <f t="shared" si="15"/>
        <v>0</v>
      </c>
      <c r="AM18" s="139" t="e">
        <f t="shared" si="15"/>
        <v>#REF!</v>
      </c>
      <c r="AN18" s="144" t="e">
        <f>SUM(AN19:AN24)</f>
        <v>#REF!</v>
      </c>
      <c r="AQ18" s="144"/>
      <c r="AR18" s="144"/>
      <c r="AS18" s="144"/>
      <c r="AT18" s="144"/>
      <c r="AU18" s="144"/>
      <c r="AV18" s="144"/>
      <c r="AW18" s="144"/>
      <c r="AX18" s="144"/>
      <c r="AY18" s="144"/>
      <c r="AZ18" s="144"/>
      <c r="BA18" s="144"/>
      <c r="BB18" s="144"/>
    </row>
    <row r="19" spans="3:54" hidden="1" outlineLevel="1" x14ac:dyDescent="0.35">
      <c r="C19" s="127" t="s">
        <v>58</v>
      </c>
      <c r="D19" s="138" t="e">
        <f>-SUM(Kosten!$F$10:$F$11)</f>
        <v>#REF!</v>
      </c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 t="e">
        <f t="shared" si="0"/>
        <v>#REF!</v>
      </c>
      <c r="AQ19" s="140" t="e">
        <f t="shared" si="1"/>
        <v>#REF!</v>
      </c>
      <c r="AR19" s="140">
        <f t="shared" si="2"/>
        <v>0</v>
      </c>
      <c r="AS19" s="140">
        <f t="shared" si="3"/>
        <v>0</v>
      </c>
      <c r="AT19" s="140">
        <f t="shared" si="4"/>
        <v>0</v>
      </c>
      <c r="AU19" s="140">
        <f t="shared" si="5"/>
        <v>0</v>
      </c>
      <c r="AV19" s="140">
        <f t="shared" si="6"/>
        <v>0</v>
      </c>
      <c r="AW19" s="140">
        <f t="shared" si="7"/>
        <v>0</v>
      </c>
      <c r="AX19" s="140">
        <f t="shared" si="8"/>
        <v>0</v>
      </c>
      <c r="AY19" s="140">
        <f t="shared" si="9"/>
        <v>0</v>
      </c>
      <c r="AZ19" s="140">
        <f t="shared" si="10"/>
        <v>0</v>
      </c>
      <c r="BA19" s="140">
        <f t="shared" si="11"/>
        <v>0</v>
      </c>
      <c r="BB19" s="140">
        <f t="shared" si="12"/>
        <v>0</v>
      </c>
    </row>
    <row r="20" spans="3:54" hidden="1" outlineLevel="1" x14ac:dyDescent="0.35">
      <c r="C20" s="127" t="s">
        <v>59</v>
      </c>
      <c r="D20" s="138" t="e">
        <f>-SUM(Kosten!$G$10:$G$11)</f>
        <v>#REF!</v>
      </c>
      <c r="E20" s="138"/>
      <c r="F20" s="138"/>
      <c r="G20" s="138"/>
      <c r="H20" s="138"/>
      <c r="I20" s="138"/>
      <c r="J20" s="138"/>
      <c r="K20" s="138"/>
      <c r="L20" s="138"/>
      <c r="M20" s="138"/>
      <c r="N20" s="138"/>
      <c r="O20" s="138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 t="e">
        <f t="shared" si="0"/>
        <v>#REF!</v>
      </c>
      <c r="AQ20" s="140" t="e">
        <f t="shared" si="1"/>
        <v>#REF!</v>
      </c>
      <c r="AR20" s="140">
        <f t="shared" si="2"/>
        <v>0</v>
      </c>
      <c r="AS20" s="140">
        <f t="shared" si="3"/>
        <v>0</v>
      </c>
      <c r="AT20" s="140">
        <f t="shared" si="4"/>
        <v>0</v>
      </c>
      <c r="AU20" s="140">
        <f t="shared" si="5"/>
        <v>0</v>
      </c>
      <c r="AV20" s="140">
        <f t="shared" si="6"/>
        <v>0</v>
      </c>
      <c r="AW20" s="140">
        <f t="shared" si="7"/>
        <v>0</v>
      </c>
      <c r="AX20" s="140">
        <f t="shared" si="8"/>
        <v>0</v>
      </c>
      <c r="AY20" s="140">
        <f t="shared" si="9"/>
        <v>0</v>
      </c>
      <c r="AZ20" s="140">
        <f t="shared" si="10"/>
        <v>0</v>
      </c>
      <c r="BA20" s="140">
        <f t="shared" si="11"/>
        <v>0</v>
      </c>
      <c r="BB20" s="140">
        <f t="shared" si="12"/>
        <v>0</v>
      </c>
    </row>
    <row r="21" spans="3:54" hidden="1" outlineLevel="1" x14ac:dyDescent="0.35">
      <c r="C21" s="127" t="s">
        <v>62</v>
      </c>
      <c r="D21" s="138" t="e">
        <f>-SUM(Kosten!$M$10:$M$11)</f>
        <v>#REF!</v>
      </c>
      <c r="E21" s="138"/>
      <c r="F21" s="138"/>
      <c r="G21" s="138"/>
      <c r="H21" s="138"/>
      <c r="I21" s="138"/>
      <c r="J21" s="138"/>
      <c r="K21" s="138"/>
      <c r="L21" s="138"/>
      <c r="M21" s="138"/>
      <c r="N21" s="138"/>
      <c r="O21" s="138"/>
      <c r="P21" s="138" t="e">
        <f>-SUM(Kosten!$M$10:$M$11)</f>
        <v>#REF!</v>
      </c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38" t="e">
        <f>-SUM(Kosten!$M$10:$M$11)</f>
        <v>#REF!</v>
      </c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 t="e">
        <f t="shared" si="0"/>
        <v>#REF!</v>
      </c>
      <c r="AQ21" s="140" t="e">
        <f t="shared" si="1"/>
        <v>#REF!</v>
      </c>
      <c r="AR21" s="140">
        <f t="shared" si="2"/>
        <v>0</v>
      </c>
      <c r="AS21" s="140">
        <f t="shared" si="3"/>
        <v>0</v>
      </c>
      <c r="AT21" s="140">
        <f t="shared" si="4"/>
        <v>0</v>
      </c>
      <c r="AU21" s="140" t="e">
        <f t="shared" si="5"/>
        <v>#REF!</v>
      </c>
      <c r="AV21" s="140">
        <f t="shared" si="6"/>
        <v>0</v>
      </c>
      <c r="AW21" s="140">
        <f t="shared" si="7"/>
        <v>0</v>
      </c>
      <c r="AX21" s="140">
        <f t="shared" si="8"/>
        <v>0</v>
      </c>
      <c r="AY21" s="140" t="e">
        <f t="shared" si="9"/>
        <v>#REF!</v>
      </c>
      <c r="AZ21" s="140">
        <f t="shared" si="10"/>
        <v>0</v>
      </c>
      <c r="BA21" s="140">
        <f t="shared" si="11"/>
        <v>0</v>
      </c>
      <c r="BB21" s="140">
        <f t="shared" si="12"/>
        <v>0</v>
      </c>
    </row>
    <row r="22" spans="3:54" hidden="1" outlineLevel="1" x14ac:dyDescent="0.35">
      <c r="C22" s="127" t="s">
        <v>72</v>
      </c>
      <c r="D22" s="138" t="e">
        <f>-SUM(Kosten!$H$10:$H$11)</f>
        <v>#REF!</v>
      </c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 t="e">
        <f t="shared" si="0"/>
        <v>#REF!</v>
      </c>
      <c r="AQ22" s="140" t="e">
        <f t="shared" si="1"/>
        <v>#REF!</v>
      </c>
      <c r="AR22" s="140">
        <f t="shared" si="2"/>
        <v>0</v>
      </c>
      <c r="AS22" s="140">
        <f t="shared" si="3"/>
        <v>0</v>
      </c>
      <c r="AT22" s="140">
        <f t="shared" si="4"/>
        <v>0</v>
      </c>
      <c r="AU22" s="140">
        <f t="shared" si="5"/>
        <v>0</v>
      </c>
      <c r="AV22" s="140">
        <f t="shared" si="6"/>
        <v>0</v>
      </c>
      <c r="AW22" s="140">
        <f t="shared" si="7"/>
        <v>0</v>
      </c>
      <c r="AX22" s="140">
        <f t="shared" si="8"/>
        <v>0</v>
      </c>
      <c r="AY22" s="140">
        <f t="shared" si="9"/>
        <v>0</v>
      </c>
      <c r="AZ22" s="140">
        <f t="shared" si="10"/>
        <v>0</v>
      </c>
      <c r="BA22" s="140">
        <f t="shared" si="11"/>
        <v>0</v>
      </c>
      <c r="BB22" s="140">
        <f t="shared" si="12"/>
        <v>0</v>
      </c>
    </row>
    <row r="23" spans="3:54" hidden="1" outlineLevel="1" x14ac:dyDescent="0.35">
      <c r="C23" s="127" t="s">
        <v>73</v>
      </c>
      <c r="D23" s="138"/>
      <c r="E23" s="138"/>
      <c r="F23" s="138"/>
      <c r="G23" s="138"/>
      <c r="H23" s="138"/>
      <c r="I23" s="138"/>
      <c r="J23" s="138"/>
      <c r="K23" s="138"/>
      <c r="L23" s="138"/>
      <c r="N23" s="138"/>
      <c r="O23" s="138" t="e">
        <f>-SUM(Kosten!$I$10:$I$11)</f>
        <v>#REF!</v>
      </c>
      <c r="P23" s="140"/>
      <c r="Q23" s="140"/>
      <c r="R23" s="140"/>
      <c r="S23" s="140"/>
      <c r="T23" s="140"/>
      <c r="U23" s="140"/>
      <c r="V23" s="140"/>
      <c r="W23" s="140"/>
      <c r="X23" s="140"/>
      <c r="Z23" s="140"/>
      <c r="AA23" s="138" t="e">
        <f>-SUM(Kosten!$I$10:$I$11)</f>
        <v>#REF!</v>
      </c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 t="e">
        <f t="shared" si="0"/>
        <v>#REF!</v>
      </c>
      <c r="AQ23" s="140">
        <f t="shared" si="1"/>
        <v>0</v>
      </c>
      <c r="AR23" s="140">
        <f t="shared" si="2"/>
        <v>0</v>
      </c>
      <c r="AS23" s="140">
        <f t="shared" si="3"/>
        <v>0</v>
      </c>
      <c r="AT23" s="140" t="e">
        <f>SUM(N23:O23)</f>
        <v>#REF!</v>
      </c>
      <c r="AU23" s="140">
        <f t="shared" si="5"/>
        <v>0</v>
      </c>
      <c r="AV23" s="140">
        <f t="shared" si="6"/>
        <v>0</v>
      </c>
      <c r="AW23" s="140">
        <f t="shared" si="7"/>
        <v>0</v>
      </c>
      <c r="AX23" s="140" t="e">
        <f>SUM(Z23:AA23)</f>
        <v>#REF!</v>
      </c>
      <c r="AY23" s="140">
        <f t="shared" si="9"/>
        <v>0</v>
      </c>
      <c r="AZ23" s="140">
        <f t="shared" si="10"/>
        <v>0</v>
      </c>
      <c r="BA23" s="140">
        <f t="shared" si="11"/>
        <v>0</v>
      </c>
      <c r="BB23" s="140">
        <f t="shared" si="12"/>
        <v>0</v>
      </c>
    </row>
    <row r="24" spans="3:54" hidden="1" outlineLevel="1" x14ac:dyDescent="0.35">
      <c r="C24" s="127" t="s">
        <v>61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40"/>
      <c r="Q24" s="140"/>
      <c r="R24" s="140"/>
      <c r="S24" s="140"/>
      <c r="T24" s="140"/>
      <c r="U24" s="140"/>
      <c r="V24" s="140"/>
      <c r="W24" s="140"/>
      <c r="X24" s="140"/>
      <c r="Y24" s="138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 t="e">
        <f>-SUM(Kosten!$N$10:$N$11)</f>
        <v>#REF!</v>
      </c>
      <c r="AN24" s="140" t="e">
        <f t="shared" si="0"/>
        <v>#REF!</v>
      </c>
      <c r="AQ24" s="140">
        <f t="shared" si="1"/>
        <v>0</v>
      </c>
      <c r="AR24" s="140">
        <f t="shared" si="2"/>
        <v>0</v>
      </c>
      <c r="AS24" s="140">
        <f t="shared" si="3"/>
        <v>0</v>
      </c>
      <c r="AT24" s="140">
        <f t="shared" si="4"/>
        <v>0</v>
      </c>
      <c r="AU24" s="140">
        <f t="shared" si="5"/>
        <v>0</v>
      </c>
      <c r="AV24" s="140">
        <f t="shared" si="6"/>
        <v>0</v>
      </c>
      <c r="AW24" s="140">
        <f t="shared" si="7"/>
        <v>0</v>
      </c>
      <c r="AX24" s="140">
        <f t="shared" si="8"/>
        <v>0</v>
      </c>
      <c r="AY24" s="140">
        <f t="shared" si="9"/>
        <v>0</v>
      </c>
      <c r="AZ24" s="140">
        <f t="shared" si="10"/>
        <v>0</v>
      </c>
      <c r="BA24" s="140">
        <f t="shared" si="11"/>
        <v>0</v>
      </c>
      <c r="BB24" s="140" t="e">
        <f t="shared" si="12"/>
        <v>#REF!</v>
      </c>
    </row>
    <row r="25" spans="3:54" s="126" customFormat="1" collapsed="1" x14ac:dyDescent="0.35">
      <c r="C25" s="126" t="s">
        <v>40</v>
      </c>
      <c r="D25" s="139" t="e">
        <f>SUM(D26:D32)</f>
        <v>#N/A</v>
      </c>
      <c r="E25" s="139" t="e">
        <f t="shared" ref="E25:AM25" si="16">SUM(E26:E32)</f>
        <v>#N/A</v>
      </c>
      <c r="F25" s="139" t="e">
        <f t="shared" si="16"/>
        <v>#N/A</v>
      </c>
      <c r="G25" s="139" t="e">
        <f t="shared" si="16"/>
        <v>#N/A</v>
      </c>
      <c r="H25" s="139" t="e">
        <f t="shared" si="16"/>
        <v>#N/A</v>
      </c>
      <c r="I25" s="139" t="e">
        <f t="shared" si="16"/>
        <v>#N/A</v>
      </c>
      <c r="J25" s="139" t="e">
        <f t="shared" si="16"/>
        <v>#N/A</v>
      </c>
      <c r="K25" s="139" t="e">
        <f t="shared" si="16"/>
        <v>#N/A</v>
      </c>
      <c r="L25" s="139" t="e">
        <f t="shared" si="16"/>
        <v>#N/A</v>
      </c>
      <c r="M25" s="139" t="e">
        <f t="shared" si="16"/>
        <v>#N/A</v>
      </c>
      <c r="N25" s="139" t="e">
        <f t="shared" si="16"/>
        <v>#N/A</v>
      </c>
      <c r="O25" s="139" t="e">
        <f t="shared" si="16"/>
        <v>#N/A</v>
      </c>
      <c r="P25" s="139" t="e">
        <f t="shared" si="16"/>
        <v>#N/A</v>
      </c>
      <c r="Q25" s="139" t="e">
        <f t="shared" si="16"/>
        <v>#N/A</v>
      </c>
      <c r="R25" s="139" t="e">
        <f t="shared" si="16"/>
        <v>#N/A</v>
      </c>
      <c r="S25" s="139" t="e">
        <f t="shared" si="16"/>
        <v>#N/A</v>
      </c>
      <c r="T25" s="139" t="e">
        <f t="shared" si="16"/>
        <v>#N/A</v>
      </c>
      <c r="U25" s="139" t="e">
        <f t="shared" si="16"/>
        <v>#N/A</v>
      </c>
      <c r="V25" s="139" t="e">
        <f t="shared" si="16"/>
        <v>#N/A</v>
      </c>
      <c r="W25" s="139" t="e">
        <f t="shared" si="16"/>
        <v>#N/A</v>
      </c>
      <c r="X25" s="139" t="e">
        <f t="shared" si="16"/>
        <v>#N/A</v>
      </c>
      <c r="Y25" s="139" t="e">
        <f t="shared" si="16"/>
        <v>#N/A</v>
      </c>
      <c r="Z25" s="139" t="e">
        <f t="shared" si="16"/>
        <v>#N/A</v>
      </c>
      <c r="AA25" s="139" t="e">
        <f t="shared" si="16"/>
        <v>#N/A</v>
      </c>
      <c r="AB25" s="139" t="e">
        <f t="shared" si="16"/>
        <v>#N/A</v>
      </c>
      <c r="AC25" s="139" t="e">
        <f t="shared" si="16"/>
        <v>#N/A</v>
      </c>
      <c r="AD25" s="139" t="e">
        <f t="shared" si="16"/>
        <v>#N/A</v>
      </c>
      <c r="AE25" s="139" t="e">
        <f t="shared" si="16"/>
        <v>#N/A</v>
      </c>
      <c r="AF25" s="139" t="e">
        <f t="shared" si="16"/>
        <v>#N/A</v>
      </c>
      <c r="AG25" s="139" t="e">
        <f t="shared" si="16"/>
        <v>#N/A</v>
      </c>
      <c r="AH25" s="139" t="e">
        <f t="shared" si="16"/>
        <v>#N/A</v>
      </c>
      <c r="AI25" s="139" t="e">
        <f t="shared" si="16"/>
        <v>#N/A</v>
      </c>
      <c r="AJ25" s="139" t="e">
        <f t="shared" si="16"/>
        <v>#N/A</v>
      </c>
      <c r="AK25" s="139" t="e">
        <f t="shared" si="16"/>
        <v>#N/A</v>
      </c>
      <c r="AL25" s="139" t="e">
        <f t="shared" si="16"/>
        <v>#N/A</v>
      </c>
      <c r="AM25" s="139" t="e">
        <f t="shared" si="16"/>
        <v>#N/A</v>
      </c>
      <c r="AN25" s="144" t="e">
        <f>SUM(AN26:AN32)</f>
        <v>#N/A</v>
      </c>
      <c r="AQ25" s="144"/>
      <c r="AR25" s="144"/>
      <c r="AS25" s="144"/>
      <c r="AT25" s="144"/>
      <c r="AU25" s="144"/>
      <c r="AV25" s="144"/>
      <c r="AW25" s="144"/>
      <c r="AX25" s="144"/>
      <c r="AY25" s="144"/>
      <c r="AZ25" s="144"/>
      <c r="BA25" s="144"/>
      <c r="BB25" s="144"/>
    </row>
    <row r="26" spans="3:54" hidden="1" outlineLevel="1" x14ac:dyDescent="0.35">
      <c r="C26" s="127" t="s">
        <v>94</v>
      </c>
      <c r="D26" s="138" t="e">
        <f>-Kosten!$F$15</f>
        <v>#N/A</v>
      </c>
      <c r="E26" s="138" t="e">
        <f>-Kosten!$F$15</f>
        <v>#N/A</v>
      </c>
      <c r="F26" s="138" t="e">
        <f>-Kosten!$F$15</f>
        <v>#N/A</v>
      </c>
      <c r="G26" s="138" t="e">
        <f>-Kosten!$F$15</f>
        <v>#N/A</v>
      </c>
      <c r="H26" s="138" t="e">
        <f>-Kosten!$F$15</f>
        <v>#N/A</v>
      </c>
      <c r="I26" s="138" t="e">
        <f>-Kosten!$F$15</f>
        <v>#N/A</v>
      </c>
      <c r="J26" s="138" t="e">
        <f>-Kosten!$F$15</f>
        <v>#N/A</v>
      </c>
      <c r="K26" s="138" t="e">
        <f>-Kosten!$F$15</f>
        <v>#N/A</v>
      </c>
      <c r="L26" s="138" t="e">
        <f>-Kosten!$F$15</f>
        <v>#N/A</v>
      </c>
      <c r="M26" s="138" t="e">
        <f>-Kosten!$F$15</f>
        <v>#N/A</v>
      </c>
      <c r="N26" s="138" t="e">
        <f>-Kosten!$F$15</f>
        <v>#N/A</v>
      </c>
      <c r="O26" s="138" t="e">
        <f>-Kosten!$F$15</f>
        <v>#N/A</v>
      </c>
      <c r="P26" s="138" t="e">
        <f>-Kosten!$F$15</f>
        <v>#N/A</v>
      </c>
      <c r="Q26" s="138" t="e">
        <f>-Kosten!$F$15</f>
        <v>#N/A</v>
      </c>
      <c r="R26" s="138" t="e">
        <f>-Kosten!$F$15</f>
        <v>#N/A</v>
      </c>
      <c r="S26" s="138" t="e">
        <f>-Kosten!$F$15</f>
        <v>#N/A</v>
      </c>
      <c r="T26" s="138" t="e">
        <f>-Kosten!$F$15</f>
        <v>#N/A</v>
      </c>
      <c r="U26" s="138" t="e">
        <f>-Kosten!$F$15</f>
        <v>#N/A</v>
      </c>
      <c r="V26" s="138" t="e">
        <f>-Kosten!$F$15</f>
        <v>#N/A</v>
      </c>
      <c r="W26" s="138" t="e">
        <f>-Kosten!$F$15</f>
        <v>#N/A</v>
      </c>
      <c r="X26" s="138" t="e">
        <f>-Kosten!$F$15</f>
        <v>#N/A</v>
      </c>
      <c r="Y26" s="138" t="e">
        <f>-Kosten!$F$15</f>
        <v>#N/A</v>
      </c>
      <c r="Z26" s="138" t="e">
        <f>-Kosten!$F$15</f>
        <v>#N/A</v>
      </c>
      <c r="AA26" s="138" t="e">
        <f>-Kosten!$F$15</f>
        <v>#N/A</v>
      </c>
      <c r="AB26" s="138" t="e">
        <f>-Kosten!$F$15</f>
        <v>#N/A</v>
      </c>
      <c r="AC26" s="138" t="e">
        <f>-Kosten!$F$15</f>
        <v>#N/A</v>
      </c>
      <c r="AD26" s="138" t="e">
        <f>-Kosten!$F$15</f>
        <v>#N/A</v>
      </c>
      <c r="AE26" s="138" t="e">
        <f>-Kosten!$F$15</f>
        <v>#N/A</v>
      </c>
      <c r="AF26" s="138" t="e">
        <f>-Kosten!$F$15</f>
        <v>#N/A</v>
      </c>
      <c r="AG26" s="138" t="e">
        <f>-Kosten!$F$15</f>
        <v>#N/A</v>
      </c>
      <c r="AH26" s="138" t="e">
        <f>-Kosten!$F$15</f>
        <v>#N/A</v>
      </c>
      <c r="AI26" s="138" t="e">
        <f>-Kosten!$F$15</f>
        <v>#N/A</v>
      </c>
      <c r="AJ26" s="138" t="e">
        <f>-Kosten!$F$15</f>
        <v>#N/A</v>
      </c>
      <c r="AK26" s="138" t="e">
        <f>-Kosten!$F$15</f>
        <v>#N/A</v>
      </c>
      <c r="AL26" s="138" t="e">
        <f>-Kosten!$F$15</f>
        <v>#N/A</v>
      </c>
      <c r="AM26" s="138" t="e">
        <f>-Kosten!$F$15</f>
        <v>#N/A</v>
      </c>
      <c r="AN26" s="140" t="e">
        <f t="shared" si="0"/>
        <v>#N/A</v>
      </c>
      <c r="AQ26" s="140" t="e">
        <f t="shared" si="1"/>
        <v>#N/A</v>
      </c>
      <c r="AR26" s="140" t="e">
        <f t="shared" si="2"/>
        <v>#N/A</v>
      </c>
      <c r="AS26" s="140" t="e">
        <f t="shared" si="3"/>
        <v>#N/A</v>
      </c>
      <c r="AT26" s="140" t="e">
        <f t="shared" si="4"/>
        <v>#N/A</v>
      </c>
      <c r="AU26" s="140" t="e">
        <f t="shared" si="5"/>
        <v>#N/A</v>
      </c>
      <c r="AV26" s="140" t="e">
        <f t="shared" si="6"/>
        <v>#N/A</v>
      </c>
      <c r="AW26" s="140" t="e">
        <f t="shared" si="7"/>
        <v>#N/A</v>
      </c>
      <c r="AX26" s="140" t="e">
        <f t="shared" si="8"/>
        <v>#N/A</v>
      </c>
      <c r="AY26" s="140" t="e">
        <f t="shared" si="9"/>
        <v>#N/A</v>
      </c>
      <c r="AZ26" s="140" t="e">
        <f t="shared" si="10"/>
        <v>#N/A</v>
      </c>
      <c r="BA26" s="140" t="e">
        <f t="shared" si="11"/>
        <v>#N/A</v>
      </c>
      <c r="BB26" s="140" t="e">
        <f t="shared" si="12"/>
        <v>#N/A</v>
      </c>
    </row>
    <row r="27" spans="3:54" hidden="1" outlineLevel="1" x14ac:dyDescent="0.35">
      <c r="C27" s="127" t="s">
        <v>77</v>
      </c>
      <c r="D27" s="138" t="e">
        <f>-Kosten!E15</f>
        <v>#N/A</v>
      </c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38"/>
      <c r="Q27" s="138"/>
      <c r="R27" s="138"/>
      <c r="S27" s="138"/>
      <c r="T27" s="138"/>
      <c r="U27" s="138"/>
      <c r="V27" s="138"/>
      <c r="W27" s="138"/>
      <c r="X27" s="138"/>
      <c r="Y27" s="138"/>
      <c r="Z27" s="138"/>
      <c r="AA27" s="138"/>
      <c r="AB27" s="138"/>
      <c r="AC27" s="138"/>
      <c r="AD27" s="138"/>
      <c r="AE27" s="138"/>
      <c r="AF27" s="138"/>
      <c r="AG27" s="138"/>
      <c r="AH27" s="138"/>
      <c r="AI27" s="138"/>
      <c r="AJ27" s="138"/>
      <c r="AK27" s="138"/>
      <c r="AL27" s="138"/>
      <c r="AM27" s="138"/>
      <c r="AN27" s="140" t="e">
        <f t="shared" si="0"/>
        <v>#N/A</v>
      </c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</row>
    <row r="28" spans="3:54" hidden="1" outlineLevel="1" x14ac:dyDescent="0.35">
      <c r="C28" s="127" t="s">
        <v>59</v>
      </c>
      <c r="D28" s="138" t="e">
        <f>-Kosten!G15</f>
        <v>#N/A</v>
      </c>
      <c r="E28" s="138"/>
      <c r="F28" s="138"/>
      <c r="G28" s="138"/>
      <c r="H28" s="138"/>
      <c r="I28" s="138"/>
      <c r="J28" s="138"/>
      <c r="K28" s="138"/>
      <c r="L28" s="138"/>
      <c r="M28" s="138"/>
      <c r="N28" s="138"/>
      <c r="O28" s="138"/>
      <c r="P28" s="138"/>
      <c r="Q28" s="138"/>
      <c r="R28" s="138"/>
      <c r="S28" s="138"/>
      <c r="T28" s="138"/>
      <c r="U28" s="138"/>
      <c r="V28" s="138"/>
      <c r="W28" s="138"/>
      <c r="X28" s="138"/>
      <c r="Y28" s="138"/>
      <c r="Z28" s="138"/>
      <c r="AA28" s="138"/>
      <c r="AB28" s="138"/>
      <c r="AC28" s="138"/>
      <c r="AD28" s="138"/>
      <c r="AE28" s="138"/>
      <c r="AF28" s="138"/>
      <c r="AG28" s="138"/>
      <c r="AH28" s="138"/>
      <c r="AI28" s="138"/>
      <c r="AJ28" s="138"/>
      <c r="AK28" s="138"/>
      <c r="AL28" s="138"/>
      <c r="AM28" s="138"/>
      <c r="AN28" s="140" t="e">
        <f t="shared" si="0"/>
        <v>#N/A</v>
      </c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</row>
    <row r="29" spans="3:54" hidden="1" outlineLevel="1" x14ac:dyDescent="0.35">
      <c r="C29" s="127" t="s">
        <v>62</v>
      </c>
      <c r="D29" s="138" t="e">
        <f>-Kosten!$M$15</f>
        <v>#N/A</v>
      </c>
      <c r="E29" s="138"/>
      <c r="F29" s="138"/>
      <c r="G29" s="138"/>
      <c r="H29" s="138"/>
      <c r="I29" s="138"/>
      <c r="J29" s="138"/>
      <c r="K29" s="138"/>
      <c r="L29" s="138"/>
      <c r="M29" s="138"/>
      <c r="N29" s="138"/>
      <c r="O29" s="138" t="e">
        <f>-Kosten!$M$15</f>
        <v>#N/A</v>
      </c>
      <c r="P29" s="138"/>
      <c r="Q29" s="138"/>
      <c r="R29" s="138"/>
      <c r="S29" s="138"/>
      <c r="T29" s="138"/>
      <c r="U29" s="138"/>
      <c r="V29" s="138"/>
      <c r="W29" s="138"/>
      <c r="X29" s="138"/>
      <c r="Y29" s="138"/>
      <c r="Z29" s="138"/>
      <c r="AA29" s="138" t="e">
        <f>-Kosten!$M$15</f>
        <v>#N/A</v>
      </c>
      <c r="AB29" s="138"/>
      <c r="AC29" s="138"/>
      <c r="AD29" s="138"/>
      <c r="AE29" s="138"/>
      <c r="AF29" s="138"/>
      <c r="AG29" s="138"/>
      <c r="AH29" s="138"/>
      <c r="AI29" s="138"/>
      <c r="AJ29" s="138"/>
      <c r="AK29" s="138"/>
      <c r="AL29" s="138"/>
      <c r="AM29" s="138"/>
      <c r="AN29" s="140" t="e">
        <f t="shared" si="0"/>
        <v>#N/A</v>
      </c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</row>
    <row r="30" spans="3:54" hidden="1" outlineLevel="1" x14ac:dyDescent="0.35">
      <c r="C30" s="127" t="s">
        <v>74</v>
      </c>
      <c r="D30" s="138"/>
      <c r="E30" s="138"/>
      <c r="F30" s="138"/>
      <c r="G30" s="138"/>
      <c r="H30" s="138"/>
      <c r="I30" s="138" t="e">
        <f>-Kosten!$J$15</f>
        <v>#N/A</v>
      </c>
      <c r="J30" s="138"/>
      <c r="K30" s="138"/>
      <c r="L30" s="138"/>
      <c r="M30" s="138"/>
      <c r="N30" s="138"/>
      <c r="O30" s="138"/>
      <c r="P30" s="138"/>
      <c r="Q30" s="138"/>
      <c r="R30" s="138"/>
      <c r="S30" s="138"/>
      <c r="T30" s="138"/>
      <c r="U30" s="138" t="e">
        <f>-Kosten!$J$15</f>
        <v>#N/A</v>
      </c>
      <c r="V30" s="138"/>
      <c r="W30" s="138"/>
      <c r="X30" s="138"/>
      <c r="Y30" s="138"/>
      <c r="Z30" s="138"/>
      <c r="AA30" s="138"/>
      <c r="AB30" s="138"/>
      <c r="AC30" s="138"/>
      <c r="AD30" s="138"/>
      <c r="AE30" s="138"/>
      <c r="AF30" s="138"/>
      <c r="AG30" s="138" t="e">
        <f>-Kosten!$J$15</f>
        <v>#N/A</v>
      </c>
      <c r="AH30" s="138"/>
      <c r="AI30" s="138"/>
      <c r="AJ30" s="138"/>
      <c r="AK30" s="138"/>
      <c r="AL30" s="138"/>
      <c r="AM30" s="138"/>
      <c r="AN30" s="140" t="e">
        <f t="shared" si="0"/>
        <v>#N/A</v>
      </c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</row>
    <row r="31" spans="3:54" hidden="1" outlineLevel="1" x14ac:dyDescent="0.35">
      <c r="C31" s="127" t="s">
        <v>73</v>
      </c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8"/>
      <c r="O31" s="138" t="e">
        <f>-Kosten!$I$15</f>
        <v>#N/A</v>
      </c>
      <c r="P31" s="138"/>
      <c r="Q31" s="138"/>
      <c r="R31" s="138"/>
      <c r="S31" s="138"/>
      <c r="T31" s="138"/>
      <c r="U31" s="138"/>
      <c r="V31" s="138"/>
      <c r="W31" s="138"/>
      <c r="X31" s="138"/>
      <c r="Y31" s="138"/>
      <c r="Z31" s="138"/>
      <c r="AA31" s="138" t="e">
        <f>-Kosten!$I$15</f>
        <v>#N/A</v>
      </c>
      <c r="AB31" s="138"/>
      <c r="AC31" s="138"/>
      <c r="AD31" s="138"/>
      <c r="AE31" s="138"/>
      <c r="AF31" s="138"/>
      <c r="AG31" s="138"/>
      <c r="AH31" s="138"/>
      <c r="AI31" s="138"/>
      <c r="AJ31" s="138"/>
      <c r="AK31" s="138"/>
      <c r="AL31" s="138"/>
      <c r="AM31" s="138"/>
      <c r="AN31" s="140" t="e">
        <f t="shared" si="0"/>
        <v>#N/A</v>
      </c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</row>
    <row r="32" spans="3:54" hidden="1" outlineLevel="1" x14ac:dyDescent="0.35">
      <c r="C32" s="127" t="s">
        <v>61</v>
      </c>
      <c r="D32" s="138"/>
      <c r="E32" s="138"/>
      <c r="F32" s="138"/>
      <c r="G32" s="138"/>
      <c r="H32" s="138"/>
      <c r="I32" s="138"/>
      <c r="J32" s="138"/>
      <c r="K32" s="138"/>
      <c r="L32" s="138"/>
      <c r="M32" s="138"/>
      <c r="N32" s="138"/>
      <c r="O32" s="138"/>
      <c r="P32" s="138"/>
      <c r="Q32" s="138"/>
      <c r="R32" s="138"/>
      <c r="S32" s="138"/>
      <c r="T32" s="138"/>
      <c r="U32" s="138"/>
      <c r="V32" s="138"/>
      <c r="W32" s="138"/>
      <c r="X32" s="138"/>
      <c r="Y32" s="138"/>
      <c r="Z32" s="138"/>
      <c r="AA32" s="138"/>
      <c r="AB32" s="138"/>
      <c r="AC32" s="138"/>
      <c r="AD32" s="138"/>
      <c r="AE32" s="138"/>
      <c r="AF32" s="138"/>
      <c r="AG32" s="138"/>
      <c r="AH32" s="138"/>
      <c r="AI32" s="138"/>
      <c r="AJ32" s="138"/>
      <c r="AK32" s="138"/>
      <c r="AL32" s="138"/>
      <c r="AM32" s="138" t="e">
        <f>-Kosten!$N$15</f>
        <v>#N/A</v>
      </c>
      <c r="AN32" s="140" t="e">
        <f t="shared" si="0"/>
        <v>#N/A</v>
      </c>
      <c r="AQ32" s="140">
        <f t="shared" si="1"/>
        <v>0</v>
      </c>
      <c r="AR32" s="140">
        <f t="shared" si="2"/>
        <v>0</v>
      </c>
      <c r="AS32" s="140">
        <f t="shared" si="3"/>
        <v>0</v>
      </c>
      <c r="AT32" s="140">
        <f t="shared" si="4"/>
        <v>0</v>
      </c>
      <c r="AU32" s="140">
        <f t="shared" si="5"/>
        <v>0</v>
      </c>
      <c r="AV32" s="140">
        <f t="shared" si="6"/>
        <v>0</v>
      </c>
      <c r="AW32" s="140">
        <f t="shared" si="7"/>
        <v>0</v>
      </c>
      <c r="AX32" s="140">
        <f t="shared" si="8"/>
        <v>0</v>
      </c>
      <c r="AY32" s="140">
        <f t="shared" si="9"/>
        <v>0</v>
      </c>
      <c r="AZ32" s="140">
        <f t="shared" si="10"/>
        <v>0</v>
      </c>
      <c r="BA32" s="140">
        <f t="shared" si="11"/>
        <v>0</v>
      </c>
      <c r="BB32" s="140" t="e">
        <f t="shared" si="12"/>
        <v>#N/A</v>
      </c>
    </row>
    <row r="33" spans="3:54" s="126" customFormat="1" collapsed="1" x14ac:dyDescent="0.35">
      <c r="C33" s="126" t="s">
        <v>91</v>
      </c>
      <c r="D33" s="139" t="e">
        <f t="shared" ref="D33:AN33" si="17">SUM(D34:D37)</f>
        <v>#N/A</v>
      </c>
      <c r="E33" s="139" t="e">
        <f t="shared" si="17"/>
        <v>#N/A</v>
      </c>
      <c r="F33" s="139" t="e">
        <f t="shared" si="17"/>
        <v>#N/A</v>
      </c>
      <c r="G33" s="139" t="e">
        <f t="shared" si="17"/>
        <v>#N/A</v>
      </c>
      <c r="H33" s="139" t="e">
        <f t="shared" si="17"/>
        <v>#N/A</v>
      </c>
      <c r="I33" s="139" t="e">
        <f t="shared" si="17"/>
        <v>#N/A</v>
      </c>
      <c r="J33" s="139" t="e">
        <f t="shared" si="17"/>
        <v>#N/A</v>
      </c>
      <c r="K33" s="139" t="e">
        <f t="shared" si="17"/>
        <v>#N/A</v>
      </c>
      <c r="L33" s="139" t="e">
        <f t="shared" si="17"/>
        <v>#N/A</v>
      </c>
      <c r="M33" s="139" t="e">
        <f t="shared" si="17"/>
        <v>#N/A</v>
      </c>
      <c r="N33" s="139" t="e">
        <f t="shared" si="17"/>
        <v>#N/A</v>
      </c>
      <c r="O33" s="139" t="e">
        <f t="shared" si="17"/>
        <v>#N/A</v>
      </c>
      <c r="P33" s="139" t="e">
        <f t="shared" si="17"/>
        <v>#N/A</v>
      </c>
      <c r="Q33" s="139" t="e">
        <f t="shared" si="17"/>
        <v>#N/A</v>
      </c>
      <c r="R33" s="139" t="e">
        <f t="shared" si="17"/>
        <v>#N/A</v>
      </c>
      <c r="S33" s="139" t="e">
        <f t="shared" si="17"/>
        <v>#N/A</v>
      </c>
      <c r="T33" s="139" t="e">
        <f t="shared" si="17"/>
        <v>#N/A</v>
      </c>
      <c r="U33" s="139" t="e">
        <f t="shared" si="17"/>
        <v>#N/A</v>
      </c>
      <c r="V33" s="139" t="e">
        <f t="shared" si="17"/>
        <v>#N/A</v>
      </c>
      <c r="W33" s="139" t="e">
        <f t="shared" si="17"/>
        <v>#N/A</v>
      </c>
      <c r="X33" s="139" t="e">
        <f t="shared" si="17"/>
        <v>#N/A</v>
      </c>
      <c r="Y33" s="139" t="e">
        <f t="shared" si="17"/>
        <v>#N/A</v>
      </c>
      <c r="Z33" s="139" t="e">
        <f t="shared" si="17"/>
        <v>#N/A</v>
      </c>
      <c r="AA33" s="139" t="e">
        <f t="shared" si="17"/>
        <v>#N/A</v>
      </c>
      <c r="AB33" s="139" t="e">
        <f t="shared" si="17"/>
        <v>#N/A</v>
      </c>
      <c r="AC33" s="139" t="e">
        <f t="shared" si="17"/>
        <v>#N/A</v>
      </c>
      <c r="AD33" s="139" t="e">
        <f t="shared" si="17"/>
        <v>#N/A</v>
      </c>
      <c r="AE33" s="139" t="e">
        <f t="shared" si="17"/>
        <v>#N/A</v>
      </c>
      <c r="AF33" s="139" t="e">
        <f t="shared" si="17"/>
        <v>#N/A</v>
      </c>
      <c r="AG33" s="139" t="e">
        <f t="shared" si="17"/>
        <v>#N/A</v>
      </c>
      <c r="AH33" s="139" t="e">
        <f t="shared" si="17"/>
        <v>#N/A</v>
      </c>
      <c r="AI33" s="139" t="e">
        <f t="shared" si="17"/>
        <v>#N/A</v>
      </c>
      <c r="AJ33" s="139" t="e">
        <f t="shared" si="17"/>
        <v>#N/A</v>
      </c>
      <c r="AK33" s="139" t="e">
        <f t="shared" si="17"/>
        <v>#N/A</v>
      </c>
      <c r="AL33" s="139" t="e">
        <f t="shared" si="17"/>
        <v>#N/A</v>
      </c>
      <c r="AM33" s="139" t="e">
        <f t="shared" si="17"/>
        <v>#N/A</v>
      </c>
      <c r="AN33" s="144" t="e">
        <f t="shared" si="17"/>
        <v>#N/A</v>
      </c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</row>
    <row r="34" spans="3:54" hidden="1" outlineLevel="1" x14ac:dyDescent="0.35">
      <c r="C34" s="127" t="s">
        <v>58</v>
      </c>
      <c r="D34" s="138"/>
      <c r="E34" s="138"/>
      <c r="F34" s="138" t="e">
        <f>-SUMIFS(Kosten!$F$4:$F$26,Kosten!$B$4:$B$26,'Cash Flow'!$C$33)-SUMIFS(Kosten!$G$4:$G$26,Kosten!$B$4:$B$26,'Cash Flow'!$C$33)</f>
        <v>#N/A</v>
      </c>
      <c r="G34" s="138"/>
      <c r="H34" s="138"/>
      <c r="I34" s="138"/>
      <c r="J34" s="138"/>
      <c r="K34" s="138"/>
      <c r="L34" s="138"/>
      <c r="M34" s="138"/>
      <c r="N34" s="138"/>
      <c r="O34" s="138"/>
      <c r="P34" s="138"/>
      <c r="Q34" s="138"/>
      <c r="R34" s="138"/>
      <c r="S34" s="138"/>
      <c r="T34" s="138"/>
      <c r="U34" s="138"/>
      <c r="V34" s="138"/>
      <c r="W34" s="138"/>
      <c r="X34" s="138"/>
      <c r="Y34" s="138"/>
      <c r="Z34" s="138"/>
      <c r="AA34" s="138"/>
      <c r="AB34" s="138"/>
      <c r="AC34" s="138"/>
      <c r="AD34" s="138"/>
      <c r="AE34" s="138"/>
      <c r="AF34" s="138"/>
      <c r="AG34" s="138"/>
      <c r="AH34" s="138"/>
      <c r="AI34" s="138"/>
      <c r="AJ34" s="138"/>
      <c r="AK34" s="138"/>
      <c r="AL34" s="138"/>
      <c r="AM34" s="138"/>
      <c r="AN34" s="140" t="e">
        <f t="shared" si="0"/>
        <v>#N/A</v>
      </c>
      <c r="AQ34" s="140" t="e">
        <f>SUM(D34:F34)</f>
        <v>#N/A</v>
      </c>
      <c r="AR34" s="140" t="e">
        <f>SUM(E34:I34)</f>
        <v>#N/A</v>
      </c>
      <c r="AS34" s="140">
        <f t="shared" si="3"/>
        <v>0</v>
      </c>
      <c r="AT34" s="140">
        <f t="shared" si="4"/>
        <v>0</v>
      </c>
      <c r="AU34" s="140">
        <f t="shared" si="5"/>
        <v>0</v>
      </c>
      <c r="AV34" s="140">
        <f t="shared" si="6"/>
        <v>0</v>
      </c>
      <c r="AW34" s="140">
        <f t="shared" si="7"/>
        <v>0</v>
      </c>
      <c r="AX34" s="140">
        <f t="shared" si="8"/>
        <v>0</v>
      </c>
      <c r="AY34" s="140">
        <f t="shared" si="9"/>
        <v>0</v>
      </c>
      <c r="AZ34" s="140">
        <f t="shared" si="10"/>
        <v>0</v>
      </c>
      <c r="BA34" s="140">
        <f t="shared" si="11"/>
        <v>0</v>
      </c>
      <c r="BB34" s="140">
        <f t="shared" si="12"/>
        <v>0</v>
      </c>
    </row>
    <row r="35" spans="3:54" hidden="1" outlineLevel="1" x14ac:dyDescent="0.35">
      <c r="C35" s="127" t="s">
        <v>150</v>
      </c>
      <c r="D35" s="138"/>
      <c r="E35" s="138" t="e">
        <f>-SUMIFS(Kosten!$H$4:$H$26,Kosten!$B$4:$B$26,'Cash Flow'!$C$33)</f>
        <v>#N/A</v>
      </c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138"/>
      <c r="R35" s="138"/>
      <c r="S35" s="138"/>
      <c r="T35" s="138"/>
      <c r="U35" s="138"/>
      <c r="V35" s="138"/>
      <c r="W35" s="138"/>
      <c r="X35" s="138"/>
      <c r="Y35" s="138"/>
      <c r="Z35" s="138"/>
      <c r="AA35" s="138"/>
      <c r="AB35" s="138"/>
      <c r="AC35" s="138"/>
      <c r="AD35" s="138"/>
      <c r="AE35" s="138"/>
      <c r="AF35" s="138"/>
      <c r="AG35" s="138"/>
      <c r="AH35" s="138"/>
      <c r="AI35" s="138"/>
      <c r="AJ35" s="138"/>
      <c r="AK35" s="138"/>
      <c r="AL35" s="138"/>
      <c r="AM35" s="138"/>
      <c r="AN35" s="140" t="e">
        <f t="shared" si="0"/>
        <v>#N/A</v>
      </c>
      <c r="AQ35" s="140" t="e">
        <f>SUM(D35:F35)</f>
        <v>#N/A</v>
      </c>
      <c r="AR35" s="140" t="e">
        <f>SUM(E35:I35)</f>
        <v>#N/A</v>
      </c>
      <c r="AS35" s="140">
        <f t="shared" si="3"/>
        <v>0</v>
      </c>
      <c r="AT35" s="140">
        <f t="shared" si="4"/>
        <v>0</v>
      </c>
      <c r="AU35" s="140">
        <f t="shared" si="5"/>
        <v>0</v>
      </c>
      <c r="AV35" s="140">
        <f t="shared" si="6"/>
        <v>0</v>
      </c>
      <c r="AW35" s="140">
        <f t="shared" si="7"/>
        <v>0</v>
      </c>
      <c r="AX35" s="140">
        <f t="shared" si="8"/>
        <v>0</v>
      </c>
      <c r="AY35" s="140">
        <f t="shared" si="9"/>
        <v>0</v>
      </c>
      <c r="AZ35" s="140">
        <f t="shared" si="10"/>
        <v>0</v>
      </c>
      <c r="BA35" s="140">
        <f t="shared" si="11"/>
        <v>0</v>
      </c>
      <c r="BB35" s="140">
        <f t="shared" si="12"/>
        <v>0</v>
      </c>
    </row>
    <row r="36" spans="3:54" hidden="1" outlineLevel="1" x14ac:dyDescent="0.35">
      <c r="C36" s="127" t="s">
        <v>73</v>
      </c>
      <c r="D36" s="138"/>
      <c r="E36" s="138"/>
      <c r="F36" s="138"/>
      <c r="G36" s="138"/>
      <c r="H36" s="138"/>
      <c r="I36" s="138"/>
      <c r="J36" s="138"/>
      <c r="K36" s="138"/>
      <c r="L36" s="138"/>
      <c r="N36" s="138"/>
      <c r="O36" s="138" t="e">
        <f>-SUMIFS(Kosten!$I$4:$I$26,Kosten!$B$4:$B$26,'Cash Flow'!$C$33)</f>
        <v>#N/A</v>
      </c>
      <c r="P36" s="138"/>
      <c r="Q36" s="138"/>
      <c r="R36" s="138"/>
      <c r="S36" s="138"/>
      <c r="T36" s="138"/>
      <c r="U36" s="138"/>
      <c r="V36" s="138"/>
      <c r="W36" s="138"/>
      <c r="X36" s="138"/>
      <c r="Z36" s="138"/>
      <c r="AA36" s="138" t="e">
        <f>-SUMIFS(Kosten!$I$4:$I$26,Kosten!$B$4:$B$26,'Cash Flow'!$C$33)</f>
        <v>#N/A</v>
      </c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40" t="e">
        <f t="shared" si="0"/>
        <v>#N/A</v>
      </c>
      <c r="AQ36" s="140">
        <f t="shared" si="1"/>
        <v>0</v>
      </c>
      <c r="AR36" s="140">
        <f t="shared" si="2"/>
        <v>0</v>
      </c>
      <c r="AS36" s="140">
        <f t="shared" si="3"/>
        <v>0</v>
      </c>
      <c r="AT36" s="140" t="e">
        <f>SUM(N36:O36)</f>
        <v>#N/A</v>
      </c>
      <c r="AU36" s="140">
        <f t="shared" si="5"/>
        <v>0</v>
      </c>
      <c r="AV36" s="140">
        <f t="shared" si="6"/>
        <v>0</v>
      </c>
      <c r="AW36" s="140">
        <f t="shared" si="7"/>
        <v>0</v>
      </c>
      <c r="AX36" s="140" t="e">
        <f>SUM(Z36:AA36)</f>
        <v>#N/A</v>
      </c>
      <c r="AY36" s="140">
        <f t="shared" si="9"/>
        <v>0</v>
      </c>
      <c r="AZ36" s="140">
        <f t="shared" si="10"/>
        <v>0</v>
      </c>
      <c r="BA36" s="140">
        <f t="shared" si="11"/>
        <v>0</v>
      </c>
      <c r="BB36" s="140">
        <f t="shared" si="12"/>
        <v>0</v>
      </c>
    </row>
    <row r="37" spans="3:54" hidden="1" outlineLevel="1" x14ac:dyDescent="0.35">
      <c r="C37" s="127" t="s">
        <v>151</v>
      </c>
      <c r="D37" s="138" t="e">
        <f>(-SUMIFS(Kosten!$K$4:$K26,Kosten!$B$4:$B$26,'Cash Flow'!$C$33)-SUMIFS(Kosten!$L$4:$L26,Kosten!$B$4:$B$26,'Cash Flow'!$C$33))/12</f>
        <v>#N/A</v>
      </c>
      <c r="E37" s="138" t="e">
        <f>(-SUMIFS(Kosten!$K$4:$K26,Kosten!$B$4:$B$26,'Cash Flow'!$C$33)-SUMIFS(Kosten!$L$4:$L26,Kosten!$B$4:$B$26,'Cash Flow'!$C$33))/12</f>
        <v>#N/A</v>
      </c>
      <c r="F37" s="138" t="e">
        <f>(-SUMIFS(Kosten!$K$4:$K26,Kosten!$B$4:$B$26,'Cash Flow'!$C$33)-SUMIFS(Kosten!$L$4:$L26,Kosten!$B$4:$B$26,'Cash Flow'!$C$33))/12</f>
        <v>#N/A</v>
      </c>
      <c r="G37" s="138" t="e">
        <f>(-SUMIFS(Kosten!$K$4:$K26,Kosten!$B$4:$B$26,'Cash Flow'!$C$33)-SUMIFS(Kosten!$L$4:$L26,Kosten!$B$4:$B$26,'Cash Flow'!$C$33))/12</f>
        <v>#N/A</v>
      </c>
      <c r="H37" s="138" t="e">
        <f>(-SUMIFS(Kosten!$K$4:$K26,Kosten!$B$4:$B$26,'Cash Flow'!$C$33)-SUMIFS(Kosten!$L$4:$L26,Kosten!$B$4:$B$26,'Cash Flow'!$C$33))/12</f>
        <v>#N/A</v>
      </c>
      <c r="I37" s="138" t="e">
        <f>(-SUMIFS(Kosten!$K$4:$K26,Kosten!$B$4:$B$26,'Cash Flow'!$C$33)-SUMIFS(Kosten!$L$4:$L26,Kosten!$B$4:$B$26,'Cash Flow'!$C$33))/12</f>
        <v>#N/A</v>
      </c>
      <c r="J37" s="138" t="e">
        <f>(-SUMIFS(Kosten!$K$4:$K26,Kosten!$B$4:$B$26,'Cash Flow'!$C$33)-SUMIFS(Kosten!$L$4:$L26,Kosten!$B$4:$B$26,'Cash Flow'!$C$33))/12</f>
        <v>#N/A</v>
      </c>
      <c r="K37" s="138" t="e">
        <f>(-SUMIFS(Kosten!$K$4:$K26,Kosten!$B$4:$B$26,'Cash Flow'!$C$33)-SUMIFS(Kosten!$L$4:$L26,Kosten!$B$4:$B$26,'Cash Flow'!$C$33))/12</f>
        <v>#N/A</v>
      </c>
      <c r="L37" s="138" t="e">
        <f>(-SUMIFS(Kosten!$K$4:$K26,Kosten!$B$4:$B$26,'Cash Flow'!$C$33)-SUMIFS(Kosten!$L$4:$L26,Kosten!$B$4:$B$26,'Cash Flow'!$C$33))/12</f>
        <v>#N/A</v>
      </c>
      <c r="M37" s="138" t="e">
        <f>(-SUMIFS(Kosten!$K$4:$K26,Kosten!$B$4:$B$26,'Cash Flow'!$C$33)-SUMIFS(Kosten!$L$4:$L26,Kosten!$B$4:$B$26,'Cash Flow'!$C$33))/12</f>
        <v>#N/A</v>
      </c>
      <c r="N37" s="138" t="e">
        <f>(-SUMIFS(Kosten!$K$4:$K26,Kosten!$B$4:$B$26,'Cash Flow'!$C$33)-SUMIFS(Kosten!$L$4:$L26,Kosten!$B$4:$B$26,'Cash Flow'!$C$33))/12</f>
        <v>#N/A</v>
      </c>
      <c r="O37" s="138" t="e">
        <f>(-SUMIFS(Kosten!$K$4:$K26,Kosten!$B$4:$B$26,'Cash Flow'!$C$33)-SUMIFS(Kosten!$L$4:$L26,Kosten!$B$4:$B$26,'Cash Flow'!$C$33))/12</f>
        <v>#N/A</v>
      </c>
      <c r="P37" s="138" t="e">
        <f>(-SUMIFS(Kosten!$K$4:$K26,Kosten!$B$4:$B$26,'Cash Flow'!$C$33)-SUMIFS(Kosten!$L$4:$L26,Kosten!$B$4:$B$26,'Cash Flow'!$C$33))/12</f>
        <v>#N/A</v>
      </c>
      <c r="Q37" s="138" t="e">
        <f>(-SUMIFS(Kosten!$K$4:$K26,Kosten!$B$4:$B$26,'Cash Flow'!$C$33)-SUMIFS(Kosten!$L$4:$L26,Kosten!$B$4:$B$26,'Cash Flow'!$C$33))/12</f>
        <v>#N/A</v>
      </c>
      <c r="R37" s="138" t="e">
        <f>(-SUMIFS(Kosten!$K$4:$K26,Kosten!$B$4:$B$26,'Cash Flow'!$C$33)-SUMIFS(Kosten!$L$4:$L26,Kosten!$B$4:$B$26,'Cash Flow'!$C$33))/12</f>
        <v>#N/A</v>
      </c>
      <c r="S37" s="138" t="e">
        <f>(-SUMIFS(Kosten!$K$4:$K26,Kosten!$B$4:$B$26,'Cash Flow'!$C$33)-SUMIFS(Kosten!$L$4:$L26,Kosten!$B$4:$B$26,'Cash Flow'!$C$33))/12</f>
        <v>#N/A</v>
      </c>
      <c r="T37" s="138" t="e">
        <f>(-SUMIFS(Kosten!$K$4:$K26,Kosten!$B$4:$B$26,'Cash Flow'!$C$33)-SUMIFS(Kosten!$L$4:$L26,Kosten!$B$4:$B$26,'Cash Flow'!$C$33))/12</f>
        <v>#N/A</v>
      </c>
      <c r="U37" s="138" t="e">
        <f>(-SUMIFS(Kosten!$K$4:$K26,Kosten!$B$4:$B$26,'Cash Flow'!$C$33)-SUMIFS(Kosten!$L$4:$L26,Kosten!$B$4:$B$26,'Cash Flow'!$C$33))/12</f>
        <v>#N/A</v>
      </c>
      <c r="V37" s="138" t="e">
        <f>(-SUMIFS(Kosten!$K$4:$K26,Kosten!$B$4:$B$26,'Cash Flow'!$C$33)-SUMIFS(Kosten!$L$4:$L26,Kosten!$B$4:$B$26,'Cash Flow'!$C$33))/12</f>
        <v>#N/A</v>
      </c>
      <c r="W37" s="138" t="e">
        <f>(-SUMIFS(Kosten!$K$4:$K26,Kosten!$B$4:$B$26,'Cash Flow'!$C$33)-SUMIFS(Kosten!$L$4:$L26,Kosten!$B$4:$B$26,'Cash Flow'!$C$33))/12</f>
        <v>#N/A</v>
      </c>
      <c r="X37" s="138" t="e">
        <f>(-SUMIFS(Kosten!$K$4:$K26,Kosten!$B$4:$B$26,'Cash Flow'!$C$33)-SUMIFS(Kosten!$L$4:$L26,Kosten!$B$4:$B$26,'Cash Flow'!$C$33))/12</f>
        <v>#N/A</v>
      </c>
      <c r="Y37" s="138" t="e">
        <f>(-SUMIFS(Kosten!$K$4:$K26,Kosten!$B$4:$B$26,'Cash Flow'!$C$33)-SUMIFS(Kosten!$L$4:$L26,Kosten!$B$4:$B$26,'Cash Flow'!$C$33))/12</f>
        <v>#N/A</v>
      </c>
      <c r="Z37" s="138" t="e">
        <f>(-SUMIFS(Kosten!$K$4:$K26,Kosten!$B$4:$B$26,'Cash Flow'!$C$33)-SUMIFS(Kosten!$L$4:$L26,Kosten!$B$4:$B$26,'Cash Flow'!$C$33))/12</f>
        <v>#N/A</v>
      </c>
      <c r="AA37" s="138" t="e">
        <f>(-SUMIFS(Kosten!$K$4:$K26,Kosten!$B$4:$B$26,'Cash Flow'!$C$33)-SUMIFS(Kosten!$L$4:$L26,Kosten!$B$4:$B$26,'Cash Flow'!$C$33))/12</f>
        <v>#N/A</v>
      </c>
      <c r="AB37" s="138" t="e">
        <f>(-SUMIFS(Kosten!$K$4:$K26,Kosten!$B$4:$B$26,'Cash Flow'!$C$33)-SUMIFS(Kosten!$L$4:$L26,Kosten!$B$4:$B$26,'Cash Flow'!$C$33))/12</f>
        <v>#N/A</v>
      </c>
      <c r="AC37" s="138" t="e">
        <f>(-SUMIFS(Kosten!$K$4:$K26,Kosten!$B$4:$B$26,'Cash Flow'!$C$33)-SUMIFS(Kosten!$L$4:$L26,Kosten!$B$4:$B$26,'Cash Flow'!$C$33))/12</f>
        <v>#N/A</v>
      </c>
      <c r="AD37" s="138" t="e">
        <f>(-SUMIFS(Kosten!$K$4:$K26,Kosten!$B$4:$B$26,'Cash Flow'!$C$33)-SUMIFS(Kosten!$L$4:$L26,Kosten!$B$4:$B$26,'Cash Flow'!$C$33))/12</f>
        <v>#N/A</v>
      </c>
      <c r="AE37" s="138" t="e">
        <f>(-SUMIFS(Kosten!$K$4:$K26,Kosten!$B$4:$B$26,'Cash Flow'!$C$33)-SUMIFS(Kosten!$L$4:$L26,Kosten!$B$4:$B$26,'Cash Flow'!$C$33))/12</f>
        <v>#N/A</v>
      </c>
      <c r="AF37" s="138" t="e">
        <f>(-SUMIFS(Kosten!$K$4:$K26,Kosten!$B$4:$B$26,'Cash Flow'!$C$33)-SUMIFS(Kosten!$L$4:$L26,Kosten!$B$4:$B$26,'Cash Flow'!$C$33))/12</f>
        <v>#N/A</v>
      </c>
      <c r="AG37" s="138" t="e">
        <f>(-SUMIFS(Kosten!$K$4:$K26,Kosten!$B$4:$B$26,'Cash Flow'!$C$33)-SUMIFS(Kosten!$L$4:$L26,Kosten!$B$4:$B$26,'Cash Flow'!$C$33))/12</f>
        <v>#N/A</v>
      </c>
      <c r="AH37" s="138" t="e">
        <f>(-SUMIFS(Kosten!$K$4:$K26,Kosten!$B$4:$B$26,'Cash Flow'!$C$33)-SUMIFS(Kosten!$L$4:$L26,Kosten!$B$4:$B$26,'Cash Flow'!$C$33))/12</f>
        <v>#N/A</v>
      </c>
      <c r="AI37" s="138" t="e">
        <f>(-SUMIFS(Kosten!$K$4:$K26,Kosten!$B$4:$B$26,'Cash Flow'!$C$33)-SUMIFS(Kosten!$L$4:$L26,Kosten!$B$4:$B$26,'Cash Flow'!$C$33))/12</f>
        <v>#N/A</v>
      </c>
      <c r="AJ37" s="138" t="e">
        <f>(-SUMIFS(Kosten!$K$4:$K26,Kosten!$B$4:$B$26,'Cash Flow'!$C$33)-SUMIFS(Kosten!$L$4:$L26,Kosten!$B$4:$B$26,'Cash Flow'!$C$33))/12</f>
        <v>#N/A</v>
      </c>
      <c r="AK37" s="138" t="e">
        <f>(-SUMIFS(Kosten!$K$4:$K26,Kosten!$B$4:$B$26,'Cash Flow'!$C$33)-SUMIFS(Kosten!$L$4:$L26,Kosten!$B$4:$B$26,'Cash Flow'!$C$33))/12</f>
        <v>#N/A</v>
      </c>
      <c r="AL37" s="138" t="e">
        <f>(-SUMIFS(Kosten!$K$4:$K26,Kosten!$B$4:$B$26,'Cash Flow'!$C$33)-SUMIFS(Kosten!$L$4:$L26,Kosten!$B$4:$B$26,'Cash Flow'!$C$33))/12</f>
        <v>#N/A</v>
      </c>
      <c r="AM37" s="138" t="e">
        <f>(-SUMIFS(Kosten!$K$4:$K26,Kosten!$B$4:$B$26,'Cash Flow'!$C$33)-SUMIFS(Kosten!$L$4:$L26,Kosten!$B$4:$B$26,'Cash Flow'!$C$33))/12</f>
        <v>#N/A</v>
      </c>
      <c r="AN37" s="140" t="e">
        <f t="shared" si="0"/>
        <v>#N/A</v>
      </c>
      <c r="AQ37" s="140" t="e">
        <f t="shared" si="1"/>
        <v>#N/A</v>
      </c>
      <c r="AR37" s="140" t="e">
        <f t="shared" si="2"/>
        <v>#N/A</v>
      </c>
      <c r="AS37" s="140" t="e">
        <f t="shared" si="3"/>
        <v>#N/A</v>
      </c>
      <c r="AT37" s="140" t="e">
        <f t="shared" si="4"/>
        <v>#N/A</v>
      </c>
      <c r="AU37" s="140" t="e">
        <f t="shared" si="5"/>
        <v>#N/A</v>
      </c>
      <c r="AV37" s="140" t="e">
        <f t="shared" si="6"/>
        <v>#N/A</v>
      </c>
      <c r="AW37" s="140" t="e">
        <f t="shared" si="7"/>
        <v>#N/A</v>
      </c>
      <c r="AX37" s="140" t="e">
        <f t="shared" si="8"/>
        <v>#N/A</v>
      </c>
      <c r="AY37" s="140" t="e">
        <f t="shared" si="9"/>
        <v>#N/A</v>
      </c>
      <c r="AZ37" s="140" t="e">
        <f t="shared" si="10"/>
        <v>#N/A</v>
      </c>
      <c r="BA37" s="140" t="e">
        <f t="shared" si="11"/>
        <v>#N/A</v>
      </c>
      <c r="BB37" s="140" t="e">
        <f t="shared" si="12"/>
        <v>#N/A</v>
      </c>
    </row>
    <row r="38" spans="3:54" s="126" customFormat="1" collapsed="1" x14ac:dyDescent="0.35">
      <c r="C38" s="126" t="s">
        <v>93</v>
      </c>
      <c r="D38" s="139" t="e">
        <f>SUM(D39:D41)</f>
        <v>#REF!</v>
      </c>
      <c r="E38" s="139" t="e">
        <f t="shared" ref="E38:AM38" si="18">SUM(E39:E41)</f>
        <v>#REF!</v>
      </c>
      <c r="F38" s="139" t="e">
        <f t="shared" si="18"/>
        <v>#REF!</v>
      </c>
      <c r="G38" s="139" t="e">
        <f t="shared" si="18"/>
        <v>#REF!</v>
      </c>
      <c r="H38" s="139" t="e">
        <f t="shared" si="18"/>
        <v>#REF!</v>
      </c>
      <c r="I38" s="139" t="e">
        <f t="shared" si="18"/>
        <v>#REF!</v>
      </c>
      <c r="J38" s="139" t="e">
        <f t="shared" si="18"/>
        <v>#REF!</v>
      </c>
      <c r="K38" s="139" t="e">
        <f t="shared" si="18"/>
        <v>#REF!</v>
      </c>
      <c r="L38" s="139" t="e">
        <f t="shared" si="18"/>
        <v>#REF!</v>
      </c>
      <c r="M38" s="139" t="e">
        <f t="shared" si="18"/>
        <v>#REF!</v>
      </c>
      <c r="N38" s="139" t="e">
        <f t="shared" si="18"/>
        <v>#REF!</v>
      </c>
      <c r="O38" s="139" t="e">
        <f t="shared" si="18"/>
        <v>#REF!</v>
      </c>
      <c r="P38" s="139" t="e">
        <f t="shared" si="18"/>
        <v>#REF!</v>
      </c>
      <c r="Q38" s="139" t="e">
        <f t="shared" si="18"/>
        <v>#REF!</v>
      </c>
      <c r="R38" s="139" t="e">
        <f t="shared" si="18"/>
        <v>#REF!</v>
      </c>
      <c r="S38" s="139" t="e">
        <f t="shared" si="18"/>
        <v>#REF!</v>
      </c>
      <c r="T38" s="139" t="e">
        <f t="shared" si="18"/>
        <v>#REF!</v>
      </c>
      <c r="U38" s="139" t="e">
        <f t="shared" si="18"/>
        <v>#REF!</v>
      </c>
      <c r="V38" s="139" t="e">
        <f t="shared" si="18"/>
        <v>#REF!</v>
      </c>
      <c r="W38" s="139" t="e">
        <f t="shared" si="18"/>
        <v>#REF!</v>
      </c>
      <c r="X38" s="139" t="e">
        <f t="shared" si="18"/>
        <v>#REF!</v>
      </c>
      <c r="Y38" s="139" t="e">
        <f t="shared" si="18"/>
        <v>#REF!</v>
      </c>
      <c r="Z38" s="139" t="e">
        <f t="shared" si="18"/>
        <v>#REF!</v>
      </c>
      <c r="AA38" s="139" t="e">
        <f t="shared" si="18"/>
        <v>#REF!</v>
      </c>
      <c r="AB38" s="139" t="e">
        <f t="shared" si="18"/>
        <v>#REF!</v>
      </c>
      <c r="AC38" s="139" t="e">
        <f t="shared" si="18"/>
        <v>#REF!</v>
      </c>
      <c r="AD38" s="139" t="e">
        <f t="shared" si="18"/>
        <v>#REF!</v>
      </c>
      <c r="AE38" s="139" t="e">
        <f t="shared" si="18"/>
        <v>#REF!</v>
      </c>
      <c r="AF38" s="139" t="e">
        <f t="shared" si="18"/>
        <v>#REF!</v>
      </c>
      <c r="AG38" s="139" t="e">
        <f t="shared" si="18"/>
        <v>#REF!</v>
      </c>
      <c r="AH38" s="139" t="e">
        <f t="shared" si="18"/>
        <v>#REF!</v>
      </c>
      <c r="AI38" s="139" t="e">
        <f t="shared" si="18"/>
        <v>#REF!</v>
      </c>
      <c r="AJ38" s="139" t="e">
        <f t="shared" si="18"/>
        <v>#REF!</v>
      </c>
      <c r="AK38" s="139" t="e">
        <f t="shared" si="18"/>
        <v>#REF!</v>
      </c>
      <c r="AL38" s="139" t="e">
        <f t="shared" si="18"/>
        <v>#REF!</v>
      </c>
      <c r="AM38" s="139" t="e">
        <f t="shared" si="18"/>
        <v>#REF!</v>
      </c>
      <c r="AN38" s="144" t="e">
        <f>SUM(AN39:AN41)</f>
        <v>#REF!</v>
      </c>
      <c r="AQ38" s="144"/>
      <c r="AR38" s="144"/>
      <c r="AS38" s="144"/>
      <c r="AT38" s="144"/>
      <c r="AU38" s="144"/>
      <c r="AV38" s="144"/>
      <c r="AW38" s="144"/>
      <c r="AX38" s="144"/>
      <c r="AY38" s="144"/>
      <c r="AZ38" s="144"/>
      <c r="BA38" s="144"/>
      <c r="BB38" s="144"/>
    </row>
    <row r="39" spans="3:54" hidden="1" outlineLevel="1" x14ac:dyDescent="0.35">
      <c r="C39" s="127" t="s">
        <v>94</v>
      </c>
      <c r="D39" s="143" t="e">
        <f>-SUM(Kosten!$F$17:$F$22)</f>
        <v>#REF!</v>
      </c>
      <c r="E39" s="143" t="e">
        <f>-SUM(Kosten!$F$17:$F$22)</f>
        <v>#REF!</v>
      </c>
      <c r="F39" s="143" t="e">
        <f>-SUM(Kosten!$F$17:$F$22)</f>
        <v>#REF!</v>
      </c>
      <c r="G39" s="143" t="e">
        <f>-SUM(Kosten!$F$17:$F$22)</f>
        <v>#REF!</v>
      </c>
      <c r="H39" s="143" t="e">
        <f>-SUM(Kosten!$F$17:$F$22)</f>
        <v>#REF!</v>
      </c>
      <c r="I39" s="143" t="e">
        <f>-SUM(Kosten!$F$17:$F$22)</f>
        <v>#REF!</v>
      </c>
      <c r="J39" s="143" t="e">
        <f>-SUM(Kosten!$F$17:$F$22)</f>
        <v>#REF!</v>
      </c>
      <c r="K39" s="143" t="e">
        <f>-SUM(Kosten!$F$17:$F$22)</f>
        <v>#REF!</v>
      </c>
      <c r="L39" s="143" t="e">
        <f>-SUM(Kosten!$F$17:$F$22)</f>
        <v>#REF!</v>
      </c>
      <c r="M39" s="143" t="e">
        <f>-SUM(Kosten!$F$17:$F$22)</f>
        <v>#REF!</v>
      </c>
      <c r="N39" s="143" t="e">
        <f>-SUM(Kosten!$F$17:$F$22)</f>
        <v>#REF!</v>
      </c>
      <c r="O39" s="143" t="e">
        <f>-SUM(Kosten!$F$17:$F$22)</f>
        <v>#REF!</v>
      </c>
      <c r="P39" s="143" t="e">
        <f>-SUM(Kosten!$F$17:$F$22)</f>
        <v>#REF!</v>
      </c>
      <c r="Q39" s="143" t="e">
        <f>-SUM(Kosten!$F$17:$F$22)</f>
        <v>#REF!</v>
      </c>
      <c r="R39" s="143" t="e">
        <f>-SUM(Kosten!$F$17:$F$22)</f>
        <v>#REF!</v>
      </c>
      <c r="S39" s="143" t="e">
        <f>-SUM(Kosten!$F$17:$F$22)</f>
        <v>#REF!</v>
      </c>
      <c r="T39" s="143" t="e">
        <f>-SUM(Kosten!$F$17:$F$22)</f>
        <v>#REF!</v>
      </c>
      <c r="U39" s="143" t="e">
        <f>-SUM(Kosten!$F$17:$F$22)</f>
        <v>#REF!</v>
      </c>
      <c r="V39" s="143" t="e">
        <f>-SUM(Kosten!$F$17:$F$22)</f>
        <v>#REF!</v>
      </c>
      <c r="W39" s="143" t="e">
        <f>-SUM(Kosten!$F$17:$F$22)</f>
        <v>#REF!</v>
      </c>
      <c r="X39" s="143" t="e">
        <f>-SUM(Kosten!$F$17:$F$22)</f>
        <v>#REF!</v>
      </c>
      <c r="Y39" s="143" t="e">
        <f>-SUM(Kosten!$F$17:$F$22)</f>
        <v>#REF!</v>
      </c>
      <c r="Z39" s="143" t="e">
        <f>-SUM(Kosten!$F$17:$F$22)</f>
        <v>#REF!</v>
      </c>
      <c r="AA39" s="143" t="e">
        <f>-SUM(Kosten!$F$17:$F$22)</f>
        <v>#REF!</v>
      </c>
      <c r="AB39" s="143" t="e">
        <f>-SUM(Kosten!$F$17:$F$22)</f>
        <v>#REF!</v>
      </c>
      <c r="AC39" s="143" t="e">
        <f>-SUM(Kosten!$F$17:$F$22)</f>
        <v>#REF!</v>
      </c>
      <c r="AD39" s="143" t="e">
        <f>-SUM(Kosten!$F$17:$F$22)</f>
        <v>#REF!</v>
      </c>
      <c r="AE39" s="143" t="e">
        <f>-SUM(Kosten!$F$17:$F$22)</f>
        <v>#REF!</v>
      </c>
      <c r="AF39" s="143" t="e">
        <f>-SUM(Kosten!$F$17:$F$22)</f>
        <v>#REF!</v>
      </c>
      <c r="AG39" s="143" t="e">
        <f>-SUM(Kosten!$F$17:$F$22)</f>
        <v>#REF!</v>
      </c>
      <c r="AH39" s="143" t="e">
        <f>-SUM(Kosten!$F$17:$F$22)</f>
        <v>#REF!</v>
      </c>
      <c r="AI39" s="143" t="e">
        <f>-SUM(Kosten!$F$17:$F$22)</f>
        <v>#REF!</v>
      </c>
      <c r="AJ39" s="143" t="e">
        <f>-SUM(Kosten!$F$17:$F$22)</f>
        <v>#REF!</v>
      </c>
      <c r="AK39" s="143" t="e">
        <f>-SUM(Kosten!$F$17:$F$22)</f>
        <v>#REF!</v>
      </c>
      <c r="AL39" s="143" t="e">
        <f>-SUM(Kosten!$F$17:$F$22)</f>
        <v>#REF!</v>
      </c>
      <c r="AM39" s="143" t="e">
        <f>-SUM(Kosten!$F$17:$F$22)</f>
        <v>#REF!</v>
      </c>
      <c r="AN39" s="140" t="e">
        <f t="shared" si="0"/>
        <v>#REF!</v>
      </c>
      <c r="AQ39" s="140" t="e">
        <f t="shared" si="1"/>
        <v>#REF!</v>
      </c>
      <c r="AR39" s="140" t="e">
        <f t="shared" si="2"/>
        <v>#REF!</v>
      </c>
      <c r="AS39" s="140" t="e">
        <f t="shared" si="3"/>
        <v>#REF!</v>
      </c>
      <c r="AT39" s="140" t="e">
        <f t="shared" si="4"/>
        <v>#REF!</v>
      </c>
      <c r="AU39" s="140" t="e">
        <f t="shared" si="5"/>
        <v>#REF!</v>
      </c>
      <c r="AV39" s="140" t="e">
        <f t="shared" si="6"/>
        <v>#REF!</v>
      </c>
      <c r="AW39" s="140" t="e">
        <f t="shared" si="7"/>
        <v>#REF!</v>
      </c>
      <c r="AX39" s="140" t="e">
        <f t="shared" si="8"/>
        <v>#REF!</v>
      </c>
      <c r="AY39" s="140" t="e">
        <f t="shared" si="9"/>
        <v>#REF!</v>
      </c>
      <c r="AZ39" s="140" t="e">
        <f t="shared" si="10"/>
        <v>#REF!</v>
      </c>
      <c r="BA39" s="140" t="e">
        <f t="shared" si="11"/>
        <v>#REF!</v>
      </c>
      <c r="BB39" s="140" t="e">
        <f t="shared" si="12"/>
        <v>#REF!</v>
      </c>
    </row>
    <row r="40" spans="3:54" hidden="1" outlineLevel="1" x14ac:dyDescent="0.35">
      <c r="C40" s="127" t="s">
        <v>59</v>
      </c>
      <c r="D40" s="143" t="e">
        <f>-SUM(Kosten!$G$17:$G$22)</f>
        <v>#REF!</v>
      </c>
      <c r="E40" s="138"/>
      <c r="F40" s="138"/>
      <c r="G40" s="138"/>
      <c r="H40" s="138"/>
      <c r="I40" s="138"/>
      <c r="J40" s="138"/>
      <c r="K40" s="138"/>
      <c r="L40" s="138"/>
      <c r="M40" s="138"/>
      <c r="N40" s="138"/>
      <c r="O40" s="138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 t="e">
        <f t="shared" si="0"/>
        <v>#REF!</v>
      </c>
      <c r="AQ40" s="140" t="e">
        <f t="shared" si="1"/>
        <v>#REF!</v>
      </c>
      <c r="AR40" s="140">
        <f t="shared" si="2"/>
        <v>0</v>
      </c>
      <c r="AS40" s="140">
        <f t="shared" si="3"/>
        <v>0</v>
      </c>
      <c r="AT40" s="140">
        <f t="shared" si="4"/>
        <v>0</v>
      </c>
      <c r="AU40" s="140">
        <f t="shared" si="5"/>
        <v>0</v>
      </c>
      <c r="AV40" s="140">
        <f t="shared" si="6"/>
        <v>0</v>
      </c>
      <c r="AW40" s="140">
        <f t="shared" si="7"/>
        <v>0</v>
      </c>
      <c r="AX40" s="140">
        <f t="shared" si="8"/>
        <v>0</v>
      </c>
      <c r="AY40" s="140">
        <f t="shared" si="9"/>
        <v>0</v>
      </c>
      <c r="AZ40" s="140">
        <f t="shared" si="10"/>
        <v>0</v>
      </c>
      <c r="BA40" s="140">
        <f t="shared" si="11"/>
        <v>0</v>
      </c>
      <c r="BB40" s="140">
        <f t="shared" si="12"/>
        <v>0</v>
      </c>
    </row>
    <row r="41" spans="3:54" hidden="1" outlineLevel="1" x14ac:dyDescent="0.35">
      <c r="C41" s="127" t="s">
        <v>72</v>
      </c>
      <c r="D41" s="143" t="e">
        <f>-SUM(Kosten!$H$17:$H$22)</f>
        <v>#REF!</v>
      </c>
      <c r="E41" s="138"/>
      <c r="F41" s="138"/>
      <c r="G41" s="138"/>
      <c r="H41" s="138"/>
      <c r="I41" s="138"/>
      <c r="J41" s="138"/>
      <c r="K41" s="138"/>
      <c r="L41" s="138"/>
      <c r="M41" s="138"/>
      <c r="N41" s="138"/>
      <c r="O41" s="138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 t="e">
        <f t="shared" si="0"/>
        <v>#REF!</v>
      </c>
      <c r="AQ41" s="140" t="e">
        <f t="shared" si="1"/>
        <v>#REF!</v>
      </c>
      <c r="AR41" s="140">
        <f t="shared" si="2"/>
        <v>0</v>
      </c>
      <c r="AS41" s="140">
        <f t="shared" si="3"/>
        <v>0</v>
      </c>
      <c r="AT41" s="140">
        <f t="shared" si="4"/>
        <v>0</v>
      </c>
      <c r="AU41" s="140">
        <f t="shared" si="5"/>
        <v>0</v>
      </c>
      <c r="AV41" s="140">
        <f t="shared" si="6"/>
        <v>0</v>
      </c>
      <c r="AW41" s="140">
        <f t="shared" si="7"/>
        <v>0</v>
      </c>
      <c r="AX41" s="140">
        <f t="shared" si="8"/>
        <v>0</v>
      </c>
      <c r="AY41" s="140">
        <f t="shared" si="9"/>
        <v>0</v>
      </c>
      <c r="AZ41" s="140">
        <f t="shared" si="10"/>
        <v>0</v>
      </c>
      <c r="BA41" s="140">
        <f t="shared" si="11"/>
        <v>0</v>
      </c>
      <c r="BB41" s="140">
        <f t="shared" si="12"/>
        <v>0</v>
      </c>
    </row>
    <row r="42" spans="3:54" s="126" customFormat="1" collapsed="1" x14ac:dyDescent="0.35">
      <c r="C42" s="126" t="s">
        <v>41</v>
      </c>
      <c r="D42" s="139">
        <f>-'Preise Output'!$G$23</f>
        <v>-30000</v>
      </c>
      <c r="E42" s="139"/>
      <c r="F42" s="139"/>
      <c r="G42" s="139"/>
      <c r="H42" s="139"/>
      <c r="I42" s="139"/>
      <c r="J42" s="139"/>
      <c r="K42" s="139"/>
      <c r="L42" s="139"/>
      <c r="M42" s="139"/>
      <c r="N42" s="139"/>
      <c r="O42" s="139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4"/>
      <c r="AB42" s="144"/>
      <c r="AC42" s="144"/>
      <c r="AD42" s="144"/>
      <c r="AE42" s="144"/>
      <c r="AF42" s="144"/>
      <c r="AG42" s="144"/>
      <c r="AH42" s="144"/>
      <c r="AI42" s="144"/>
      <c r="AJ42" s="144"/>
      <c r="AK42" s="144"/>
      <c r="AL42" s="144"/>
      <c r="AM42" s="144"/>
      <c r="AN42" s="144">
        <f t="shared" si="0"/>
        <v>-30000</v>
      </c>
      <c r="AQ42" s="144">
        <f t="shared" si="1"/>
        <v>-30000</v>
      </c>
      <c r="AR42" s="144">
        <f t="shared" si="2"/>
        <v>0</v>
      </c>
      <c r="AS42" s="144">
        <f t="shared" si="3"/>
        <v>0</v>
      </c>
      <c r="AT42" s="144">
        <f t="shared" si="4"/>
        <v>0</v>
      </c>
      <c r="AU42" s="144">
        <f t="shared" si="5"/>
        <v>0</v>
      </c>
      <c r="AV42" s="144">
        <f t="shared" si="6"/>
        <v>0</v>
      </c>
      <c r="AW42" s="144">
        <f t="shared" si="7"/>
        <v>0</v>
      </c>
      <c r="AX42" s="144">
        <f t="shared" si="8"/>
        <v>0</v>
      </c>
      <c r="AY42" s="144">
        <f t="shared" si="9"/>
        <v>0</v>
      </c>
      <c r="AZ42" s="144">
        <f t="shared" si="10"/>
        <v>0</v>
      </c>
      <c r="BA42" s="144">
        <f t="shared" si="11"/>
        <v>0</v>
      </c>
      <c r="BB42" s="144">
        <f t="shared" si="12"/>
        <v>0</v>
      </c>
    </row>
    <row r="43" spans="3:54" s="126" customFormat="1" x14ac:dyDescent="0.35">
      <c r="C43" s="126" t="s">
        <v>18</v>
      </c>
      <c r="D43" s="139">
        <f>IFERROR(-'Preise Output'!$L$23/12/'Preise Output'!$F$23-('Preise Output'!$L$25-'Preise Output'!$L$23)/12/3,0)</f>
        <v>0</v>
      </c>
      <c r="E43" s="139">
        <f>IFERROR(-'Preise Output'!$L$23/12/'Preise Output'!$F$23-('Preise Output'!$L$25-'Preise Output'!$L$23)/12/3,0)</f>
        <v>0</v>
      </c>
      <c r="F43" s="139">
        <f>IFERROR(-'Preise Output'!$L$23/12/'Preise Output'!$F$23-('Preise Output'!$L$25-'Preise Output'!$L$23)/12/3,0)</f>
        <v>0</v>
      </c>
      <c r="G43" s="139">
        <f>IFERROR(-'Preise Output'!$L$23/12/'Preise Output'!$F$23-('Preise Output'!$L$25-'Preise Output'!$L$23)/12/3,0)</f>
        <v>0</v>
      </c>
      <c r="H43" s="139">
        <f>IFERROR(-'Preise Output'!$L$23/12/'Preise Output'!$F$23-('Preise Output'!$L$25-'Preise Output'!$L$23)/12/3,0)</f>
        <v>0</v>
      </c>
      <c r="I43" s="139">
        <f>IFERROR(-'Preise Output'!$L$23/12/'Preise Output'!$F$23-('Preise Output'!$L$25-'Preise Output'!$L$23)/12/3,0)</f>
        <v>0</v>
      </c>
      <c r="J43" s="139">
        <f>IFERROR(-'Preise Output'!$L$23/12/'Preise Output'!$F$23-('Preise Output'!$L$25-'Preise Output'!$L$23)/12/3,0)</f>
        <v>0</v>
      </c>
      <c r="K43" s="139">
        <f>IFERROR(-'Preise Output'!$L$23/12/'Preise Output'!$F$23-('Preise Output'!$L$25-'Preise Output'!$L$23)/12/3,0)</f>
        <v>0</v>
      </c>
      <c r="L43" s="139">
        <f>IFERROR(-'Preise Output'!$L$23/12/'Preise Output'!$F$23-('Preise Output'!$L$25-'Preise Output'!$L$23)/12/3,0)</f>
        <v>0</v>
      </c>
      <c r="M43" s="139">
        <f>IFERROR(-'Preise Output'!$L$23/12/'Preise Output'!$F$23-('Preise Output'!$L$25-'Preise Output'!$L$23)/12/3,0)</f>
        <v>0</v>
      </c>
      <c r="N43" s="139">
        <f>IFERROR(-'Preise Output'!$L$23/12/'Preise Output'!$F$23-('Preise Output'!$L$25-'Preise Output'!$L$23)/12/3,0)</f>
        <v>0</v>
      </c>
      <c r="O43" s="139">
        <f>IFERROR(-'Preise Output'!$L$23/12/'Preise Output'!$F$23-('Preise Output'!$L$25-'Preise Output'!$L$23)/12/3,0)</f>
        <v>0</v>
      </c>
      <c r="P43" s="139">
        <f>IFERROR(IF('Preise Output'!$F$23=1,-('Preise Output'!$L$25-'Preise Output'!$L$23)/12/3,-'Preise Output'!$L$23/12/'Preise Output'!$F$23-('Preise Output'!$L$25-'Preise Output'!$L$23)/12/3),0)</f>
        <v>0</v>
      </c>
      <c r="Q43" s="139">
        <f>IFERROR(IF('Preise Output'!$F$23=1,-('Preise Output'!$L$25-'Preise Output'!$L$23)/12/3,-'Preise Output'!$L$23/12/'Preise Output'!$F$23-('Preise Output'!$L$25-'Preise Output'!$L$23)/12/3),0)</f>
        <v>0</v>
      </c>
      <c r="R43" s="139">
        <f>IFERROR(IF('Preise Output'!$F$23=1,-('Preise Output'!$L$25-'Preise Output'!$L$23)/12/3,-'Preise Output'!$L$23/12/'Preise Output'!$F$23-('Preise Output'!$L$25-'Preise Output'!$L$23)/12/3),0)</f>
        <v>0</v>
      </c>
      <c r="S43" s="139">
        <f>IFERROR(IF('Preise Output'!$F$23=1,-('Preise Output'!$L$25-'Preise Output'!$L$23)/12/3,-'Preise Output'!$L$23/12/'Preise Output'!$F$23-('Preise Output'!$L$25-'Preise Output'!$L$23)/12/3),0)</f>
        <v>0</v>
      </c>
      <c r="T43" s="139">
        <f>IFERROR(IF('Preise Output'!$F$23=1,-('Preise Output'!$L$25-'Preise Output'!$L$23)/12/3,-'Preise Output'!$L$23/12/'Preise Output'!$F$23-('Preise Output'!$L$25-'Preise Output'!$L$23)/12/3),0)</f>
        <v>0</v>
      </c>
      <c r="U43" s="139">
        <f>IFERROR(IF('Preise Output'!$F$23=1,-('Preise Output'!$L$25-'Preise Output'!$L$23)/12/3,-'Preise Output'!$L$23/12/'Preise Output'!$F$23-('Preise Output'!$L$25-'Preise Output'!$L$23)/12/3),0)</f>
        <v>0</v>
      </c>
      <c r="V43" s="139">
        <f>IFERROR(IF('Preise Output'!$F$23=1,-('Preise Output'!$L$25-'Preise Output'!$L$23)/12/3,-'Preise Output'!$L$23/12/'Preise Output'!$F$23-('Preise Output'!$L$25-'Preise Output'!$L$23)/12/3),0)</f>
        <v>0</v>
      </c>
      <c r="W43" s="139">
        <f>IFERROR(IF('Preise Output'!$F$23=1,-('Preise Output'!$L$25-'Preise Output'!$L$23)/12/3,-'Preise Output'!$L$23/12/'Preise Output'!$F$23-('Preise Output'!$L$25-'Preise Output'!$L$23)/12/3),0)</f>
        <v>0</v>
      </c>
      <c r="X43" s="139">
        <f>IFERROR(IF('Preise Output'!$F$23=1,-('Preise Output'!$L$25-'Preise Output'!$L$23)/12/3,-'Preise Output'!$L$23/12/'Preise Output'!$F$23-('Preise Output'!$L$25-'Preise Output'!$L$23)/12/3),0)</f>
        <v>0</v>
      </c>
      <c r="Y43" s="139">
        <f>IFERROR(IF('Preise Output'!$F$23=1,-('Preise Output'!$L$25-'Preise Output'!$L$23)/12/3,-'Preise Output'!$L$23/12/'Preise Output'!$F$23-('Preise Output'!$L$25-'Preise Output'!$L$23)/12/3),0)</f>
        <v>0</v>
      </c>
      <c r="Z43" s="139">
        <f>IFERROR(IF('Preise Output'!$F$23=1,-('Preise Output'!$L$25-'Preise Output'!$L$23)/12/3,-'Preise Output'!$L$23/12/'Preise Output'!$F$23-('Preise Output'!$L$25-'Preise Output'!$L$23)/12/3),0)</f>
        <v>0</v>
      </c>
      <c r="AA43" s="139">
        <f>IFERROR(IF('Preise Output'!$F$23=1,-('Preise Output'!$L$25-'Preise Output'!$L$23)/12/3,-'Preise Output'!$L$23/12/'Preise Output'!$F$23-('Preise Output'!$L$25-'Preise Output'!$L$23)/12/3),0)</f>
        <v>0</v>
      </c>
      <c r="AB43" s="139">
        <f>IFERROR(IF('Preise Output'!$F$23=1,-('Preise Output'!$L$25-'Preise Output'!$L$23)/12/3,-'Preise Output'!$L$23/12/'Preise Output'!$F$23-('Preise Output'!$L$25-'Preise Output'!$L$23)/12/3),0)</f>
        <v>0</v>
      </c>
      <c r="AC43" s="139">
        <f>IFERROR(IF('Preise Output'!$F$23=1,-('Preise Output'!$L$25-'Preise Output'!$L$23)/12/3,-'Preise Output'!$L$23/12/'Preise Output'!$F$23-('Preise Output'!$L$25-'Preise Output'!$L$23)/12/3),0)</f>
        <v>0</v>
      </c>
      <c r="AD43" s="139">
        <f>IFERROR(IF('Preise Output'!$F$23=1,-('Preise Output'!$L$25-'Preise Output'!$L$23)/12/3,-'Preise Output'!$L$23/12/'Preise Output'!$F$23-('Preise Output'!$L$25-'Preise Output'!$L$23)/12/3),0)</f>
        <v>0</v>
      </c>
      <c r="AE43" s="139">
        <f>IFERROR(IF('Preise Output'!$F$23=1,-('Preise Output'!$L$25-'Preise Output'!$L$23)/12/3,-'Preise Output'!$L$23/12/'Preise Output'!$F$23-('Preise Output'!$L$25-'Preise Output'!$L$23)/12/3),0)</f>
        <v>0</v>
      </c>
      <c r="AF43" s="139">
        <f>IFERROR(IF('Preise Output'!$F$23=1,-('Preise Output'!$L$25-'Preise Output'!$L$23)/12/3,-'Preise Output'!$L$23/12/'Preise Output'!$F$23-('Preise Output'!$L$25-'Preise Output'!$L$23)/12/3),0)</f>
        <v>0</v>
      </c>
      <c r="AG43" s="139">
        <f>IFERROR(IF('Preise Output'!$F$23=1,-('Preise Output'!$L$25-'Preise Output'!$L$23)/12/3,-'Preise Output'!$L$23/12/'Preise Output'!$F$23-('Preise Output'!$L$25-'Preise Output'!$L$23)/12/3),0)</f>
        <v>0</v>
      </c>
      <c r="AH43" s="139">
        <f>IFERROR(IF('Preise Output'!$F$23=1,-('Preise Output'!$L$25-'Preise Output'!$L$23)/12/3,-'Preise Output'!$L$23/12/'Preise Output'!$F$23-('Preise Output'!$L$25-'Preise Output'!$L$23)/12/3),0)</f>
        <v>0</v>
      </c>
      <c r="AI43" s="139">
        <f>IFERROR(IF('Preise Output'!$F$23=1,-('Preise Output'!$L$25-'Preise Output'!$L$23)/12/3,-'Preise Output'!$L$23/12/'Preise Output'!$F$23-('Preise Output'!$L$25-'Preise Output'!$L$23)/12/3),0)</f>
        <v>0</v>
      </c>
      <c r="AJ43" s="139">
        <f>IFERROR(IF('Preise Output'!$F$23=1,-('Preise Output'!$L$25-'Preise Output'!$L$23)/12/3,-'Preise Output'!$L$23/12/'Preise Output'!$F$23-('Preise Output'!$L$25-'Preise Output'!$L$23)/12/3),0)</f>
        <v>0</v>
      </c>
      <c r="AK43" s="139">
        <f>IFERROR(IF('Preise Output'!$F$23=1,-('Preise Output'!$L$25-'Preise Output'!$L$23)/12/3,-'Preise Output'!$L$23/12/'Preise Output'!$F$23-('Preise Output'!$L$25-'Preise Output'!$L$23)/12/3),0)</f>
        <v>0</v>
      </c>
      <c r="AL43" s="139">
        <f>IFERROR(IF('Preise Output'!$F$23=1,-('Preise Output'!$L$25-'Preise Output'!$L$23)/12/3,-'Preise Output'!$L$23/12/'Preise Output'!$F$23-('Preise Output'!$L$25-'Preise Output'!$L$23)/12/3),0)</f>
        <v>0</v>
      </c>
      <c r="AM43" s="139">
        <f>IFERROR(IF('Preise Output'!$F$23=1,-('Preise Output'!$L$25-'Preise Output'!$L$23)/12/3,-'Preise Output'!$L$23/12/'Preise Output'!$F$23-('Preise Output'!$L$25-'Preise Output'!$L$23)/12/3),0)</f>
        <v>0</v>
      </c>
      <c r="AN43" s="144">
        <f t="shared" si="0"/>
        <v>0</v>
      </c>
      <c r="AQ43" s="144">
        <f t="shared" si="1"/>
        <v>0</v>
      </c>
      <c r="AR43" s="144">
        <f t="shared" si="2"/>
        <v>0</v>
      </c>
      <c r="AS43" s="144">
        <f t="shared" si="3"/>
        <v>0</v>
      </c>
      <c r="AT43" s="144">
        <f t="shared" si="4"/>
        <v>0</v>
      </c>
      <c r="AU43" s="144">
        <f t="shared" si="5"/>
        <v>0</v>
      </c>
      <c r="AV43" s="144">
        <f t="shared" si="6"/>
        <v>0</v>
      </c>
      <c r="AW43" s="144">
        <f t="shared" si="7"/>
        <v>0</v>
      </c>
      <c r="AX43" s="144">
        <f t="shared" si="8"/>
        <v>0</v>
      </c>
      <c r="AY43" s="144">
        <f t="shared" si="9"/>
        <v>0</v>
      </c>
      <c r="AZ43" s="144">
        <f t="shared" si="10"/>
        <v>0</v>
      </c>
      <c r="BA43" s="144">
        <f t="shared" si="11"/>
        <v>0</v>
      </c>
      <c r="BB43" s="144">
        <f t="shared" si="12"/>
        <v>0</v>
      </c>
    </row>
    <row r="44" spans="3:54" x14ac:dyDescent="0.35">
      <c r="C44" s="126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Q44" s="140">
        <f t="shared" si="1"/>
        <v>0</v>
      </c>
      <c r="AR44" s="140">
        <f t="shared" si="2"/>
        <v>0</v>
      </c>
      <c r="AS44" s="140">
        <f t="shared" si="3"/>
        <v>0</v>
      </c>
      <c r="AT44" s="140">
        <f t="shared" si="4"/>
        <v>0</v>
      </c>
      <c r="AU44" s="140">
        <f t="shared" si="5"/>
        <v>0</v>
      </c>
      <c r="AV44" s="140">
        <f t="shared" si="6"/>
        <v>0</v>
      </c>
      <c r="AW44" s="140">
        <f t="shared" si="7"/>
        <v>0</v>
      </c>
      <c r="AX44" s="140">
        <f t="shared" si="8"/>
        <v>0</v>
      </c>
      <c r="AY44" s="140">
        <f t="shared" si="9"/>
        <v>0</v>
      </c>
      <c r="AZ44" s="140">
        <f t="shared" si="10"/>
        <v>0</v>
      </c>
      <c r="BA44" s="140">
        <f t="shared" si="11"/>
        <v>0</v>
      </c>
      <c r="BB44" s="140">
        <f t="shared" si="12"/>
        <v>0</v>
      </c>
    </row>
    <row r="45" spans="3:54" s="126" customFormat="1" x14ac:dyDescent="0.35">
      <c r="C45" s="126" t="s">
        <v>152</v>
      </c>
      <c r="D45" s="139" t="e">
        <f t="shared" ref="D45:AM45" si="19">SUM(D6:D7)+D9+D18+D25+D33+D38+D42+D43</f>
        <v>#REF!</v>
      </c>
      <c r="E45" s="139" t="e">
        <f t="shared" si="19"/>
        <v>#N/A</v>
      </c>
      <c r="F45" s="139" t="e">
        <f t="shared" si="19"/>
        <v>#N/A</v>
      </c>
      <c r="G45" s="139" t="e">
        <f t="shared" si="19"/>
        <v>#REF!</v>
      </c>
      <c r="H45" s="139" t="e">
        <f t="shared" si="19"/>
        <v>#N/A</v>
      </c>
      <c r="I45" s="139" t="e">
        <f t="shared" si="19"/>
        <v>#N/A</v>
      </c>
      <c r="J45" s="139" t="e">
        <f t="shared" si="19"/>
        <v>#REF!</v>
      </c>
      <c r="K45" s="139" t="e">
        <f t="shared" si="19"/>
        <v>#N/A</v>
      </c>
      <c r="L45" s="139" t="e">
        <f t="shared" si="19"/>
        <v>#N/A</v>
      </c>
      <c r="M45" s="139" t="e">
        <f t="shared" si="19"/>
        <v>#REF!</v>
      </c>
      <c r="N45" s="139" t="e">
        <f t="shared" si="19"/>
        <v>#N/A</v>
      </c>
      <c r="O45" s="139" t="e">
        <f t="shared" si="19"/>
        <v>#REF!</v>
      </c>
      <c r="P45" s="139" t="e">
        <f t="shared" si="19"/>
        <v>#REF!</v>
      </c>
      <c r="Q45" s="139" t="e">
        <f t="shared" si="19"/>
        <v>#N/A</v>
      </c>
      <c r="R45" s="139" t="e">
        <f t="shared" si="19"/>
        <v>#N/A</v>
      </c>
      <c r="S45" s="139" t="e">
        <f t="shared" si="19"/>
        <v>#REF!</v>
      </c>
      <c r="T45" s="139" t="e">
        <f t="shared" si="19"/>
        <v>#N/A</v>
      </c>
      <c r="U45" s="139" t="e">
        <f t="shared" si="19"/>
        <v>#N/A</v>
      </c>
      <c r="V45" s="139" t="e">
        <f t="shared" si="19"/>
        <v>#REF!</v>
      </c>
      <c r="W45" s="139" t="e">
        <f t="shared" si="19"/>
        <v>#N/A</v>
      </c>
      <c r="X45" s="139" t="e">
        <f t="shared" si="19"/>
        <v>#N/A</v>
      </c>
      <c r="Y45" s="139" t="e">
        <f t="shared" si="19"/>
        <v>#REF!</v>
      </c>
      <c r="Z45" s="139" t="e">
        <f t="shared" si="19"/>
        <v>#N/A</v>
      </c>
      <c r="AA45" s="139" t="e">
        <f t="shared" si="19"/>
        <v>#REF!</v>
      </c>
      <c r="AB45" s="139" t="e">
        <f t="shared" si="19"/>
        <v>#REF!</v>
      </c>
      <c r="AC45" s="139" t="e">
        <f t="shared" si="19"/>
        <v>#N/A</v>
      </c>
      <c r="AD45" s="139" t="e">
        <f t="shared" si="19"/>
        <v>#N/A</v>
      </c>
      <c r="AE45" s="139" t="e">
        <f t="shared" si="19"/>
        <v>#REF!</v>
      </c>
      <c r="AF45" s="139" t="e">
        <f t="shared" si="19"/>
        <v>#N/A</v>
      </c>
      <c r="AG45" s="139" t="e">
        <f t="shared" si="19"/>
        <v>#N/A</v>
      </c>
      <c r="AH45" s="139" t="e">
        <f t="shared" si="19"/>
        <v>#REF!</v>
      </c>
      <c r="AI45" s="139" t="e">
        <f t="shared" si="19"/>
        <v>#N/A</v>
      </c>
      <c r="AJ45" s="139" t="e">
        <f t="shared" si="19"/>
        <v>#N/A</v>
      </c>
      <c r="AK45" s="139" t="e">
        <f t="shared" si="19"/>
        <v>#REF!</v>
      </c>
      <c r="AL45" s="139" t="e">
        <f t="shared" si="19"/>
        <v>#N/A</v>
      </c>
      <c r="AM45" s="139" t="e">
        <f t="shared" si="19"/>
        <v>#REF!</v>
      </c>
      <c r="AN45" s="140" t="e">
        <f>SUM(D45:AM45)</f>
        <v>#REF!</v>
      </c>
      <c r="AO45" s="144"/>
      <c r="AQ45" s="140" t="e">
        <f t="shared" si="1"/>
        <v>#REF!</v>
      </c>
      <c r="AR45" s="140" t="e">
        <f t="shared" si="2"/>
        <v>#REF!</v>
      </c>
      <c r="AS45" s="140" t="e">
        <f t="shared" si="3"/>
        <v>#REF!</v>
      </c>
      <c r="AT45" s="140" t="e">
        <f t="shared" si="4"/>
        <v>#REF!</v>
      </c>
      <c r="AU45" s="140" t="e">
        <f t="shared" si="5"/>
        <v>#REF!</v>
      </c>
      <c r="AV45" s="140" t="e">
        <f t="shared" si="6"/>
        <v>#REF!</v>
      </c>
      <c r="AW45" s="140" t="e">
        <f t="shared" si="7"/>
        <v>#REF!</v>
      </c>
      <c r="AX45" s="140" t="e">
        <f t="shared" si="8"/>
        <v>#REF!</v>
      </c>
      <c r="AY45" s="140" t="e">
        <f t="shared" si="9"/>
        <v>#REF!</v>
      </c>
      <c r="AZ45" s="140" t="e">
        <f t="shared" si="10"/>
        <v>#REF!</v>
      </c>
      <c r="BA45" s="140" t="e">
        <f t="shared" si="11"/>
        <v>#REF!</v>
      </c>
      <c r="BB45" s="140" t="e">
        <f t="shared" si="12"/>
        <v>#REF!</v>
      </c>
    </row>
    <row r="46" spans="3:54" x14ac:dyDescent="0.35">
      <c r="C46" s="126" t="s">
        <v>153</v>
      </c>
      <c r="D46" s="142" t="e">
        <f>D45</f>
        <v>#REF!</v>
      </c>
      <c r="E46" s="142" t="e">
        <f>D46+E45</f>
        <v>#REF!</v>
      </c>
      <c r="F46" s="142" t="e">
        <f t="shared" ref="F46:G46" si="20">E46+F45</f>
        <v>#REF!</v>
      </c>
      <c r="G46" s="142" t="e">
        <f t="shared" si="20"/>
        <v>#REF!</v>
      </c>
      <c r="H46" s="142" t="e">
        <f t="shared" ref="H46" si="21">G46+H45</f>
        <v>#REF!</v>
      </c>
      <c r="I46" s="142" t="e">
        <f t="shared" ref="I46" si="22">H46+I45</f>
        <v>#REF!</v>
      </c>
      <c r="J46" s="142" t="e">
        <f t="shared" ref="J46" si="23">I46+J45</f>
        <v>#REF!</v>
      </c>
      <c r="K46" s="142" t="e">
        <f t="shared" ref="K46" si="24">J46+K45</f>
        <v>#REF!</v>
      </c>
      <c r="L46" s="142" t="e">
        <f t="shared" ref="L46" si="25">K46+L45</f>
        <v>#REF!</v>
      </c>
      <c r="M46" s="142" t="e">
        <f t="shared" ref="M46" si="26">L46+M45</f>
        <v>#REF!</v>
      </c>
      <c r="N46" s="142" t="e">
        <f t="shared" ref="N46" si="27">M46+N45</f>
        <v>#REF!</v>
      </c>
      <c r="O46" s="142" t="e">
        <f t="shared" ref="O46" si="28">N46+O45</f>
        <v>#REF!</v>
      </c>
      <c r="P46" s="142" t="e">
        <f t="shared" ref="P46" si="29">O46+P45</f>
        <v>#REF!</v>
      </c>
      <c r="Q46" s="142" t="e">
        <f t="shared" ref="Q46" si="30">P46+Q45</f>
        <v>#REF!</v>
      </c>
      <c r="R46" s="142" t="e">
        <f t="shared" ref="R46" si="31">Q46+R45</f>
        <v>#REF!</v>
      </c>
      <c r="S46" s="142" t="e">
        <f t="shared" ref="S46" si="32">R46+S45</f>
        <v>#REF!</v>
      </c>
      <c r="T46" s="142" t="e">
        <f t="shared" ref="T46" si="33">S46+T45</f>
        <v>#REF!</v>
      </c>
      <c r="U46" s="142" t="e">
        <f t="shared" ref="U46" si="34">T46+U45</f>
        <v>#REF!</v>
      </c>
      <c r="V46" s="142" t="e">
        <f t="shared" ref="V46" si="35">U46+V45</f>
        <v>#REF!</v>
      </c>
      <c r="W46" s="142" t="e">
        <f t="shared" ref="W46" si="36">V46+W45</f>
        <v>#REF!</v>
      </c>
      <c r="X46" s="142" t="e">
        <f t="shared" ref="X46" si="37">W46+X45</f>
        <v>#REF!</v>
      </c>
      <c r="Y46" s="142" t="e">
        <f t="shared" ref="Y46" si="38">X46+Y45</f>
        <v>#REF!</v>
      </c>
      <c r="Z46" s="142" t="e">
        <f t="shared" ref="Z46" si="39">Y46+Z45</f>
        <v>#REF!</v>
      </c>
      <c r="AA46" s="142" t="e">
        <f t="shared" ref="AA46" si="40">Z46+AA45</f>
        <v>#REF!</v>
      </c>
      <c r="AB46" s="142" t="e">
        <f t="shared" ref="AB46" si="41">AA46+AB45</f>
        <v>#REF!</v>
      </c>
      <c r="AC46" s="142" t="e">
        <f t="shared" ref="AC46" si="42">AB46+AC45</f>
        <v>#REF!</v>
      </c>
      <c r="AD46" s="142" t="e">
        <f t="shared" ref="AD46" si="43">AC46+AD45</f>
        <v>#REF!</v>
      </c>
      <c r="AE46" s="142" t="e">
        <f t="shared" ref="AE46" si="44">AD46+AE45</f>
        <v>#REF!</v>
      </c>
      <c r="AF46" s="142" t="e">
        <f t="shared" ref="AF46" si="45">AE46+AF45</f>
        <v>#REF!</v>
      </c>
      <c r="AG46" s="142" t="e">
        <f t="shared" ref="AG46" si="46">AF46+AG45</f>
        <v>#REF!</v>
      </c>
      <c r="AH46" s="142" t="e">
        <f t="shared" ref="AH46" si="47">AG46+AH45</f>
        <v>#REF!</v>
      </c>
      <c r="AI46" s="142" t="e">
        <f t="shared" ref="AI46" si="48">AH46+AI45</f>
        <v>#REF!</v>
      </c>
      <c r="AJ46" s="142" t="e">
        <f t="shared" ref="AJ46" si="49">AI46+AJ45</f>
        <v>#REF!</v>
      </c>
      <c r="AK46" s="142" t="e">
        <f t="shared" ref="AK46" si="50">AJ46+AK45</f>
        <v>#REF!</v>
      </c>
      <c r="AL46" s="142" t="e">
        <f t="shared" ref="AL46" si="51">AK46+AL45</f>
        <v>#REF!</v>
      </c>
      <c r="AM46" s="142" t="e">
        <f t="shared" ref="AM46" si="52">AL46+AM45</f>
        <v>#REF!</v>
      </c>
      <c r="AN46" s="140"/>
      <c r="AQ46" s="140" t="e">
        <f>AQ45</f>
        <v>#REF!</v>
      </c>
      <c r="AR46" s="140" t="e">
        <f>AQ46+AR45</f>
        <v>#REF!</v>
      </c>
      <c r="AS46" s="140" t="e">
        <f t="shared" ref="AS46:BB46" si="53">AR46+AS45</f>
        <v>#REF!</v>
      </c>
      <c r="AT46" s="140" t="e">
        <f t="shared" si="53"/>
        <v>#REF!</v>
      </c>
      <c r="AU46" s="140" t="e">
        <f t="shared" si="53"/>
        <v>#REF!</v>
      </c>
      <c r="AV46" s="140" t="e">
        <f t="shared" si="53"/>
        <v>#REF!</v>
      </c>
      <c r="AW46" s="140" t="e">
        <f t="shared" si="53"/>
        <v>#REF!</v>
      </c>
      <c r="AX46" s="140" t="e">
        <f t="shared" si="53"/>
        <v>#REF!</v>
      </c>
      <c r="AY46" s="140" t="e">
        <f t="shared" si="53"/>
        <v>#REF!</v>
      </c>
      <c r="AZ46" s="140" t="e">
        <f t="shared" si="53"/>
        <v>#REF!</v>
      </c>
      <c r="BA46" s="140" t="e">
        <f t="shared" si="53"/>
        <v>#REF!</v>
      </c>
      <c r="BB46" s="140" t="e">
        <f t="shared" si="53"/>
        <v>#REF!</v>
      </c>
    </row>
    <row r="48" spans="3:54" x14ac:dyDescent="0.35">
      <c r="AP48">
        <v>-5000</v>
      </c>
      <c r="AQ48" s="140" t="e">
        <f>AQ45+5000</f>
        <v>#REF!</v>
      </c>
      <c r="AR48" s="140" t="e">
        <f>AR45</f>
        <v>#REF!</v>
      </c>
      <c r="AS48" s="140" t="e">
        <f>AS45</f>
        <v>#REF!</v>
      </c>
      <c r="AT48" s="140" t="e">
        <f>AT45</f>
        <v>#REF!</v>
      </c>
    </row>
    <row r="49" spans="43:46" x14ac:dyDescent="0.35">
      <c r="AQ49" s="140" t="e">
        <f>AP48+AQ48</f>
        <v>#REF!</v>
      </c>
      <c r="AR49" s="140" t="e">
        <f>AQ49+AR48</f>
        <v>#REF!</v>
      </c>
      <c r="AS49" s="140" t="e">
        <f>AR49+AS48</f>
        <v>#REF!</v>
      </c>
      <c r="AT49" s="14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4" width="35" customWidth="1"/>
    <col min="5" max="5" width="24.26953125" customWidth="1"/>
    <col min="6" max="6" width="21.26953125" bestFit="1" customWidth="1"/>
    <col min="7" max="7" width="20.26953125" customWidth="1"/>
    <col min="8" max="8" width="17.269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54296875" style="147" customWidth="1"/>
    <col min="17" max="17" width="15.453125" style="147" customWidth="1"/>
    <col min="18" max="18" width="12.26953125" style="147" bestFit="1" customWidth="1"/>
    <col min="19" max="19" width="12.7265625" style="147" bestFit="1" customWidth="1"/>
    <col min="20" max="20" width="12.7265625" style="147" customWidth="1"/>
    <col min="21" max="21" width="13.26953125" style="147" bestFit="1" customWidth="1"/>
  </cols>
  <sheetData>
    <row r="2" spans="2:21" s="94" customFormat="1" ht="24" customHeight="1" x14ac:dyDescent="0.35">
      <c r="B2" s="94" t="s">
        <v>154</v>
      </c>
      <c r="P2" s="146"/>
      <c r="Q2" s="146"/>
      <c r="R2" s="146"/>
      <c r="S2" s="146"/>
      <c r="T2" s="146"/>
      <c r="U2" s="146"/>
    </row>
    <row r="3" spans="2:21" x14ac:dyDescent="0.35">
      <c r="F3" t="s">
        <v>58</v>
      </c>
      <c r="G3" t="s">
        <v>59</v>
      </c>
      <c r="H3" t="s">
        <v>72</v>
      </c>
      <c r="I3" t="s">
        <v>73</v>
      </c>
      <c r="J3" t="s">
        <v>74</v>
      </c>
      <c r="K3" t="s">
        <v>155</v>
      </c>
      <c r="L3" t="s">
        <v>155</v>
      </c>
      <c r="M3" t="s">
        <v>62</v>
      </c>
    </row>
    <row r="4" spans="2:21" s="1" customFormat="1" ht="43.5" x14ac:dyDescent="0.35">
      <c r="B4" s="122" t="s">
        <v>7</v>
      </c>
      <c r="C4" s="122" t="s">
        <v>55</v>
      </c>
      <c r="D4" s="122" t="s">
        <v>21</v>
      </c>
      <c r="E4" s="122" t="s">
        <v>77</v>
      </c>
      <c r="F4" s="122" t="s">
        <v>78</v>
      </c>
      <c r="G4" s="122" t="s">
        <v>82</v>
      </c>
      <c r="H4" s="122" t="s">
        <v>79</v>
      </c>
      <c r="I4" s="122" t="s">
        <v>80</v>
      </c>
      <c r="J4" s="122" t="s">
        <v>81</v>
      </c>
      <c r="K4" s="122" t="s">
        <v>83</v>
      </c>
      <c r="L4" s="122" t="s">
        <v>84</v>
      </c>
      <c r="M4" s="122" t="s">
        <v>85</v>
      </c>
      <c r="N4" s="122" t="s">
        <v>61</v>
      </c>
      <c r="P4" s="148" t="s">
        <v>156</v>
      </c>
      <c r="Q4" s="148" t="s">
        <v>157</v>
      </c>
      <c r="R4" s="148" t="s">
        <v>149</v>
      </c>
      <c r="S4" s="148" t="s">
        <v>92</v>
      </c>
      <c r="T4" s="148" t="s">
        <v>158</v>
      </c>
      <c r="U4" s="148" t="s">
        <v>24</v>
      </c>
    </row>
    <row r="5" spans="2:21" s="1" customFormat="1" x14ac:dyDescent="0.35">
      <c r="B5" s="9" t="s">
        <v>88</v>
      </c>
      <c r="C5" s="10" t="s">
        <v>179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48" t="e">
        <f>'Preise Output'!#REF!</f>
        <v>#REF!</v>
      </c>
      <c r="Q5" s="148" t="e">
        <f>SUM(F5:G5)</f>
        <v>#REF!</v>
      </c>
      <c r="R5" s="148" t="e">
        <f>H5+I5*2+J5*3+M5*3+N5</f>
        <v>#REF!</v>
      </c>
      <c r="S5" s="148" t="e">
        <f>'Preise Output'!#REF!</f>
        <v>#REF!</v>
      </c>
      <c r="T5" s="148" t="e">
        <f>SUM(Q5:S5)</f>
        <v>#REF!</v>
      </c>
      <c r="U5" s="148" t="e">
        <f>P5-T5</f>
        <v>#REF!</v>
      </c>
    </row>
    <row r="6" spans="2:21" s="1" customFormat="1" x14ac:dyDescent="0.35">
      <c r="B6" s="9" t="s">
        <v>88</v>
      </c>
      <c r="C6" s="10" t="s">
        <v>180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48" t="e">
        <f>'Preise Output'!#REF!</f>
        <v>#REF!</v>
      </c>
      <c r="Q6" s="148" t="e">
        <f>SUM(F6:G6)</f>
        <v>#REF!</v>
      </c>
      <c r="R6" s="148" t="e">
        <f>H6+I6*2+J6*3+M6*3+N6</f>
        <v>#REF!</v>
      </c>
      <c r="S6" s="148" t="e">
        <f>'Preise Output'!#REF!</f>
        <v>#REF!</v>
      </c>
      <c r="T6" s="148" t="e">
        <f t="shared" ref="T6:T27" si="0">SUM(Q6:S6)</f>
        <v>#REF!</v>
      </c>
      <c r="U6" s="148" t="e">
        <f t="shared" ref="U6:U27" si="1">P6-T6</f>
        <v>#REF!</v>
      </c>
    </row>
    <row r="7" spans="2:21" s="1" customFormat="1" x14ac:dyDescent="0.35">
      <c r="B7" s="9" t="s">
        <v>88</v>
      </c>
      <c r="C7" s="10" t="s">
        <v>186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48" t="e">
        <f>'Preise Output'!#REF!</f>
        <v>#REF!</v>
      </c>
      <c r="Q7" s="148" t="e">
        <f>SUM(F7:G7)</f>
        <v>#REF!</v>
      </c>
      <c r="R7" s="148" t="e">
        <f>H7+I7*2+J7*3+M7*3+N7</f>
        <v>#REF!</v>
      </c>
      <c r="S7" s="148" t="e">
        <f>'Preise Output'!#REF!</f>
        <v>#REF!</v>
      </c>
      <c r="T7" s="148" t="e">
        <f t="shared" si="0"/>
        <v>#REF!</v>
      </c>
      <c r="U7" s="148" t="e">
        <f t="shared" si="1"/>
        <v>#REF!</v>
      </c>
    </row>
    <row r="8" spans="2:21" s="1" customFormat="1" x14ac:dyDescent="0.35">
      <c r="B8" s="9" t="s">
        <v>88</v>
      </c>
      <c r="C8" s="10" t="s">
        <v>183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48"/>
      <c r="Q8" s="148"/>
      <c r="R8" s="148"/>
      <c r="S8" s="148"/>
      <c r="T8" s="148"/>
      <c r="U8" s="148"/>
    </row>
    <row r="9" spans="2:21" s="1" customFormat="1" x14ac:dyDescent="0.35">
      <c r="B9" s="9" t="s">
        <v>88</v>
      </c>
      <c r="C9" s="10" t="s">
        <v>34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48" t="e">
        <f>'Preise Output'!#REF!</f>
        <v>#REF!</v>
      </c>
      <c r="Q9" s="148" t="e">
        <f>SUM(F9:G9)</f>
        <v>#REF!</v>
      </c>
      <c r="R9" s="148" t="e">
        <f>H9+I9*2+J9*3+M9*3+N9</f>
        <v>#REF!</v>
      </c>
      <c r="S9" s="148" t="e">
        <f>'Preise Output'!#REF!</f>
        <v>#REF!</v>
      </c>
      <c r="T9" s="148" t="e">
        <f t="shared" ref="T9" si="2">SUM(Q9:S9)</f>
        <v>#REF!</v>
      </c>
      <c r="U9" s="148" t="e">
        <f t="shared" ref="U9" si="3">P9-T9</f>
        <v>#REF!</v>
      </c>
    </row>
    <row r="10" spans="2:21" s="1" customFormat="1" x14ac:dyDescent="0.35">
      <c r="B10" s="14" t="s">
        <v>90</v>
      </c>
      <c r="C10" s="15" t="s">
        <v>176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48" t="e">
        <f>'Preise Output'!#REF!</f>
        <v>#REF!</v>
      </c>
      <c r="Q10" s="148" t="e">
        <f t="shared" ref="Q10:Q13" si="4">SUM(F10:G10)</f>
        <v>#REF!</v>
      </c>
      <c r="R10" s="148" t="e">
        <f>H10+I10*2+J10*3+M10*3+N10</f>
        <v>#REF!</v>
      </c>
      <c r="S10" s="148" t="e">
        <f>'Preise Output'!#REF!</f>
        <v>#REF!</v>
      </c>
      <c r="T10" s="148" t="e">
        <f t="shared" si="0"/>
        <v>#REF!</v>
      </c>
      <c r="U10" s="148" t="e">
        <f t="shared" si="1"/>
        <v>#REF!</v>
      </c>
    </row>
    <row r="11" spans="2:21" s="1" customFormat="1" ht="29" x14ac:dyDescent="0.35">
      <c r="B11" s="14" t="s">
        <v>90</v>
      </c>
      <c r="C11" s="15" t="s">
        <v>35</v>
      </c>
      <c r="D11" s="15">
        <f>'Preise Output'!D18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48">
        <f>'Preise Output'!I18</f>
        <v>0</v>
      </c>
      <c r="Q11" s="148" t="e">
        <f t="shared" si="4"/>
        <v>#N/A</v>
      </c>
      <c r="R11" s="148" t="e">
        <f>H11+I11*2+J11*3+M11*3+N11</f>
        <v>#N/A</v>
      </c>
      <c r="S11" s="148">
        <f>'Preise Output'!L18</f>
        <v>0</v>
      </c>
      <c r="T11" s="148" t="e">
        <f t="shared" si="0"/>
        <v>#N/A</v>
      </c>
      <c r="U11" s="148" t="e">
        <f t="shared" si="1"/>
        <v>#N/A</v>
      </c>
    </row>
    <row r="12" spans="2:21" s="5" customFormat="1" ht="29" x14ac:dyDescent="0.35">
      <c r="B12" s="19" t="s">
        <v>91</v>
      </c>
      <c r="C12" s="19" t="s">
        <v>36</v>
      </c>
      <c r="D12" s="19">
        <f>'Preise Output'!D19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48">
        <f>'Preise Output'!I19</f>
        <v>0</v>
      </c>
      <c r="Q12" s="148" t="e">
        <f t="shared" si="4"/>
        <v>#N/A</v>
      </c>
      <c r="R12" s="148" t="e">
        <f>H12+I12*2+J12*3+M12*3+N12+L12*3+K12*3</f>
        <v>#N/A</v>
      </c>
      <c r="S12" s="148">
        <f>'Preise Output'!L19</f>
        <v>0</v>
      </c>
      <c r="T12" s="148" t="e">
        <f t="shared" ref="T12:T13" si="5">SUM(Q12:S12)</f>
        <v>#N/A</v>
      </c>
      <c r="U12" s="148" t="e">
        <f t="shared" ref="U12:U13" si="6">P12-T12</f>
        <v>#N/A</v>
      </c>
    </row>
    <row r="13" spans="2:21" s="5" customFormat="1" ht="29" x14ac:dyDescent="0.35">
      <c r="B13" s="19" t="s">
        <v>91</v>
      </c>
      <c r="C13" s="19" t="s">
        <v>38</v>
      </c>
      <c r="D13" s="19">
        <f>'Preise Output'!D20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48">
        <f>'Preise Output'!I20</f>
        <v>0</v>
      </c>
      <c r="Q13" s="148" t="e">
        <f t="shared" si="4"/>
        <v>#N/A</v>
      </c>
      <c r="R13" s="148" t="e">
        <f>H13+I13*2+J13*3+M13*3+N13+L13*3+K13*3</f>
        <v>#N/A</v>
      </c>
      <c r="S13" s="148">
        <f>'Preise Output'!L20</f>
        <v>0</v>
      </c>
      <c r="T13" s="148" t="e">
        <f t="shared" si="5"/>
        <v>#N/A</v>
      </c>
      <c r="U13" s="148" t="e">
        <f t="shared" si="6"/>
        <v>#N/A</v>
      </c>
    </row>
    <row r="14" spans="2:21" s="5" customFormat="1" x14ac:dyDescent="0.35">
      <c r="B14" s="19" t="s">
        <v>91</v>
      </c>
      <c r="C14" s="19" t="s">
        <v>39</v>
      </c>
      <c r="D14" s="19">
        <f>'Preise Output'!D21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48">
        <f>'Preise Output'!I21</f>
        <v>0</v>
      </c>
      <c r="Q14" s="148" t="e">
        <f t="shared" ref="Q14" si="7">SUM(F14:G14)</f>
        <v>#N/A</v>
      </c>
      <c r="R14" s="148" t="e">
        <f>H14+I14*2+J14*3+M14*3+N14+L14*3+K14*3</f>
        <v>#N/A</v>
      </c>
      <c r="S14" s="148">
        <f>'Preise Output'!L21</f>
        <v>0</v>
      </c>
      <c r="T14" s="148" t="e">
        <f t="shared" ref="T14" si="8">SUM(Q14:S14)</f>
        <v>#N/A</v>
      </c>
      <c r="U14" s="148" t="e">
        <f t="shared" ref="U14" si="9">P14-T14</f>
        <v>#N/A</v>
      </c>
    </row>
    <row r="15" spans="2:21" s="1" customFormat="1" x14ac:dyDescent="0.35">
      <c r="B15" s="31" t="s">
        <v>92</v>
      </c>
      <c r="C15" s="32" t="s">
        <v>40</v>
      </c>
      <c r="D15" s="32">
        <f>'Preise Output'!D22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48">
        <f>'Preise Output'!I22</f>
        <v>0</v>
      </c>
      <c r="Q15" s="148" t="e">
        <f>F15*36+G15+E15</f>
        <v>#N/A</v>
      </c>
      <c r="R15" s="148" t="e">
        <f>H15+I15*2+J15*3+M15*3+N15</f>
        <v>#N/A</v>
      </c>
      <c r="S15" s="148">
        <f>'Preise Output'!L22</f>
        <v>0</v>
      </c>
      <c r="T15" s="148" t="e">
        <f t="shared" si="0"/>
        <v>#N/A</v>
      </c>
      <c r="U15" s="148" t="e">
        <f t="shared" si="1"/>
        <v>#N/A</v>
      </c>
    </row>
    <row r="16" spans="2:21" s="1" customFormat="1" x14ac:dyDescent="0.35">
      <c r="B16" s="31" t="s">
        <v>92</v>
      </c>
      <c r="C16" s="32" t="s">
        <v>41</v>
      </c>
      <c r="D16" s="32">
        <f>'Preise Output'!D23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48">
        <f>'Preise Output'!I23</f>
        <v>41136</v>
      </c>
      <c r="Q16" s="148" t="e">
        <f>SUM(F16:G16)</f>
        <v>#N/A</v>
      </c>
      <c r="R16" s="148" t="e">
        <f t="shared" ref="R16:R26" si="10">H16+I16*2+J16*3+M16*3+N16</f>
        <v>#N/A</v>
      </c>
      <c r="S16" s="148">
        <f>'Preise Output'!L23</f>
        <v>0</v>
      </c>
      <c r="T16" s="148" t="e">
        <f t="shared" si="0"/>
        <v>#N/A</v>
      </c>
      <c r="U16" s="148" t="e">
        <f t="shared" si="1"/>
        <v>#N/A</v>
      </c>
    </row>
    <row r="17" spans="2:22" s="5" customFormat="1" x14ac:dyDescent="0.35">
      <c r="B17" s="25" t="s">
        <v>93</v>
      </c>
      <c r="C17" s="25" t="s">
        <v>42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48" t="e">
        <f>'Preise Output'!#REF!</f>
        <v>#REF!</v>
      </c>
      <c r="Q17" s="148" t="e">
        <f t="shared" ref="Q17:Q26" si="11">F17*36+G17</f>
        <v>#REF!</v>
      </c>
      <c r="R17" s="148" t="e">
        <f t="shared" si="10"/>
        <v>#REF!</v>
      </c>
      <c r="S17" s="148" t="e">
        <f>'Preise Output'!#REF!</f>
        <v>#REF!</v>
      </c>
      <c r="T17" s="148" t="e">
        <f t="shared" si="0"/>
        <v>#REF!</v>
      </c>
      <c r="U17" s="148" t="e">
        <f t="shared" si="1"/>
        <v>#REF!</v>
      </c>
    </row>
    <row r="18" spans="2:22" s="5" customFormat="1" x14ac:dyDescent="0.35">
      <c r="B18" s="25" t="s">
        <v>93</v>
      </c>
      <c r="C18" s="25" t="s">
        <v>43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48" t="e">
        <f>'Preise Output'!#REF!</f>
        <v>#REF!</v>
      </c>
      <c r="Q18" s="148" t="e">
        <f t="shared" si="11"/>
        <v>#REF!</v>
      </c>
      <c r="R18" s="148" t="e">
        <f t="shared" si="10"/>
        <v>#REF!</v>
      </c>
      <c r="S18" s="148" t="e">
        <f>'Preise Output'!#REF!</f>
        <v>#REF!</v>
      </c>
      <c r="T18" s="148" t="e">
        <f t="shared" si="0"/>
        <v>#REF!</v>
      </c>
      <c r="U18" s="148" t="e">
        <f t="shared" si="1"/>
        <v>#REF!</v>
      </c>
    </row>
    <row r="19" spans="2:22" s="5" customFormat="1" x14ac:dyDescent="0.35">
      <c r="B19" s="25" t="s">
        <v>93</v>
      </c>
      <c r="C19" s="25" t="s">
        <v>44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48" t="e">
        <f>'Preise Output'!#REF!</f>
        <v>#REF!</v>
      </c>
      <c r="Q19" s="148" t="e">
        <f t="shared" si="11"/>
        <v>#REF!</v>
      </c>
      <c r="R19" s="148" t="e">
        <f t="shared" si="10"/>
        <v>#REF!</v>
      </c>
      <c r="S19" s="148" t="e">
        <f>'Preise Output'!#REF!</f>
        <v>#REF!</v>
      </c>
      <c r="T19" s="148" t="e">
        <f t="shared" si="0"/>
        <v>#REF!</v>
      </c>
      <c r="U19" s="148" t="e">
        <f t="shared" si="1"/>
        <v>#REF!</v>
      </c>
    </row>
    <row r="20" spans="2:22" s="5" customFormat="1" x14ac:dyDescent="0.35">
      <c r="B20" s="25" t="s">
        <v>93</v>
      </c>
      <c r="C20" s="25" t="s">
        <v>45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48" t="e">
        <f>'Preise Output'!#REF!</f>
        <v>#REF!</v>
      </c>
      <c r="Q20" s="148" t="e">
        <f t="shared" si="11"/>
        <v>#REF!</v>
      </c>
      <c r="R20" s="148" t="e">
        <f t="shared" si="10"/>
        <v>#REF!</v>
      </c>
      <c r="S20" s="148" t="e">
        <f>'Preise Output'!#REF!</f>
        <v>#REF!</v>
      </c>
      <c r="T20" s="148" t="e">
        <f t="shared" si="0"/>
        <v>#REF!</v>
      </c>
      <c r="U20" s="148" t="e">
        <f t="shared" si="1"/>
        <v>#REF!</v>
      </c>
    </row>
    <row r="21" spans="2:22" s="5" customFormat="1" x14ac:dyDescent="0.35">
      <c r="B21" s="25" t="s">
        <v>93</v>
      </c>
      <c r="C21" s="25" t="s">
        <v>46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48" t="e">
        <f>'Preise Output'!#REF!</f>
        <v>#REF!</v>
      </c>
      <c r="Q21" s="148" t="e">
        <f t="shared" si="11"/>
        <v>#REF!</v>
      </c>
      <c r="R21" s="148" t="e">
        <f t="shared" si="10"/>
        <v>#REF!</v>
      </c>
      <c r="S21" s="148" t="e">
        <f>'Preise Output'!#REF!</f>
        <v>#REF!</v>
      </c>
      <c r="T21" s="148" t="e">
        <f t="shared" si="0"/>
        <v>#REF!</v>
      </c>
      <c r="U21" s="148" t="e">
        <f t="shared" si="1"/>
        <v>#REF!</v>
      </c>
    </row>
    <row r="22" spans="2:22" s="5" customFormat="1" x14ac:dyDescent="0.35">
      <c r="B22" s="25" t="s">
        <v>93</v>
      </c>
      <c r="C22" s="25" t="s">
        <v>47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48" t="e">
        <f>'Preise Output'!#REF!</f>
        <v>#REF!</v>
      </c>
      <c r="Q22" s="148" t="e">
        <f t="shared" si="11"/>
        <v>#REF!</v>
      </c>
      <c r="R22" s="148" t="e">
        <f t="shared" si="10"/>
        <v>#REF!</v>
      </c>
      <c r="S22" s="148" t="e">
        <f>'Preise Output'!#REF!</f>
        <v>#REF!</v>
      </c>
      <c r="T22" s="148" t="e">
        <f t="shared" si="0"/>
        <v>#REF!</v>
      </c>
      <c r="U22" s="148" t="e">
        <f t="shared" si="1"/>
        <v>#REF!</v>
      </c>
    </row>
    <row r="23" spans="2:22" s="5" customFormat="1" x14ac:dyDescent="0.35">
      <c r="B23" s="19" t="s">
        <v>91</v>
      </c>
      <c r="C23" s="19" t="s">
        <v>48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48" t="e">
        <f>'Preise Output'!#REF!</f>
        <v>#REF!</v>
      </c>
      <c r="Q23" s="148" t="e">
        <f t="shared" ref="Q23:Q24" si="12">SUM(F23:G23)</f>
        <v>#REF!</v>
      </c>
      <c r="R23" s="148" t="e">
        <f>H23+I23*2+J23*3+M23*3+N23+L23*3+K23*3</f>
        <v>#REF!</v>
      </c>
      <c r="S23" s="148" t="e">
        <f>'Preise Output'!#REF!</f>
        <v>#REF!</v>
      </c>
      <c r="T23" s="148" t="e">
        <f t="shared" si="0"/>
        <v>#REF!</v>
      </c>
      <c r="U23" s="148" t="e">
        <f t="shared" si="1"/>
        <v>#REF!</v>
      </c>
    </row>
    <row r="24" spans="2:22" s="5" customFormat="1" x14ac:dyDescent="0.35">
      <c r="B24" s="19" t="s">
        <v>91</v>
      </c>
      <c r="C24" s="19" t="s">
        <v>49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48" t="e">
        <f>'Preise Output'!#REF!</f>
        <v>#REF!</v>
      </c>
      <c r="Q24" s="148" t="e">
        <f t="shared" si="12"/>
        <v>#REF!</v>
      </c>
      <c r="R24" s="148" t="e">
        <f>H24+I24*2+J24*3+M24*3+N24+L24*3+K24*3</f>
        <v>#REF!</v>
      </c>
      <c r="S24" s="148" t="e">
        <f>'Preise Output'!#REF!</f>
        <v>#REF!</v>
      </c>
      <c r="T24" s="148" t="e">
        <f t="shared" si="0"/>
        <v>#REF!</v>
      </c>
      <c r="U24" s="148" t="e">
        <f t="shared" si="1"/>
        <v>#REF!</v>
      </c>
    </row>
    <row r="25" spans="2:22" s="5" customFormat="1" x14ac:dyDescent="0.35">
      <c r="B25" s="25" t="s">
        <v>93</v>
      </c>
      <c r="C25" s="25" t="s">
        <v>50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48" t="e">
        <f>'Preise Output'!#REF!</f>
        <v>#REF!</v>
      </c>
      <c r="Q25" s="148" t="e">
        <f t="shared" si="11"/>
        <v>#REF!</v>
      </c>
      <c r="R25" s="148" t="e">
        <f t="shared" si="10"/>
        <v>#REF!</v>
      </c>
      <c r="S25" s="148" t="e">
        <f>'Preise Output'!#REF!</f>
        <v>#REF!</v>
      </c>
      <c r="T25" s="148" t="e">
        <f t="shared" si="0"/>
        <v>#REF!</v>
      </c>
      <c r="U25" s="148" t="e">
        <f t="shared" si="1"/>
        <v>#REF!</v>
      </c>
    </row>
    <row r="26" spans="2:22" s="5" customFormat="1" x14ac:dyDescent="0.35">
      <c r="B26" s="25" t="s">
        <v>93</v>
      </c>
      <c r="C26" s="25" t="s">
        <v>50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48" t="e">
        <f>'Preise Output'!#REF!</f>
        <v>#REF!</v>
      </c>
      <c r="Q26" s="148" t="e">
        <f t="shared" si="11"/>
        <v>#REF!</v>
      </c>
      <c r="R26" s="148" t="e">
        <f t="shared" si="10"/>
        <v>#REF!</v>
      </c>
      <c r="S26" s="148" t="e">
        <f>'Preise Output'!#REF!</f>
        <v>#REF!</v>
      </c>
      <c r="T26" s="148" t="e">
        <f t="shared" si="0"/>
        <v>#REF!</v>
      </c>
      <c r="U26" s="14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49" t="e">
        <f>SUM(P5:P26)</f>
        <v>#REF!</v>
      </c>
      <c r="Q27" s="149" t="e">
        <f>SUM(Q5:Q26)</f>
        <v>#REF!</v>
      </c>
      <c r="R27" s="149" t="e">
        <f>SUM(R5:R26)</f>
        <v>#REF!</v>
      </c>
      <c r="S27" s="149" t="e">
        <f>SUM(S5:S26)</f>
        <v>#REF!</v>
      </c>
      <c r="T27" s="150" t="e">
        <f t="shared" si="0"/>
        <v>#REF!</v>
      </c>
      <c r="U27" s="150" t="e">
        <f t="shared" si="1"/>
        <v>#REF!</v>
      </c>
      <c r="V27" s="15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51" t="e">
        <f t="shared" ref="P28:U28" si="13">ROUND(P27,-3)</f>
        <v>#REF!</v>
      </c>
      <c r="Q28" s="151" t="e">
        <f t="shared" si="13"/>
        <v>#REF!</v>
      </c>
      <c r="R28" s="151" t="e">
        <f t="shared" si="13"/>
        <v>#REF!</v>
      </c>
      <c r="S28" s="151" t="e">
        <f t="shared" si="13"/>
        <v>#REF!</v>
      </c>
      <c r="T28" s="151" t="e">
        <f t="shared" si="13"/>
        <v>#REF!</v>
      </c>
      <c r="U28" s="151" t="e">
        <f t="shared" si="13"/>
        <v>#REF!</v>
      </c>
      <c r="V28" s="15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6"/>
  <sheetViews>
    <sheetView showGridLines="0" workbookViewId="0">
      <selection activeCell="D34" sqref="D34"/>
    </sheetView>
  </sheetViews>
  <sheetFormatPr baseColWidth="10" defaultColWidth="10.7265625" defaultRowHeight="14.5" x14ac:dyDescent="0.35"/>
  <cols>
    <col min="1" max="1" width="6.26953125" customWidth="1"/>
    <col min="2" max="2" width="23.7265625" bestFit="1" customWidth="1"/>
    <col min="3" max="3" width="18.453125" customWidth="1"/>
    <col min="4" max="5" width="17.453125" customWidth="1"/>
    <col min="7" max="7" width="26.7265625" customWidth="1"/>
    <col min="8" max="8" width="12.7265625" customWidth="1"/>
    <col min="9" max="9" width="11.54296875" bestFit="1" customWidth="1"/>
    <col min="10" max="10" width="23.7265625" bestFit="1" customWidth="1"/>
    <col min="11" max="11" width="11.54296875" bestFit="1" customWidth="1"/>
    <col min="12" max="12" width="12.54296875" bestFit="1" customWidth="1"/>
    <col min="14" max="14" width="28.7265625" customWidth="1"/>
    <col min="15" max="15" width="12" bestFit="1" customWidth="1"/>
  </cols>
  <sheetData>
    <row r="4" spans="2:3" x14ac:dyDescent="0.35">
      <c r="B4" s="8" t="s">
        <v>159</v>
      </c>
      <c r="C4" s="8" t="s">
        <v>160</v>
      </c>
    </row>
    <row r="5" spans="2:3" x14ac:dyDescent="0.35">
      <c r="B5" s="3" t="s">
        <v>161</v>
      </c>
      <c r="C5" s="4">
        <v>0</v>
      </c>
    </row>
    <row r="6" spans="2:3" x14ac:dyDescent="0.35">
      <c r="B6" s="3" t="s">
        <v>162</v>
      </c>
      <c r="C6" s="4">
        <v>0</v>
      </c>
    </row>
    <row r="7" spans="2:3" x14ac:dyDescent="0.35">
      <c r="B7" s="3" t="s">
        <v>163</v>
      </c>
      <c r="C7" s="4">
        <v>0</v>
      </c>
    </row>
    <row r="8" spans="2:3" x14ac:dyDescent="0.35">
      <c r="B8" s="3" t="s">
        <v>164</v>
      </c>
      <c r="C8" s="4">
        <v>0</v>
      </c>
    </row>
    <row r="9" spans="2:3" x14ac:dyDescent="0.35">
      <c r="B9" s="3" t="s">
        <v>165</v>
      </c>
      <c r="C9" s="4">
        <v>0</v>
      </c>
    </row>
    <row r="11" spans="2:3" x14ac:dyDescent="0.35">
      <c r="B11" s="8" t="s">
        <v>166</v>
      </c>
      <c r="C11" s="8" t="s">
        <v>160</v>
      </c>
    </row>
    <row r="12" spans="2:3" x14ac:dyDescent="0.35">
      <c r="B12" s="3" t="s">
        <v>167</v>
      </c>
      <c r="C12" s="4">
        <v>0</v>
      </c>
    </row>
    <row r="13" spans="2:3" x14ac:dyDescent="0.35">
      <c r="B13" s="3" t="s">
        <v>168</v>
      </c>
      <c r="C13" s="4">
        <v>0</v>
      </c>
    </row>
    <row r="14" spans="2:3" x14ac:dyDescent="0.35">
      <c r="B14" s="3" t="s">
        <v>169</v>
      </c>
      <c r="C14" s="4">
        <v>0.05</v>
      </c>
    </row>
    <row r="15" spans="2:3" x14ac:dyDescent="0.35">
      <c r="B15" s="3" t="s">
        <v>170</v>
      </c>
      <c r="C15" s="4">
        <v>0.15</v>
      </c>
    </row>
    <row r="17" spans="2:12" x14ac:dyDescent="0.35">
      <c r="B17" s="232" t="s">
        <v>171</v>
      </c>
      <c r="C17" s="8"/>
      <c r="D17" s="8" t="s">
        <v>187</v>
      </c>
      <c r="E17" s="126" t="s">
        <v>272</v>
      </c>
      <c r="F17" s="137" t="s">
        <v>188</v>
      </c>
    </row>
    <row r="18" spans="2:12" x14ac:dyDescent="0.35">
      <c r="B18" s="3" t="s">
        <v>172</v>
      </c>
      <c r="C18" s="130">
        <v>15</v>
      </c>
      <c r="D18" s="130"/>
      <c r="E18" s="130"/>
      <c r="F18" s="130">
        <v>15</v>
      </c>
      <c r="H18" s="179"/>
    </row>
    <row r="19" spans="2:12" x14ac:dyDescent="0.35">
      <c r="B19" s="3" t="s">
        <v>173</v>
      </c>
      <c r="C19" s="131">
        <v>20</v>
      </c>
      <c r="D19" s="131"/>
      <c r="E19" s="131"/>
      <c r="F19" s="131">
        <v>20</v>
      </c>
      <c r="H19" s="179"/>
      <c r="I19" s="30"/>
      <c r="J19" s="30"/>
      <c r="K19" s="30"/>
      <c r="L19" s="30"/>
    </row>
    <row r="20" spans="2:12" x14ac:dyDescent="0.35">
      <c r="B20" s="3" t="s">
        <v>174</v>
      </c>
      <c r="C20" s="131">
        <v>30</v>
      </c>
      <c r="D20" s="131">
        <v>50</v>
      </c>
      <c r="E20" s="131">
        <v>30</v>
      </c>
      <c r="F20" s="131">
        <v>40</v>
      </c>
      <c r="G20" s="239">
        <v>50</v>
      </c>
      <c r="H20" s="179"/>
      <c r="I20" s="131">
        <v>45</v>
      </c>
      <c r="J20" s="30"/>
      <c r="K20" s="30"/>
      <c r="L20" s="30"/>
    </row>
    <row r="21" spans="2:12" x14ac:dyDescent="0.35">
      <c r="B21" s="3" t="s">
        <v>8</v>
      </c>
      <c r="C21" s="131">
        <v>35</v>
      </c>
      <c r="D21" s="131">
        <v>60</v>
      </c>
      <c r="E21" s="131">
        <v>35</v>
      </c>
      <c r="F21" s="131">
        <v>47.5</v>
      </c>
      <c r="G21" s="239">
        <v>60</v>
      </c>
      <c r="H21" s="179"/>
      <c r="I21" s="131">
        <v>55</v>
      </c>
    </row>
    <row r="22" spans="2:12" x14ac:dyDescent="0.35">
      <c r="B22" s="3" t="s">
        <v>175</v>
      </c>
      <c r="C22" s="131">
        <v>45</v>
      </c>
      <c r="D22" s="131">
        <v>75</v>
      </c>
      <c r="E22" s="131">
        <v>45</v>
      </c>
      <c r="F22" s="131">
        <v>65</v>
      </c>
      <c r="G22" s="239">
        <v>75</v>
      </c>
      <c r="H22" s="179"/>
      <c r="I22" s="131">
        <v>70</v>
      </c>
    </row>
    <row r="23" spans="2:12" x14ac:dyDescent="0.35">
      <c r="C23" s="2"/>
    </row>
    <row r="24" spans="2:12" x14ac:dyDescent="0.35">
      <c r="D24">
        <f>+D20*0.75*0.75</f>
        <v>28.125</v>
      </c>
    </row>
    <row r="25" spans="2:12" x14ac:dyDescent="0.35">
      <c r="D25">
        <f t="shared" ref="D25:D26" si="0">+D21*0.75*0.75</f>
        <v>33.75</v>
      </c>
    </row>
    <row r="26" spans="2:12" x14ac:dyDescent="0.35">
      <c r="D26">
        <f t="shared" si="0"/>
        <v>42.1875</v>
      </c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B327E45B-400E-430A-BADC-D71AAC7B72AE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2024-01-23T15:41:43Z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