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astlewood Hotels/"/>
    </mc:Choice>
  </mc:AlternateContent>
  <xr:revisionPtr revIDLastSave="27" documentId="8_{207F9823-9F7A-439A-86BD-E629EE244269}" xr6:coauthVersionLast="47" xr6:coauthVersionMax="47" xr10:uidLastSave="{981019E5-5735-6E4D-8ED8-C40D2D989A3E}"/>
  <bookViews>
    <workbookView xWindow="64840" yWindow="-1680" windowWidth="34200" windowHeight="288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37" i="8" s="1"/>
  <c r="C12" i="8"/>
  <c r="C11" i="8" s="1"/>
  <c r="C1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<sst xmlns="http://schemas.openxmlformats.org/spreadsheetml/2006/main" count="512" uniqueCount="298">
  <si>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</si>
  <si>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</si>
  <si>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</si>
  <si>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</si>
  <si>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</si>
  <si>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</si>
  <si>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</si>
  <si>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</si>
  <si>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</si>
  <si>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</si>
  <si>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</si>
  <si>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</si>
  <si>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</si>
  <si>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</si>
  <si>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</si>
  <si>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</si>
  <si>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</si>
  <si>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</si>
  <si>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</si>
  <si>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</si>
  <si>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</si>
  <si>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</si>
  <si>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</si>
  <si>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</si>
  <si>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</si>
  <si>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</si>
  <si>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</si>
  <si>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</si>
  <si>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</si>
  <si>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</si>
  <si>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</si>
  <si>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</si>
  <si>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</si>
  <si>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</si>
  <si>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</si>
  <si>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</si>
  <si>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</si>
  <si>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</si>
  <si>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</si>
  <si>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</si>
  <si>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</si>
  <si>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</si>
  <si>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</si>
  <si>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</si>
  <si>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</si>
  <si>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</si>
  <si>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</si>
  <si>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</si>
  <si>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</si>
  <si>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</si>
  <si>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</si>
  <si>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</si>
  <si>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</si>
  <si>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</si>
  <si>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</si>
  <si>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</si>
  <si>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</si>
  <si>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</si>
  <si>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</si>
  <si>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</si>
  <si>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</si>
  <si>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</si>
  <si>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</si>
  <si>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</si>
  <si>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</si>
  <si>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</si>
  <si>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</si>
  <si>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</si>
  <si>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</si>
  <si>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</si>
  <si>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</si>
  <si>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</si>
  <si>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</si>
  <si>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</si>
  <si>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</si>
  <si>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</si>
  <si>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</si>
  <si>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</si>
  <si>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</si>
  <si>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</si>
  <si>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</si>
  <si>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</si>
  <si>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</si>
  <si>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</si>
  <si>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</si>
  <si>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</si>
  <si>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</si>
  <si>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</si>
  <si>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</si>
  <si>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</si>
  <si>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</si>
  <si>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</si>
  <si>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</si>
  <si>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</si>
  <si>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</si>
  <si>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</si>
  <si>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</si>
  <si>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</si>
  <si>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</si>
  <si>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</si>
  <si>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</si>
  <si>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</si>
  <si>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</si>
  <si>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</si>
  <si>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</si>
  <si>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</si>
  <si>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</si>
  <si>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</si>
  <si>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</si>
  <si>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</si>
  <si>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</si>
  <si>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</si>
  <si>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</si>
  <si>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</si>
  <si>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</si>
  <si>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</si>
  <si>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</si>
  <si>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</si>
  <si>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</si>
  <si>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</si>
  <si>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</si>
  <si>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</si>
  <si>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</si>
  <si>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</si>
  <si>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</si>
  <si>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</si>
  <si>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</si>
  <si>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</si>
  <si>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</si>
  <si>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</si>
  <si>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</si>
  <si>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</si>
  <si>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</si>
  <si>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</si>
  <si>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</si>
  <si>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</si>
  <si>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</si>
  <si>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</si>
  <si>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</si>
  <si>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</si>
  <si>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</si>
  <si>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</si>
  <si>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</si>
  <si>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</si>
  <si>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</si>
  <si>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</si>
  <si>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</si>
  <si>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</si>
  <si>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</si>
  <si>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</si>
  <si>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</si>
  <si>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</si>
  <si>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</si>
  <si>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</si>
  <si>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</si>
  <si>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</si>
  <si>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</si>
  <si>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</si>
  <si>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</si>
  <si>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</si>
  <si>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</si>
  <si>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</si>
  <si>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</si>
  <si>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</si>
  <si>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</si>
  <si>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</si>
  <si>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</si>
  <si>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</si>
  <si>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</si>
  <si>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</si>
  <si>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</si>
  <si>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</si>
  <si>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</si>
  <si>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</si>
  <si>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</si>
  <si>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</si>
  <si>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</si>
  <si>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</si>
  <si>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</si>
  <si>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</si>
  <si>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</si>
  <si>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</si>
  <si>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</si>
  <si>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</si>
  <si>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</si>
  <si>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</si>
  <si>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</si>
  <si>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</si>
  <si>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</si>
  <si>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</si>
  <si>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</si>
  <si>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</si>
  <si>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</si>
  <si>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</si>
  <si>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</si>
  <si>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</si>
  <si>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</si>
  <si>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</si>
  <si>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</si>
  <si>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</si>
  <si>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</si>
  <si>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</si>
  <si>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</si>
  <si>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</si>
  <si>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</si>
  <si>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</si>
  <si>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</si>
  <si>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</si>
  <si>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</si>
  <si>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</si>
  <si>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</si>
  <si>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</si>
  <si>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</si>
  <si>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</si>
  <si>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</si>
  <si>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</si>
  <si>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</si>
  <si>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</si>
  <si>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</si>
  <si>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</si>
  <si>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</si>
  <si>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</si>
  <si>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</si>
  <si>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</si>
  <si>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</si>
  <si>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</si>
  <si>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</si>
  <si>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</si>
  <si>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</si>
  <si>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</si>
  <si>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</si>
  <si>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</si>
  <si>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</si>
  <si>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</si>
  <si>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</si>
  <si>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</si>
  <si>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</si>
  <si>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</si>
  <si>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</si>
  <si>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</si>
  <si>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</si>
  <si>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</si>
  <si>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</si>
  <si>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</si>
  <si>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</si>
  <si>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</si>
  <si>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</si>
  <si>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</si>
  <si>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</si>
  <si>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</si>
  <si>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</si>
  <si>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</si>
  <si>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</si>
  <si>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</si>
  <si>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</si>
  <si>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</si>
  <si>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</si>
  <si>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</si>
  <si>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</si>
  <si>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</si>
  <si>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</si>
  <si>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</si>
  <si>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</si>
  <si>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</si>
  <si>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</si>
  <si>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</si>
  <si>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</si>
  <si>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</si>
  <si>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</si>
  <si>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</si>
  <si>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</si>
  <si>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</si>
  <si>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</si>
  <si>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</si>
  <si>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</si>
  <si>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</si>
  <si>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</si>
  <si>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</si>
  <si>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</si>
  <si>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</si>
  <si>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</si>
  <si>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</si>
  <si>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</si>
  <si>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</si>
  <si>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</si>
  <si>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</si>
  <si>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</si>
  <si>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</si>
  <si>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</si>
  <si>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</si>
  <si>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</si>
  <si>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</si>
  <si>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</si>
  <si>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</si>
  <si>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</si>
  <si>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</si>
  <si>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Schlosshotel Althoernitz</t>
  </si>
  <si>
    <t>AB 20.03.24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</si>
</sst>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120" zoomScaleNormal="12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6640625" defaultRowHeight="16" outlineLevelCol="2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164062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5" style="40" customWidth="1" outlineLevel="1"/>
    <col min="10" max="12" width="24.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5" style="40" customWidth="1" outlineLevel="1"/>
    <col min="18" max="18" width="25" style="40" customWidth="1" outlineLevel="1"/>
    <col min="19" max="19" width="24.33203125" style="37" customWidth="1"/>
    <col min="20" max="20" width="17.5" style="37" customWidth="1"/>
    <col min="21" max="21" width="10.6640625" style="37"/>
    <col min="22" max="22" width="17" style="37" customWidth="1"/>
    <col min="23" max="23" width="16.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5" style="37" customWidth="1"/>
    <col min="34" max="16384" width="10.66406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ht="17">
      <c r="B5" s="48" t="s">
        <v>3</v>
      </c>
      <c r="C5" s="143">
        <v>45371</v>
      </c>
      <c r="E5" s="151" t="s">
        <v>5</v>
      </c>
      <c r="F5" s="153">
        <v>59</v>
      </c>
      <c r="G5" s="218" t="s">
        <v>297</v>
      </c>
      <c r="H5" s="218"/>
    </row>
    <row r="6" spans="1:32" ht="17">
      <c r="B6" s="48" t="s">
        <v>4</v>
      </c>
      <c r="C6" s="49" t="s">
        <v>296</v>
      </c>
      <c r="E6" s="152" t="s">
        <v>290</v>
      </c>
      <c r="F6" s="37">
        <f>C12*0.65</f>
        <v>67.600000000000009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ht="17">
      <c r="B7" s="48" t="s">
        <v>6</v>
      </c>
      <c r="C7" s="49" t="s">
        <v>169</v>
      </c>
      <c r="E7" s="154" t="s">
        <v>8</v>
      </c>
      <c r="F7" s="210">
        <v>35.01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ht="17">
      <c r="B8" s="48" t="s">
        <v>9</v>
      </c>
      <c r="C8" s="158">
        <v>75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ht="17">
      <c r="B9" s="48" t="s">
        <v>10</v>
      </c>
      <c r="C9" s="54">
        <v>0.7</v>
      </c>
      <c r="E9" s="156" t="s">
        <v>246</v>
      </c>
      <c r="F9" s="157">
        <f>IFERROR(J26,"Bitte Produkt auswählen")</f>
        <v>0.28082518118710603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ht="17">
      <c r="B10" s="48" t="s">
        <v>11</v>
      </c>
      <c r="C10" s="58">
        <f>C8*365*(1-C9)</f>
        <v>8212.5000000000018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8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41714.475000000006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8" thickBot="1">
      <c r="B12" s="48" t="s">
        <v>281</v>
      </c>
      <c r="C12" s="158">
        <v>104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4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11714.475000000006</v>
      </c>
      <c r="I24" s="77">
        <f>G24+H24</f>
        <v>41714.475000000006</v>
      </c>
      <c r="J24" s="78">
        <f t="shared" si="16"/>
        <v>0.28082518118710603</v>
      </c>
      <c r="K24" s="77">
        <v>0</v>
      </c>
      <c r="L24" s="77">
        <v>0</v>
      </c>
      <c r="M24" s="77">
        <f>G24*1.19-G24</f>
        <v>5700</v>
      </c>
      <c r="N24" s="77">
        <f t="shared" si="5"/>
        <v>1801.3068750000002</v>
      </c>
      <c r="O24" s="77">
        <f>L24-M24-N24</f>
        <v>-7501.3068750000002</v>
      </c>
      <c r="P24" s="79">
        <f>IFERROR($H24-L24,"")</f>
        <v>11714.475000000006</v>
      </c>
      <c r="Q24" s="78">
        <f>IFERROR(($H24-L24)/$I24,"")</f>
        <v>0.28082518118710603</v>
      </c>
      <c r="R24" s="80">
        <f>IFERROR((1-Q24)*F24,"")</f>
        <v>2.157524456438682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20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11714.475000000006</v>
      </c>
      <c r="I26" s="89">
        <f>SUBTOTAL(9,I19:I24)</f>
        <v>41714.475000000006</v>
      </c>
      <c r="J26" s="90">
        <f>H26/I26</f>
        <v>0.28082518118710603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1801.3068750000002</v>
      </c>
      <c r="O26" s="89">
        <f t="shared" si="25"/>
        <v>-7501.3068750000002</v>
      </c>
      <c r="P26" s="89">
        <f t="shared" si="25"/>
        <v>11714.475000000006</v>
      </c>
      <c r="Q26" s="90">
        <f>($H26-L26)/$I26</f>
        <v>0.28082518118710603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10,4%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/>
  <cols>
    <col min="1" max="1" width="43.1640625" bestFit="1" customWidth="1"/>
    <col min="2" max="2" width="10.83203125" hidden="1" customWidth="1"/>
    <col min="3" max="3" width="11.83203125" bestFit="1" customWidth="1"/>
    <col min="5" max="5" width="0" hidden="1" customWidth="1"/>
    <col min="8" max="8" width="0" hidden="1" customWidth="1"/>
    <col min="10" max="10" width="13.5" customWidth="1"/>
    <col min="11" max="11" width="0" hidden="1" customWidth="1"/>
    <col min="13" max="13" width="13.5" customWidth="1"/>
    <col min="14" max="14" width="0" hidden="1" customWidth="1"/>
    <col min="16" max="16" width="11.83203125" bestFit="1" customWidth="1"/>
  </cols>
  <sheetData>
    <row r="1" spans="1:16" ht="51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7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51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7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6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6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6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6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6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6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6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6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6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7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7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6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6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6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6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150" zoomScaleNormal="150" workbookViewId="0">
      <selection activeCell="G38" sqref="G38"/>
    </sheetView>
  </sheetViews>
  <sheetFormatPr baseColWidth="10" defaultColWidth="8.6640625" defaultRowHeight="1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83203125" style="97" bestFit="1" customWidth="1"/>
    <col min="7" max="16384" width="8.66406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6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6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6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10,4%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6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6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5" customWidth="1"/>
    <col min="11" max="12" width="20.33203125" customWidth="1"/>
    <col min="13" max="13" width="18.5" customWidth="1"/>
    <col min="14" max="14" width="13.5" bestFit="1" customWidth="1"/>
    <col min="15" max="15" width="13.5" customWidth="1"/>
    <col min="16" max="16" width="19.5" customWidth="1"/>
    <col min="17" max="17" width="20" style="7" customWidth="1"/>
    <col min="18" max="18" width="14.5" customWidth="1"/>
    <col min="19" max="19" width="15.3320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8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ht="16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ht="16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ht="16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ht="16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ht="16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ht="16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7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7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7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7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7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ht="16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ht="16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ht="16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ht="16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ht="16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ht="16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ht="16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16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ht="16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ht="16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ht="16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2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ht="16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ht="16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ht="16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ht="16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ht="16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ht="16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7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7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7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7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7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ht="16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ht="16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ht="16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ht="16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ht="16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ht="16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16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ht="16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ht="16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ht="16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ht="16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/>
  <cols>
    <col min="1" max="1" width="24.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5" outlineLevelRow="1"/>
  <cols>
    <col min="3" max="3" width="26.6640625" customWidth="1"/>
    <col min="4" max="4" width="12.16406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5" style="126" customWidth="1"/>
    <col min="9" max="15" width="11.33203125" style="126" bestFit="1" customWidth="1"/>
    <col min="16" max="16" width="10.5" bestFit="1" customWidth="1"/>
    <col min="17" max="27" width="11.33203125" bestFit="1" customWidth="1"/>
    <col min="28" max="28" width="10.5" bestFit="1" customWidth="1"/>
    <col min="29" max="39" width="11.33203125" bestFit="1" customWidth="1"/>
    <col min="40" max="40" width="12.33203125" bestFit="1" customWidth="1"/>
    <col min="41" max="41" width="10.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25710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25710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25710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25710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F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G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H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I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J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K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L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M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N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R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S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T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U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V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W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X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Y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Z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1221.2249999999999</v>
      </c>
      <c r="AM7" s="130"/>
      <c r="AN7" s="130">
        <f t="shared" ref="AN7:AN43" si="0">SUM(D7:AM7)</f>
        <v>36636.749999999978</v>
      </c>
      <c r="AQ7" s="130">
        <f t="shared" ref="AQ7:AQ45" si="1">SUM(D7:F7)</f>
        <v>2442.4499999999998</v>
      </c>
      <c r="AR7" s="130">
        <f t="shared" ref="AR7:AR45" si="2">SUM(G7:I7)</f>
        <v>3663.6749999999997</v>
      </c>
      <c r="AS7" s="130">
        <f t="shared" ref="AS7:AS45" si="3">SUM(J7:L7)</f>
        <v>3663.6749999999997</v>
      </c>
      <c r="AT7" s="130">
        <f t="shared" ref="AT7:AT45" si="4">SUM(M7:O7)</f>
        <v>2442.4499999999998</v>
      </c>
      <c r="AU7" s="130">
        <f t="shared" ref="AU7:AU45" si="5">SUM(P7:R7)</f>
        <v>2442.4499999999998</v>
      </c>
      <c r="AV7" s="130">
        <f t="shared" ref="AV7:AV45" si="6">SUM(S7:U7)</f>
        <v>3663.6749999999997</v>
      </c>
      <c r="AW7" s="130">
        <f t="shared" ref="AW7:AW45" si="7">SUM(V7:X7)</f>
        <v>3663.6749999999997</v>
      </c>
      <c r="AX7" s="130">
        <f t="shared" ref="AX7:AX45" si="8">SUM(Y7:AA7)</f>
        <v>2442.4499999999998</v>
      </c>
      <c r="AY7" s="130">
        <f t="shared" ref="AY7:AY45" si="9">SUM(AB7:AD7)</f>
        <v>2442.4499999999998</v>
      </c>
      <c r="AZ7" s="130">
        <f t="shared" ref="AZ7:AZ45" si="10">SUM(AE7:AG7)</f>
        <v>3663.6749999999997</v>
      </c>
      <c r="BA7" s="130">
        <f t="shared" ref="BA7:BA45" si="11">SUM(AH7:AJ7)</f>
        <v>3663.6749999999997</v>
      </c>
      <c r="BB7" s="130">
        <f t="shared" ref="BB7:BB45" si="12">SUM(AK7:AM7)</f>
        <v>2442.4499999999998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5" customWidth="1"/>
    <col min="12" max="12" width="18.5" customWidth="1"/>
    <col min="13" max="13" width="13.5" bestFit="1" customWidth="1"/>
    <col min="14" max="14" width="13.5" customWidth="1"/>
    <col min="16" max="16" width="13.5" style="137" customWidth="1"/>
    <col min="17" max="17" width="15.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8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ht="16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ht="16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ht="16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ht="16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ht="16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ht="16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16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2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2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ht="16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ht="16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ht="16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41714.475000000006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ht="16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ht="16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ht="16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ht="16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ht="16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ht="16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ht="16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ht="16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ht="16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ht="16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5"/>
  <cols>
    <col min="1" max="1" width="6.33203125" customWidth="1"/>
    <col min="2" max="2" width="23.6640625" bestFit="1" customWidth="1"/>
    <col min="3" max="3" width="18.5" customWidth="1"/>
    <col min="4" max="5" width="17.5" customWidth="1"/>
    <col min="7" max="7" width="26.6640625" customWidth="1"/>
    <col min="8" max="8" width="12.6640625" customWidth="1"/>
    <col min="9" max="9" width="11.5" bestFit="1" customWidth="1"/>
    <col min="10" max="10" width="23.6640625" bestFit="1" customWidth="1"/>
    <col min="11" max="11" width="11.5" bestFit="1" customWidth="1"/>
    <col min="12" max="12" width="12.5" bestFit="1" customWidth="1"/>
    <col min="14" max="14" width="28.6640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documentManagement/types"/>
    <ds:schemaRef ds:uri="http://schemas.microsoft.com/office/2006/metadata/properties"/>
    <ds:schemaRef ds:uri="0ff8542a-a91c-4213-8a41-8808dc7548c9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  <ds:schemaRef ds:uri="afe551f1-9bb4-42df-b25d-b04c42b39031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FE14DE7-62E3-4868-915E-6C6D45AA84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2024-03-20T16:21:27Z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