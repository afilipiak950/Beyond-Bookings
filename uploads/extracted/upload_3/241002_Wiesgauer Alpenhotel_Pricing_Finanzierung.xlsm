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albersbacher Hospitality Group/Wiesgauer Alpenhotel/"/>
    </mc:Choice>
  </mc:AlternateContent>
  <xr:revisionPtr revIDLastSave="23" documentId="8_{B541D69F-4DE3-486F-AA87-B0362F6231C1}" xr6:coauthVersionLast="47" xr6:coauthVersionMax="47" xr10:uidLastSave="{DC08397F-4091-4F86-9EEF-1C88E60EC02D}"/>
  <bookViews>
    <workbookView xWindow="28680" yWindow="-654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<sst xmlns="http://schemas.openxmlformats.org/spreadsheetml/2006/main" count="510" uniqueCount="297">
  <si>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</si>
  <si>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</si>
  <si>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</si>
  <si>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</si>
  <si>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</si>
  <si>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</si>
  <si>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</si>
  <si>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</si>
  <si>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</si>
  <si>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</si>
  <si>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</si>
  <si>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</si>
  <si>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</si>
  <si>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</si>
  <si>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</si>
  <si>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</si>
  <si>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</si>
  <si>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</si>
  <si>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</si>
  <si>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</si>
  <si>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</si>
  <si>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</si>
  <si>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</si>
  <si>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</si>
  <si>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</si>
  <si>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</si>
  <si>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</si>
  <si>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</si>
  <si>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</si>
  <si>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</si>
  <si>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</si>
  <si>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</si>
  <si>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</si>
  <si>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</si>
  <si>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</si>
  <si>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</si>
  <si>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</si>
  <si>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</si>
  <si>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</si>
  <si>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</si>
  <si>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</si>
  <si>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</si>
  <si>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</si>
  <si>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</si>
  <si>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</si>
  <si>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</si>
  <si>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</si>
  <si>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</si>
  <si>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</si>
  <si>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</si>
  <si>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</si>
  <si>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</si>
  <si>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</si>
  <si>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</si>
  <si>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</si>
  <si>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</si>
  <si>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</si>
  <si>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</si>
  <si>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</si>
  <si>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</si>
  <si>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</si>
  <si>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</si>
  <si>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</si>
  <si>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</si>
  <si>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</si>
  <si>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</si>
  <si>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</si>
  <si>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</si>
  <si>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</si>
  <si>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</si>
  <si>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</si>
  <si>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</si>
  <si>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</si>
  <si>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</si>
  <si>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</si>
  <si>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</si>
  <si>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</si>
  <si>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</si>
  <si>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</si>
  <si>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</si>
  <si>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</si>
  <si>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</si>
  <si>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</si>
  <si>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</si>
  <si>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</si>
  <si>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</si>
  <si>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</si>
  <si>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</si>
  <si>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</si>
  <si>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</si>
  <si>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</si>
  <si>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</si>
  <si>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</si>
  <si>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</si>
  <si>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</si>
  <si>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</si>
  <si>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</si>
  <si>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</si>
  <si>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</si>
  <si>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</si>
  <si>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</si>
  <si>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</si>
  <si>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</si>
  <si>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</si>
  <si>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</si>
  <si>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</si>
  <si>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</si>
  <si>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</si>
  <si>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</si>
  <si>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</si>
  <si>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</si>
  <si>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</si>
  <si>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</si>
  <si>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</si>
  <si>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</si>
  <si>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</si>
  <si>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</si>
  <si>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</si>
  <si>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</si>
  <si>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</si>
  <si>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</si>
  <si>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</si>
  <si>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</si>
  <si>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</si>
  <si>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</si>
  <si>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</si>
  <si>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</si>
  <si>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</si>
  <si>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</si>
  <si>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</si>
  <si>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</si>
  <si>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</si>
  <si>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</si>
  <si>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</si>
  <si>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</si>
  <si>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</si>
  <si>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</si>
  <si>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</si>
  <si>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</si>
  <si>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</si>
  <si>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</si>
  <si>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</si>
  <si>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</si>
  <si>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</si>
  <si>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</si>
  <si>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</si>
  <si>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</si>
  <si>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</si>
  <si>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</si>
  <si>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</si>
  <si>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</si>
  <si>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</si>
  <si>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</si>
  <si>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</si>
  <si>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</si>
  <si>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</si>
  <si>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</si>
  <si>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</si>
  <si>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</si>
  <si>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</si>
  <si>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</si>
  <si>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</si>
  <si>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</si>
  <si>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</si>
  <si>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</si>
  <si>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</si>
  <si>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</si>
  <si>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</si>
  <si>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</si>
  <si>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</si>
  <si>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</si>
  <si>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</si>
  <si>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</si>
  <si>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</si>
  <si>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</si>
  <si>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</si>
  <si>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</si>
  <si>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</si>
  <si>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</si>
  <si>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</si>
  <si>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</si>
  <si>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</si>
  <si>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</si>
  <si>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</si>
  <si>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</si>
  <si>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</si>
  <si>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</si>
  <si>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</si>
  <si>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</si>
  <si>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</si>
  <si>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</si>
  <si>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</si>
  <si>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</si>
  <si>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</si>
  <si>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</si>
  <si>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</si>
  <si>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</si>
  <si>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</si>
  <si>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</si>
  <si>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</si>
  <si>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</si>
  <si>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</si>
  <si>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</si>
  <si>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</si>
  <si>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</si>
  <si>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</si>
  <si>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</si>
  <si>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</si>
  <si>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</si>
  <si>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</si>
  <si>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</si>
  <si>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</si>
  <si>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</si>
  <si>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</si>
  <si>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</si>
  <si>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</si>
  <si>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</si>
  <si>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</si>
  <si>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</si>
  <si>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</si>
  <si>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</si>
  <si>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</si>
  <si>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</si>
  <si>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</si>
  <si>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</si>
  <si>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</si>
  <si>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</si>
  <si>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</si>
  <si>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</si>
  <si>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</si>
  <si>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</si>
  <si>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</si>
  <si>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</si>
  <si>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</si>
  <si>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</si>
  <si>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</si>
  <si>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</si>
  <si>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</si>
  <si>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</si>
  <si>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</si>
  <si>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</si>
  <si>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</si>
  <si>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</si>
  <si>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</si>
  <si>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</si>
  <si>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</si>
  <si>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</si>
  <si>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</si>
  <si>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</si>
  <si>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</si>
  <si>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</si>
  <si>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</si>
  <si>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</si>
  <si>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</si>
  <si>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</si>
  <si>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</si>
  <si>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</si>
  <si>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</si>
  <si>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</si>
  <si>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</si>
  <si>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</si>
  <si>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</si>
  <si>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</si>
  <si>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</si>
  <si>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</si>
  <si>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</si>
  <si>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</si>
  <si>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</si>
  <si>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</si>
  <si>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</si>
  <si>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</si>
  <si>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</si>
  <si>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</si>
  <si>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</si>
  <si>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</si>
  <si>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</si>
  <si>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</si>
  <si>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</si>
  <si>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</si>
  <si>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</si>
  <si>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</si>
  <si>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</si>
  <si>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</si>
  <si>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</si>
  <si>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</si>
  <si>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</si>
  <si>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</si>
  <si>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</si>
  <si>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</si>
  <si>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</si>
  <si>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</si>
  <si>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</si>
  <si>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</si>
  <si>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</si>
  <si>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</si>
  <si>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</si>
  <si>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Wiesgauer Alpenhotel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</si>
</sst>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45567</v>
      </c>
      <c r="E5" s="151" t="s">
        <v>5</v>
      </c>
      <c r="F5" s="153">
        <v>60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60.45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6883.9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93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12,4%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D9" sqref="D9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35€ je Gutschein</v>
      </c>
      <c r="C24" s="237">
        <f>IFERROR(C7*'Preise Output'!$F$7,"--")</f>
        <v>29995</v>
      </c>
    </row>
    <row r="25" spans="2:8" x14ac:dyDescent="0.4">
      <c r="B25" s="97" t="str">
        <f>"Das enspricht "&amp;TEXT('Preise Output'!E26/('Preise Output'!C10),"0,0%") &amp; " des Leerstands p.a."</f>
        <v>Das enspricht 12,4%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2613.8500000000004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14963.934033613445</v>
      </c>
    </row>
    <row r="36" spans="2:3" x14ac:dyDescent="0.4">
      <c r="B36" s="102" t="s">
        <v>65</v>
      </c>
      <c r="C36" s="239">
        <f>C12-C34</f>
        <v>10246.150000000001</v>
      </c>
    </row>
    <row r="37" spans="2:3" x14ac:dyDescent="0.4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2A944CA-E6A2-468D-9547-C5B82A284A6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2025-02-12T07:53:38Z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