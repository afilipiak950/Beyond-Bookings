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RIP INN/Landhotel Bad Soden-Salmünster/Vertragsunterlagen/"/>
    </mc:Choice>
  </mc:AlternateContent>
  <xr:revisionPtr revIDLastSave="104" documentId="8_{207F9823-9F7A-439A-86BD-E629EE244269}" xr6:coauthVersionLast="47" xr6:coauthVersionMax="47" xr10:uidLastSave="{A8A3F47F-83F8-432E-AD10-04451FDD5AD9}"/>
  <bookViews>
    <workbookView xWindow="28680" yWindow="-819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<sst xmlns="http://schemas.openxmlformats.org/spreadsheetml/2006/main" count="513" uniqueCount="300">
  <si>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</si>
  <si>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</si>
  <si>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</si>
  <si>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</si>
  <si>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Realistischer Hotelverkaufspreis</t>
  </si>
  <si>
    <t xml:space="preserve">erstmal mit 55€ versuchen !! </t>
  </si>
  <si>
    <t>Hotelname</t>
  </si>
  <si>
    <t>Landhotel Bad Soden-Salmünster</t>
  </si>
  <si>
    <t>65% des durchschnittlichen Zimmerpreis</t>
  </si>
  <si>
    <t>Kategorie</t>
  </si>
  <si>
    <t>3 Sterne</t>
  </si>
  <si>
    <t>Gutscheinwert für Hotel</t>
  </si>
  <si>
    <t>Zimmeranzahl</t>
  </si>
  <si>
    <t>Auslastung in %</t>
  </si>
  <si>
    <t>Marge nach Steuern</t>
  </si>
  <si>
    <t>25% Ok AB 03062025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</si>
  <si>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</si>
  <si>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</si>
  <si>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</si>
  <si>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</si>
  <si>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</si>
  <si>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</si>
  <si>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</si>
  <si>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</si>
  <si>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</si>
  <si>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</si>
  <si>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</si>
  <si>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</si>
  <si>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</si>
  <si>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</si>
  <si>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</si>
  <si>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</si>
  <si>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</si>
  <si>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</si>
  <si>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</si>
  <si>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</si>
  <si>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</si>
  <si>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</si>
  <si>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</si>
  <si>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</si>
  <si>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</si>
  <si>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</si>
  <si>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</si>
  <si>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</si>
  <si>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</si>
  <si>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</si>
  <si>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</si>
  <si>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</si>
  <si>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</si>
  <si>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</si>
  <si>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</si>
  <si>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</si>
  <si>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</si>
  <si>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</si>
  <si>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</si>
  <si>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</si>
  <si>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</si>
  <si>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</si>
  <si>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</si>
  <si>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</si>
  <si>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</si>
  <si>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</si>
  <si>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</si>
  <si>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</si>
  <si>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</si>
  <si>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</si>
  <si>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</si>
  <si>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</si>
  <si>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</si>
  <si>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</si>
  <si>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</si>
  <si>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</si>
  <si>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</si>
  <si>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</si>
  <si>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</si>
  <si>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</si>
  <si>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</si>
  <si>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</si>
  <si>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</si>
  <si>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</si>
  <si>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</si>
  <si>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</si>
  <si>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</si>
  <si>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</si>
  <si>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</si>
  <si>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</si>
  <si>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</si>
  <si>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</si>
  <si>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</si>
  <si>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</si>
  <si>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</si>
  <si>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</si>
  <si>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</si>
  <si>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</si>
  <si>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</si>
  <si>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</si>
  <si>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</si>
  <si>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</si>
  <si>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</si>
  <si>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</si>
  <si>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</si>
  <si>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</si>
  <si>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</si>
  <si>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</si>
  <si>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</si>
  <si>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</si>
  <si>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</si>
  <si>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</si>
  <si>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</si>
  <si>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</si>
  <si>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</si>
  <si>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</si>
  <si>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</si>
  <si>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</si>
  <si>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</si>
  <si>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</si>
  <si>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</si>
  <si>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</si>
  <si>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</si>
  <si>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</si>
  <si>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</si>
  <si>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</si>
  <si>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</si>
  <si>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</si>
  <si>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</si>
  <si>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</si>
  <si>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</si>
  <si>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</si>
  <si>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</si>
  <si>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</si>
  <si>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</si>
  <si>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</si>
  <si>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</si>
  <si>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</si>
  <si>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</si>
  <si>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</si>
  <si>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</si>
  <si>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</si>
  <si>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</si>
  <si>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</si>
  <si>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</si>
  <si>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</si>
  <si>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</si>
  <si>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</si>
  <si>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</si>
  <si>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</si>
  <si>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</si>
  <si>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</si>
  <si>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</si>
  <si>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</si>
  <si>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</si>
  <si>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</si>
  <si>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</si>
  <si>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</si>
  <si>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</si>
  <si>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</si>
  <si>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</si>
  <si>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</si>
  <si>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</si>
  <si>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</si>
  <si>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</si>
  <si>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</si>
  <si>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</si>
  <si>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</si>
  <si>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</si>
  <si>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</si>
  <si>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</si>
  <si>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</si>
  <si>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</si>
  <si>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</si>
  <si>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</si>
  <si>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</si>
  <si>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</si>
  <si>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</si>
  <si>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</si>
  <si>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</si>
  <si>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</si>
  <si>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</si>
  <si>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</si>
  <si>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</si>
  <si>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</si>
  <si>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</si>
  <si>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</si>
  <si>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</si>
  <si>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</si>
  <si>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</si>
  <si>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</si>
  <si>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</si>
  <si>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</si>
  <si>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</si>
  <si>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</si>
  <si>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</si>
  <si>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</si>
  <si>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</si>
  <si>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</si>
  <si>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</si>
  <si>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</si>
  <si>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</si>
  <si>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</si>
  <si>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</si>
  <si>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</si>
  <si>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</si>
  <si>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</si>
  <si>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</si>
  <si>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</si>
  <si>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</si>
  <si>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</si>
  <si>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</si>
  <si>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</si>
  <si>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</si>
  <si>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</si>
  <si>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</si>
  <si>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</si>
  <si>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</si>
  <si>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</si>
  <si>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</si>
  <si>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</si>
  <si>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</si>
  <si>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</si>
  <si>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</si>
  <si>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</si>
  <si>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</si>
  <si>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</si>
  <si>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</si>
  <si>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</si>
  <si>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</si>
  <si>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</si>
  <si>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</si>
  <si>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</si>
  <si>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</si>
  <si>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</si>
  <si>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</si>
  <si>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</si>
  <si>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</si>
  <si>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</si>
  <si>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</si>
  <si>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</si>
  <si>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</si>
  <si>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</si>
  <si>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</si>
  <si>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</si>
  <si>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</si>
  <si>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</si>
  <si>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</si>
  <si>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</si>
  <si>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</si>
  <si>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</si>
  <si>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</si>
  <si>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</si>
  <si>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</si>
  <si>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</si>
  <si>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</si>
  <si>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</si>
  <si>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</si>
  <si>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</si>
  <si>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</si>
  <si>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</si>
  <si>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</si>
  <si>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</si>
  <si>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</si>
  <si>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</si>
  <si>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</si>
  <si>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</si>
  <si>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</si>
  <si>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</si>
  <si>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</si>
  <si>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</si>
  <si>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</si>
  <si>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</si>
  <si>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</si>
  <si>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</si>
  <si>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</si>
  <si>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</si>
  <si>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</si>
  <si>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</si>
  <si>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</si>
  <si>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</si>
  <si>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</si>
  <si>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</si>
  <si>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</si>
  <si>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</si>
  <si>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</si>
  <si>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</si>
  <si>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</si>
  <si>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</si>
  <si>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</si>
  <si>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</si>
  <si>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</si>
  <si>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</si>
  <si>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</si>
  <si>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</si>
  <si>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</si>
  <si>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</si>
  <si>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</si>
  <si>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</si>
  <si>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</si>
  <si>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</si>
  <si>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</si>
  <si>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4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</si>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</sst>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  <font>
      <sz val="10"/>
      <color rgb="FFFF0000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44" fillId="0" borderId="0" xfId="5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9" sqref="H9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45811</v>
      </c>
      <c r="E5" s="151" t="s">
        <v>4</v>
      </c>
      <c r="F5" s="153">
        <v>55</v>
      </c>
      <c r="G5" s="239" t="s">
        <v>5</v>
      </c>
      <c r="H5" s="44"/>
    </row>
    <row r="6" spans="1:32" ht="30" x14ac:dyDescent="0.4">
      <c r="B6" s="48" t="s">
        <v>6</v>
      </c>
      <c r="C6" s="49" t="s">
        <v>7</v>
      </c>
      <c r="E6" s="152" t="s">
        <v>8</v>
      </c>
      <c r="F6" s="37">
        <f>C12*0.65</f>
        <v>65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x14ac:dyDescent="0.4">
      <c r="B7" s="48" t="s">
        <v>9</v>
      </c>
      <c r="C7" s="49" t="s">
        <v>10</v>
      </c>
      <c r="E7" s="154" t="s">
        <v>11</v>
      </c>
      <c r="F7" s="210">
        <v>30.23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12</v>
      </c>
      <c r="C8" s="158">
        <v>65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13</v>
      </c>
      <c r="C9" s="54">
        <v>0.7</v>
      </c>
      <c r="E9" s="156" t="s">
        <v>14</v>
      </c>
      <c r="F9" s="157">
        <f>IFERROR(J26,"Bitte Produkt auswählen")</f>
        <v>0.33377970093370773</v>
      </c>
      <c r="G9" s="56" t="s">
        <v>15</v>
      </c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16</v>
      </c>
      <c r="C10" s="58">
        <f>C8*365*(1-C9)</f>
        <v>7117.5000000000009</v>
      </c>
      <c r="E10" s="152" t="s">
        <v>17</v>
      </c>
      <c r="F10" s="168">
        <f>F5*0.75</f>
        <v>41.25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18</v>
      </c>
      <c r="C11" s="59">
        <f>IF(C10*0.15&lt;1000,C10*0.15,1000)</f>
        <v>1000</v>
      </c>
      <c r="E11" s="167" t="s">
        <v>19</v>
      </c>
      <c r="F11" s="238">
        <f>+I26</f>
        <v>37525.125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20</v>
      </c>
      <c r="C12" s="158">
        <v>100</v>
      </c>
      <c r="D12" s="61"/>
      <c r="E12" s="155" t="s">
        <v>21</v>
      </c>
      <c r="F12" s="237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22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23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24</v>
      </c>
      <c r="E16" s="63"/>
      <c r="F16" s="64"/>
      <c r="G16" s="64"/>
      <c r="H16" s="65"/>
      <c r="I16" s="65"/>
      <c r="J16" s="63"/>
      <c r="K16" s="66"/>
      <c r="L16" s="67" t="s">
        <v>25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26</v>
      </c>
      <c r="C17" s="110" t="s">
        <v>27</v>
      </c>
      <c r="D17" s="110" t="s">
        <v>28</v>
      </c>
      <c r="E17" s="111" t="s">
        <v>29</v>
      </c>
      <c r="F17" s="111" t="s">
        <v>30</v>
      </c>
      <c r="G17" s="112" t="s">
        <v>31</v>
      </c>
      <c r="H17" s="112" t="s">
        <v>32</v>
      </c>
      <c r="I17" s="112" t="s">
        <v>33</v>
      </c>
      <c r="J17" s="111" t="s">
        <v>34</v>
      </c>
      <c r="K17" s="112" t="s">
        <v>35</v>
      </c>
      <c r="L17" s="112" t="s">
        <v>36</v>
      </c>
      <c r="M17" s="112" t="s">
        <v>37</v>
      </c>
      <c r="N17" s="112" t="s">
        <v>38</v>
      </c>
      <c r="O17" s="112" t="s">
        <v>39</v>
      </c>
      <c r="P17" s="112" t="s">
        <v>40</v>
      </c>
      <c r="Q17" s="112" t="s">
        <v>41</v>
      </c>
      <c r="R17" s="112" t="s">
        <v>42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43</v>
      </c>
      <c r="C19" s="76" t="s">
        <v>44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45</v>
      </c>
      <c r="C20" s="76" t="s">
        <v>44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46</v>
      </c>
      <c r="C21" s="76" t="s">
        <v>44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75" t="s">
        <v>47</v>
      </c>
      <c r="C22" s="76" t="s">
        <v>44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48</v>
      </c>
      <c r="C23" s="76" t="s">
        <v>44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49</v>
      </c>
      <c r="C24" s="76" t="s">
        <v>50</v>
      </c>
      <c r="D24" s="159">
        <v>1</v>
      </c>
      <c r="E24" s="76">
        <f>ROUND(G24/F$7,0)</f>
        <v>827</v>
      </c>
      <c r="F24" s="76">
        <v>3</v>
      </c>
      <c r="G24" s="77">
        <f>F12*D24</f>
        <v>25000</v>
      </c>
      <c r="H24" s="77">
        <f>$E24*$F$10*1.1-$G24</f>
        <v>12525.125</v>
      </c>
      <c r="I24" s="77">
        <f>G24+H24</f>
        <v>37525.125</v>
      </c>
      <c r="J24" s="78">
        <f t="shared" si="16"/>
        <v>0.33377970093370773</v>
      </c>
      <c r="K24" s="77">
        <v>0</v>
      </c>
      <c r="L24" s="77">
        <v>0</v>
      </c>
      <c r="M24" s="77">
        <f>G24*1.19-G24</f>
        <v>4750</v>
      </c>
      <c r="N24" s="77">
        <f t="shared" si="5"/>
        <v>1620.403125</v>
      </c>
      <c r="O24" s="77">
        <f>L24-M24-N24</f>
        <v>-6370.4031249999998</v>
      </c>
      <c r="P24" s="79">
        <f>IFERROR($H24-L24,"")</f>
        <v>12525.125</v>
      </c>
      <c r="Q24" s="78">
        <f>IFERROR(($H24-L24)/$I24,"")</f>
        <v>0.33377970093370773</v>
      </c>
      <c r="R24" s="80">
        <f>IFERROR((1-Q24)*F24,"")</f>
        <v>1.9986608971988766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51</v>
      </c>
      <c r="C26" s="87"/>
      <c r="D26" s="88">
        <f>SUBTOTAL(9,D19:D24)</f>
        <v>1</v>
      </c>
      <c r="E26" s="89">
        <f>SUBTOTAL(9,E19:E24)</f>
        <v>827</v>
      </c>
      <c r="F26" s="89"/>
      <c r="G26" s="89">
        <f>SUBTOTAL(9,G19:G24)</f>
        <v>25000</v>
      </c>
      <c r="H26" s="89">
        <f>SUBTOTAL(9,H19:H24)</f>
        <v>12525.125</v>
      </c>
      <c r="I26" s="89">
        <f>SUBTOTAL(9,I19:I24)</f>
        <v>37525.125</v>
      </c>
      <c r="J26" s="90">
        <f>H26/I26</f>
        <v>0.33377970093370773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1620.403125</v>
      </c>
      <c r="O26" s="89">
        <f t="shared" si="25"/>
        <v>-6370.4031249999998</v>
      </c>
      <c r="P26" s="89">
        <f t="shared" si="25"/>
        <v>12525.125</v>
      </c>
      <c r="Q26" s="90">
        <f>($H26-L26)/$I26</f>
        <v>0.33377970093370773</v>
      </c>
      <c r="R26" s="91">
        <f>IFERROR((1-Q26)*F26,"")</f>
        <v>0</v>
      </c>
    </row>
    <row r="27" spans="2:32" x14ac:dyDescent="0.4">
      <c r="E27" s="217" t="str">
        <f>"Das enspricht "&amp;TEXT(E26/(C10),"0,0%") &amp; " des Leerstands p.a. über 3 Jahre."</f>
        <v>Das enspricht 11,6%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53125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52</v>
      </c>
      <c r="B1" s="174" t="s">
        <v>53</v>
      </c>
      <c r="C1" s="174"/>
      <c r="D1" s="175" t="s">
        <v>53</v>
      </c>
      <c r="E1" s="174" t="s">
        <v>54</v>
      </c>
      <c r="F1" s="174"/>
      <c r="G1" s="175" t="s">
        <v>54</v>
      </c>
      <c r="H1" s="174" t="s">
        <v>55</v>
      </c>
      <c r="I1" s="174"/>
      <c r="J1" s="175" t="s">
        <v>55</v>
      </c>
      <c r="K1" s="174" t="s">
        <v>56</v>
      </c>
      <c r="L1" s="174"/>
      <c r="M1" s="175" t="s">
        <v>56</v>
      </c>
      <c r="N1" s="174" t="s">
        <v>57</v>
      </c>
      <c r="O1" s="174"/>
      <c r="P1" s="175" t="s">
        <v>58</v>
      </c>
    </row>
    <row r="2" spans="1:16" ht="15.5" x14ac:dyDescent="0.35">
      <c r="A2" s="173" t="s">
        <v>59</v>
      </c>
      <c r="B2" s="174" t="s">
        <v>60</v>
      </c>
      <c r="C2" s="174"/>
      <c r="D2" s="175" t="s">
        <v>61</v>
      </c>
      <c r="E2" s="174" t="s">
        <v>60</v>
      </c>
      <c r="F2" s="174"/>
      <c r="G2" s="175" t="s">
        <v>61</v>
      </c>
      <c r="H2" s="174"/>
      <c r="I2" s="174"/>
      <c r="J2" s="175" t="s">
        <v>61</v>
      </c>
      <c r="K2" s="174" t="s">
        <v>62</v>
      </c>
      <c r="L2" s="174"/>
      <c r="M2" s="175" t="s">
        <v>61</v>
      </c>
      <c r="N2" s="174"/>
      <c r="O2" s="174"/>
      <c r="P2" s="175" t="s">
        <v>61</v>
      </c>
    </row>
    <row r="3" spans="1:16" ht="46.5" x14ac:dyDescent="0.35">
      <c r="A3" s="177" t="s">
        <v>63</v>
      </c>
      <c r="B3" s="178" t="s">
        <v>64</v>
      </c>
      <c r="C3" s="178" t="s">
        <v>65</v>
      </c>
      <c r="D3" s="179" t="s">
        <v>66</v>
      </c>
      <c r="E3" s="178" t="s">
        <v>64</v>
      </c>
      <c r="F3" s="178"/>
      <c r="G3" s="180" t="s">
        <v>67</v>
      </c>
      <c r="H3" s="178" t="s">
        <v>68</v>
      </c>
      <c r="I3" s="178"/>
      <c r="J3" s="180" t="s">
        <v>67</v>
      </c>
      <c r="K3" s="178" t="s">
        <v>69</v>
      </c>
      <c r="L3" s="178"/>
      <c r="M3" s="179" t="s">
        <v>66</v>
      </c>
      <c r="N3" s="178" t="s">
        <v>70</v>
      </c>
      <c r="O3" s="178"/>
      <c r="P3" s="179"/>
    </row>
    <row r="4" spans="1:16" ht="15.5" x14ac:dyDescent="0.35">
      <c r="A4" s="181" t="s">
        <v>71</v>
      </c>
      <c r="B4" s="182" t="s">
        <v>72</v>
      </c>
      <c r="C4" s="182"/>
      <c r="D4" s="183" t="s">
        <v>72</v>
      </c>
      <c r="E4" s="182" t="s">
        <v>72</v>
      </c>
      <c r="F4" s="182"/>
      <c r="G4" s="183" t="s">
        <v>72</v>
      </c>
      <c r="H4" s="182" t="s">
        <v>73</v>
      </c>
      <c r="I4" s="182"/>
      <c r="J4" s="183" t="s">
        <v>73</v>
      </c>
      <c r="K4" s="182" t="s">
        <v>74</v>
      </c>
      <c r="L4" s="182"/>
      <c r="M4" s="183" t="s">
        <v>74</v>
      </c>
      <c r="N4" s="182" t="s">
        <v>75</v>
      </c>
      <c r="O4" s="182"/>
      <c r="P4" s="183"/>
    </row>
    <row r="5" spans="1:16" ht="15.5" x14ac:dyDescent="0.35">
      <c r="A5" s="181" t="s">
        <v>76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77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78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79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80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81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82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83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84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85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86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87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88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89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Normal="100" workbookViewId="0">
      <selection activeCell="C4" sqref="C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0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90</v>
      </c>
      <c r="C2" s="221">
        <v>25</v>
      </c>
    </row>
    <row r="3" spans="2:11" x14ac:dyDescent="0.4">
      <c r="B3" s="103" t="s">
        <v>91</v>
      </c>
      <c r="C3" s="221">
        <v>42.5</v>
      </c>
    </row>
    <row r="4" spans="2:11" x14ac:dyDescent="0.4">
      <c r="B4" s="103" t="s">
        <v>92</v>
      </c>
      <c r="C4" s="222">
        <f>+C3-C2</f>
        <v>17.5</v>
      </c>
    </row>
    <row r="5" spans="2:11" ht="6" customHeight="1" x14ac:dyDescent="0.4">
      <c r="C5" s="223"/>
    </row>
    <row r="6" spans="2:11" x14ac:dyDescent="0.4">
      <c r="B6" s="103" t="s">
        <v>93</v>
      </c>
      <c r="C6" s="221" t="s">
        <v>49</v>
      </c>
    </row>
    <row r="7" spans="2:11" x14ac:dyDescent="0.4">
      <c r="B7" s="103" t="s">
        <v>94</v>
      </c>
      <c r="C7" s="222">
        <f>IFERROR(INDEX('Preise Output'!$B$19:$E$24,MATCH(Preisvergleich!$C$6,'Preise Output'!$B$19:$B$24,0),4)/INDEX('Preise Output'!$B$19:$E$24,MATCH(Preisvergleich!$C$6,'Preise Output'!$B$19:$B$24,0),3),"--")</f>
        <v>827</v>
      </c>
    </row>
    <row r="9" spans="2:11" x14ac:dyDescent="0.4">
      <c r="B9" s="109" t="s">
        <v>95</v>
      </c>
      <c r="C9" s="224"/>
    </row>
    <row r="11" spans="2:11" ht="14.5" thickBot="1" x14ac:dyDescent="0.45">
      <c r="B11" s="106" t="s">
        <v>96</v>
      </c>
      <c r="C11" s="225">
        <f>C12</f>
        <v>21008.403361344539</v>
      </c>
    </row>
    <row r="12" spans="2:11" x14ac:dyDescent="0.4">
      <c r="B12" s="211" t="s">
        <v>97</v>
      </c>
      <c r="C12" s="226">
        <f>F13+F14</f>
        <v>21008.403361344539</v>
      </c>
      <c r="E12" s="97" t="s">
        <v>98</v>
      </c>
      <c r="F12" s="97" t="s">
        <v>99</v>
      </c>
    </row>
    <row r="13" spans="2:11" x14ac:dyDescent="0.4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28">
        <f>F14*E14</f>
        <v>3991.5966386554624</v>
      </c>
      <c r="E14" s="219">
        <v>0.19</v>
      </c>
      <c r="F14" s="162">
        <f>(F18-F13*(1+E13))/(1+E14)</f>
        <v>21008.403361344539</v>
      </c>
    </row>
    <row r="15" spans="2:11" hidden="1" x14ac:dyDescent="0.4">
      <c r="B15" s="105" t="s">
        <v>100</v>
      </c>
      <c r="C15" s="229"/>
      <c r="K15" s="162"/>
    </row>
    <row r="16" spans="2:11" hidden="1" x14ac:dyDescent="0.4">
      <c r="B16" s="98" t="s">
        <v>101</v>
      </c>
      <c r="D16" s="162"/>
    </row>
    <row r="17" spans="2:8" ht="14.5" hidden="1" thickBot="1" x14ac:dyDescent="0.45">
      <c r="B17" s="99" t="s">
        <v>102</v>
      </c>
      <c r="C17" s="231"/>
      <c r="D17" s="97" t="s">
        <v>103</v>
      </c>
    </row>
    <row r="18" spans="2:8" x14ac:dyDescent="0.4">
      <c r="B18" s="100" t="s">
        <v>104</v>
      </c>
      <c r="C18" s="232">
        <f>SUM(C12:C14)</f>
        <v>25000</v>
      </c>
      <c r="F18" s="97">
        <f>'Preise Output'!G26</f>
        <v>25000</v>
      </c>
    </row>
    <row r="21" spans="2:8" x14ac:dyDescent="0.4">
      <c r="B21" s="109" t="s">
        <v>105</v>
      </c>
      <c r="C21" s="224"/>
    </row>
    <row r="22" spans="2:8" ht="6.75" customHeight="1" x14ac:dyDescent="0.4"/>
    <row r="23" spans="2:8" x14ac:dyDescent="0.4">
      <c r="B23" s="101" t="s">
        <v>106</v>
      </c>
    </row>
    <row r="24" spans="2:8" x14ac:dyDescent="0.4">
      <c r="B24" s="107" t="str">
        <f>C7&amp;" "&amp;"Gutscheine"&amp;" "&amp;"x"&amp;" "&amp;ROUND('Preise Output'!F7,2)&amp;"€"&amp;" "&amp;"je"&amp;" "&amp;"Gutschein"</f>
        <v>827 Gutscheine x 30,23€ je Gutschein</v>
      </c>
      <c r="C24" s="233">
        <f>IFERROR(C7*'Preise Output'!$F$7,"--")</f>
        <v>25000.21</v>
      </c>
    </row>
    <row r="25" spans="2:8" x14ac:dyDescent="0.4">
      <c r="B25" s="97" t="str">
        <f>"Das enspricht "&amp;TEXT('Preise Output'!E26/('Preise Output'!C10),"0,0%") &amp; " des Leerstands p.a."</f>
        <v>Das enspricht 11,6% des Leerstands p.a.</v>
      </c>
      <c r="C25" s="227"/>
      <c r="E25" s="97" t="s">
        <v>98</v>
      </c>
      <c r="F25" s="97" t="s">
        <v>99</v>
      </c>
    </row>
    <row r="26" spans="2:8" x14ac:dyDescent="0.4">
      <c r="B26" s="98" t="str">
        <f>"Mehrwertsteuer " &amp; TEXT(E26,"0%")</f>
        <v>Mehrwertsteuer 7%</v>
      </c>
      <c r="C26" s="230">
        <f>IFERROR(F26*E26,"--")</f>
        <v>1460.5647000000001</v>
      </c>
      <c r="E26" s="219">
        <v>7.0000000000000007E-2</v>
      </c>
      <c r="F26" s="162">
        <f>C24-F27</f>
        <v>20865.21</v>
      </c>
    </row>
    <row r="27" spans="2:8" ht="14.5" thickBot="1" x14ac:dyDescent="0.45">
      <c r="B27" s="99" t="str">
        <f>"Mehrwertsteuer " &amp; TEXT(E27,"0%")</f>
        <v>Mehrwertsteuer 19%</v>
      </c>
      <c r="C27" s="230">
        <f>IFERROR(F27*E27,"--")</f>
        <v>785.65</v>
      </c>
      <c r="E27" s="219">
        <v>0.19</v>
      </c>
      <c r="F27" s="162">
        <f>G27*C7</f>
        <v>4135</v>
      </c>
      <c r="G27" s="104">
        <v>5</v>
      </c>
      <c r="H27" s="97" t="s">
        <v>107</v>
      </c>
    </row>
    <row r="30" spans="2:8" x14ac:dyDescent="0.4">
      <c r="B30" s="96" t="s">
        <v>108</v>
      </c>
    </row>
    <row r="31" spans="2:8" x14ac:dyDescent="0.4">
      <c r="B31" s="107" t="str">
        <f>C4&amp;"€"&amp;" "&amp;"je"&amp;" "&amp;"Gutschein"&amp;" "&amp;"x"&amp;" "&amp;C7&amp;" "&amp;"Roomnights"</f>
        <v>17,5€ je Gutschein x 827 Roomnights</v>
      </c>
      <c r="C31" s="233">
        <f>C7*C4</f>
        <v>14472.5</v>
      </c>
    </row>
    <row r="32" spans="2:8" x14ac:dyDescent="0.4">
      <c r="B32" s="108" t="s">
        <v>109</v>
      </c>
      <c r="C32" s="225">
        <f>C26+C27</f>
        <v>2246.2147</v>
      </c>
    </row>
    <row r="33" spans="2:3" ht="14.5" thickBot="1" x14ac:dyDescent="0.45">
      <c r="B33" s="115" t="s">
        <v>110</v>
      </c>
      <c r="C33" s="234">
        <f>-(C13+C14)</f>
        <v>-3991.5966386554624</v>
      </c>
    </row>
    <row r="34" spans="2:3" x14ac:dyDescent="0.4">
      <c r="B34" s="96" t="s">
        <v>111</v>
      </c>
      <c r="C34" s="232">
        <f>SUM(C31:C33)</f>
        <v>12727.118061344538</v>
      </c>
    </row>
    <row r="36" spans="2:3" x14ac:dyDescent="0.4">
      <c r="B36" s="102" t="s">
        <v>112</v>
      </c>
      <c r="C36" s="235">
        <f>C12-C34</f>
        <v>8281.2853000000014</v>
      </c>
    </row>
    <row r="37" spans="2:3" x14ac:dyDescent="0.4">
      <c r="B37" s="97" t="s">
        <v>113</v>
      </c>
      <c r="C37" s="236">
        <f>C36/C12</f>
        <v>0.39418918028000005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114</v>
      </c>
      <c r="Q2" s="95"/>
    </row>
    <row r="3" spans="2:19" x14ac:dyDescent="0.35">
      <c r="N3" t="s">
        <v>100</v>
      </c>
      <c r="O3" t="s">
        <v>115</v>
      </c>
    </row>
    <row r="4" spans="2:19" s="1" customFormat="1" ht="43.5" x14ac:dyDescent="0.35">
      <c r="B4" s="113" t="s">
        <v>9</v>
      </c>
      <c r="C4" s="113" t="s">
        <v>93</v>
      </c>
      <c r="D4" s="113" t="s">
        <v>116</v>
      </c>
      <c r="E4" s="113" t="s">
        <v>117</v>
      </c>
      <c r="F4" s="113" t="s">
        <v>118</v>
      </c>
      <c r="G4" s="113" t="s">
        <v>96</v>
      </c>
      <c r="H4" s="113" t="s">
        <v>85</v>
      </c>
      <c r="I4" s="113" t="s">
        <v>119</v>
      </c>
      <c r="J4" s="113"/>
      <c r="K4" s="113" t="s">
        <v>84</v>
      </c>
      <c r="L4" s="113" t="s">
        <v>100</v>
      </c>
      <c r="M4" s="113" t="s">
        <v>120</v>
      </c>
      <c r="N4" s="113" t="s">
        <v>121</v>
      </c>
      <c r="O4" s="113" t="s">
        <v>122</v>
      </c>
      <c r="P4" s="113" t="s">
        <v>30</v>
      </c>
      <c r="Q4" s="114" t="s">
        <v>31</v>
      </c>
      <c r="R4" s="113" t="s">
        <v>123</v>
      </c>
      <c r="S4" s="113" t="s">
        <v>124</v>
      </c>
    </row>
    <row r="5" spans="2:19" s="1" customFormat="1" x14ac:dyDescent="0.35">
      <c r="B5" s="9" t="s">
        <v>125</v>
      </c>
      <c r="C5" s="10" t="s">
        <v>126</v>
      </c>
      <c r="D5" s="10" t="s">
        <v>127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125</v>
      </c>
      <c r="C6" s="10" t="s">
        <v>128</v>
      </c>
      <c r="D6" s="10" t="s">
        <v>127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125</v>
      </c>
      <c r="C7" s="10" t="s">
        <v>129</v>
      </c>
      <c r="D7" s="10" t="s">
        <v>127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125</v>
      </c>
      <c r="C8" s="10" t="s">
        <v>130</v>
      </c>
      <c r="D8" s="10" t="s">
        <v>127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125</v>
      </c>
      <c r="C9" s="10" t="s">
        <v>131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132</v>
      </c>
      <c r="C10" s="15" t="s">
        <v>133</v>
      </c>
      <c r="D10" s="15" t="s">
        <v>127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132</v>
      </c>
      <c r="C11" s="75" t="s">
        <v>43</v>
      </c>
      <c r="D11" s="15" t="s">
        <v>127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134</v>
      </c>
      <c r="C12" s="75" t="s">
        <v>45</v>
      </c>
      <c r="D12" s="20" t="s">
        <v>127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134</v>
      </c>
      <c r="C13" s="75" t="s">
        <v>46</v>
      </c>
      <c r="D13" s="20" t="s">
        <v>127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135</v>
      </c>
      <c r="C14" s="75" t="s">
        <v>47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136</v>
      </c>
      <c r="C15" s="75" t="s">
        <v>48</v>
      </c>
      <c r="D15" s="10" t="s">
        <v>127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136</v>
      </c>
      <c r="C16" s="32" t="s">
        <v>49</v>
      </c>
      <c r="D16" s="32" t="s">
        <v>127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 x14ac:dyDescent="0.35">
      <c r="B17" s="9" t="s">
        <v>125</v>
      </c>
      <c r="C17" s="25" t="s">
        <v>137</v>
      </c>
      <c r="D17" s="32" t="s">
        <v>127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138</v>
      </c>
      <c r="C18" s="25" t="s">
        <v>139</v>
      </c>
      <c r="D18" s="32" t="s">
        <v>127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138</v>
      </c>
      <c r="C19" s="25" t="s">
        <v>140</v>
      </c>
      <c r="D19" s="32" t="s">
        <v>127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134</v>
      </c>
      <c r="C20" s="25" t="s">
        <v>141</v>
      </c>
      <c r="D20" s="20" t="s">
        <v>127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134</v>
      </c>
      <c r="C21" s="25" t="s">
        <v>142</v>
      </c>
      <c r="D21" s="20" t="s">
        <v>127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143</v>
      </c>
      <c r="C22" s="25" t="s">
        <v>144</v>
      </c>
      <c r="D22" s="20" t="s">
        <v>127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134</v>
      </c>
      <c r="C23" s="19" t="s">
        <v>145</v>
      </c>
      <c r="D23" s="20" t="s">
        <v>127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134</v>
      </c>
      <c r="C24" s="19" t="s">
        <v>146</v>
      </c>
      <c r="D24" s="20" t="s">
        <v>127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134</v>
      </c>
      <c r="C25" s="19" t="s">
        <v>147</v>
      </c>
      <c r="D25" s="20" t="s">
        <v>127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134</v>
      </c>
      <c r="C26" s="19" t="s">
        <v>148</v>
      </c>
      <c r="D26" s="20" t="s">
        <v>127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149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150</v>
      </c>
      <c r="Q31" s="2"/>
      <c r="R31" s="2"/>
      <c r="S31" s="2"/>
    </row>
    <row r="32" spans="2:19" s="1" customFormat="1" ht="29" x14ac:dyDescent="0.35">
      <c r="B32" s="113" t="s">
        <v>9</v>
      </c>
      <c r="C32" s="113" t="s">
        <v>93</v>
      </c>
      <c r="D32" s="113" t="s">
        <v>116</v>
      </c>
      <c r="E32" s="113" t="s">
        <v>117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151</v>
      </c>
      <c r="N32" s="113" t="s">
        <v>100</v>
      </c>
      <c r="O32" s="113" t="s">
        <v>122</v>
      </c>
      <c r="P32" s="113" t="s">
        <v>30</v>
      </c>
      <c r="Q32" s="114" t="s">
        <v>31</v>
      </c>
      <c r="R32" s="113" t="s">
        <v>123</v>
      </c>
      <c r="S32" s="113" t="s">
        <v>124</v>
      </c>
    </row>
    <row r="33" spans="2:19" x14ac:dyDescent="0.35">
      <c r="B33" s="9" t="s">
        <v>125</v>
      </c>
      <c r="C33" s="10" t="s">
        <v>126</v>
      </c>
      <c r="D33" s="10" t="s">
        <v>127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125</v>
      </c>
      <c r="C34" s="10" t="s">
        <v>128</v>
      </c>
      <c r="D34" s="10" t="s">
        <v>127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125</v>
      </c>
      <c r="C35" s="10" t="s">
        <v>129</v>
      </c>
      <c r="D35" s="10" t="s">
        <v>127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125</v>
      </c>
      <c r="C36" s="10" t="s">
        <v>130</v>
      </c>
      <c r="D36" s="10" t="s">
        <v>127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125</v>
      </c>
      <c r="C37" s="10" t="s">
        <v>131</v>
      </c>
      <c r="D37" s="10" t="s">
        <v>127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132</v>
      </c>
      <c r="C38" s="15" t="s">
        <v>133</v>
      </c>
      <c r="D38" s="15" t="s">
        <v>127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132</v>
      </c>
      <c r="C39" s="75" t="s">
        <v>43</v>
      </c>
      <c r="D39" s="15" t="s">
        <v>127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134</v>
      </c>
      <c r="C40" s="75" t="s">
        <v>45</v>
      </c>
      <c r="D40" s="20" t="s">
        <v>127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134</v>
      </c>
      <c r="C41" s="75" t="s">
        <v>46</v>
      </c>
      <c r="D41" s="20" t="s">
        <v>127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136</v>
      </c>
      <c r="C42" s="75" t="s">
        <v>47</v>
      </c>
      <c r="D42" s="32" t="s">
        <v>127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136</v>
      </c>
      <c r="C43" s="75" t="s">
        <v>48</v>
      </c>
      <c r="D43" s="32" t="s">
        <v>127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125</v>
      </c>
      <c r="C44" s="32" t="s">
        <v>49</v>
      </c>
      <c r="D44" s="10" t="s">
        <v>127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 x14ac:dyDescent="0.35">
      <c r="B45" s="25" t="s">
        <v>138</v>
      </c>
      <c r="C45" s="25" t="s">
        <v>139</v>
      </c>
      <c r="D45" s="32" t="s">
        <v>127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138</v>
      </c>
      <c r="C46" s="25" t="s">
        <v>140</v>
      </c>
      <c r="D46" s="32" t="s">
        <v>127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134</v>
      </c>
      <c r="C47" s="25" t="s">
        <v>141</v>
      </c>
      <c r="D47" s="32" t="s">
        <v>127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134</v>
      </c>
      <c r="C48" s="25" t="s">
        <v>142</v>
      </c>
      <c r="D48" s="32" t="s">
        <v>127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143</v>
      </c>
      <c r="C49" s="25" t="s">
        <v>144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134</v>
      </c>
      <c r="C50" s="19" t="s">
        <v>145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134</v>
      </c>
      <c r="C51" s="19" t="s">
        <v>146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134</v>
      </c>
      <c r="C52" s="19" t="s">
        <v>147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134</v>
      </c>
      <c r="C53" s="19" t="s">
        <v>148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152</v>
      </c>
      <c r="C54" s="25" t="s">
        <v>153</v>
      </c>
      <c r="D54" s="25" t="s">
        <v>154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ColWidth="11.453125" defaultRowHeight="14.5" x14ac:dyDescent="0.35"/>
  <cols>
    <col min="1" max="1" width="24.453125" bestFit="1" customWidth="1"/>
  </cols>
  <sheetData>
    <row r="1" spans="1:2" x14ac:dyDescent="0.35">
      <c r="A1" t="s">
        <v>155</v>
      </c>
      <c r="B1" t="s">
        <v>156</v>
      </c>
    </row>
    <row r="2" spans="1:2" x14ac:dyDescent="0.35">
      <c r="A2">
        <v>221220</v>
      </c>
      <c r="B2" t="s">
        <v>157</v>
      </c>
    </row>
    <row r="3" spans="1:2" x14ac:dyDescent="0.35">
      <c r="B3" t="s">
        <v>158</v>
      </c>
    </row>
    <row r="4" spans="1:2" x14ac:dyDescent="0.35">
      <c r="B4" t="s">
        <v>159</v>
      </c>
    </row>
    <row r="5" spans="1:2" x14ac:dyDescent="0.35">
      <c r="A5">
        <v>230126</v>
      </c>
      <c r="B5" t="s">
        <v>160</v>
      </c>
    </row>
    <row r="6" spans="1:2" x14ac:dyDescent="0.35">
      <c r="B6" t="s">
        <v>161</v>
      </c>
    </row>
    <row r="7" spans="1:2" x14ac:dyDescent="0.35">
      <c r="B7" t="s">
        <v>162</v>
      </c>
    </row>
    <row r="9" spans="1:2" x14ac:dyDescent="0.35">
      <c r="A9" t="s">
        <v>163</v>
      </c>
      <c r="B9" t="s">
        <v>164</v>
      </c>
    </row>
    <row r="10" spans="1:2" x14ac:dyDescent="0.35">
      <c r="B10" t="s">
        <v>165</v>
      </c>
    </row>
    <row r="11" spans="1:2" x14ac:dyDescent="0.35">
      <c r="B11" t="s">
        <v>166</v>
      </c>
    </row>
    <row r="12" spans="1:2" x14ac:dyDescent="0.35">
      <c r="A12" t="s">
        <v>167</v>
      </c>
      <c r="B12" t="s">
        <v>168</v>
      </c>
    </row>
    <row r="13" spans="1:2" x14ac:dyDescent="0.35">
      <c r="B13" t="s">
        <v>169</v>
      </c>
    </row>
    <row r="14" spans="1:2" x14ac:dyDescent="0.35">
      <c r="A14" t="s">
        <v>170</v>
      </c>
      <c r="B14" t="s">
        <v>171</v>
      </c>
    </row>
    <row r="15" spans="1:2" x14ac:dyDescent="0.35">
      <c r="B15" t="s">
        <v>172</v>
      </c>
    </row>
    <row r="16" spans="1:2" x14ac:dyDescent="0.35">
      <c r="A16" t="s">
        <v>173</v>
      </c>
      <c r="B16" t="s">
        <v>174</v>
      </c>
    </row>
    <row r="17" spans="1:2" x14ac:dyDescent="0.35">
      <c r="B17" t="s">
        <v>175</v>
      </c>
    </row>
    <row r="18" spans="1:2" x14ac:dyDescent="0.35">
      <c r="B18" t="s">
        <v>176</v>
      </c>
    </row>
    <row r="19" spans="1:2" x14ac:dyDescent="0.35">
      <c r="A19" t="s">
        <v>177</v>
      </c>
      <c r="B19" t="s">
        <v>178</v>
      </c>
    </row>
    <row r="20" spans="1:2" x14ac:dyDescent="0.35">
      <c r="B20" t="s">
        <v>179</v>
      </c>
    </row>
    <row r="21" spans="1:2" x14ac:dyDescent="0.35">
      <c r="A21" t="s">
        <v>180</v>
      </c>
      <c r="B21" t="s">
        <v>181</v>
      </c>
    </row>
    <row r="22" spans="1:2" x14ac:dyDescent="0.35">
      <c r="A22" t="s">
        <v>182</v>
      </c>
      <c r="B22" t="s">
        <v>183</v>
      </c>
    </row>
    <row r="23" spans="1:2" x14ac:dyDescent="0.35">
      <c r="A23" t="s">
        <v>184</v>
      </c>
      <c r="B23" t="s">
        <v>185</v>
      </c>
    </row>
    <row r="24" spans="1:2" x14ac:dyDescent="0.35">
      <c r="A24" t="s">
        <v>186</v>
      </c>
      <c r="B24" t="s">
        <v>187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188</v>
      </c>
      <c r="E4" s="125" t="s">
        <v>189</v>
      </c>
      <c r="F4" s="124" t="s">
        <v>190</v>
      </c>
      <c r="G4" s="125" t="s">
        <v>191</v>
      </c>
      <c r="H4" s="124" t="s">
        <v>192</v>
      </c>
      <c r="I4" s="125" t="s">
        <v>193</v>
      </c>
      <c r="J4" s="124" t="s">
        <v>194</v>
      </c>
      <c r="K4" s="125" t="s">
        <v>195</v>
      </c>
      <c r="L4" s="124" t="s">
        <v>196</v>
      </c>
      <c r="M4" s="125" t="s">
        <v>197</v>
      </c>
      <c r="N4" s="124" t="s">
        <v>198</v>
      </c>
      <c r="O4" s="125" t="s">
        <v>199</v>
      </c>
      <c r="P4" s="124" t="s">
        <v>200</v>
      </c>
      <c r="Q4" s="125" t="s">
        <v>201</v>
      </c>
      <c r="R4" s="124" t="s">
        <v>202</v>
      </c>
      <c r="S4" s="125" t="s">
        <v>203</v>
      </c>
      <c r="T4" s="124" t="s">
        <v>204</v>
      </c>
      <c r="U4" s="125" t="s">
        <v>205</v>
      </c>
      <c r="V4" s="124" t="s">
        <v>206</v>
      </c>
      <c r="W4" s="125" t="s">
        <v>207</v>
      </c>
      <c r="X4" s="124" t="s">
        <v>208</v>
      </c>
      <c r="Y4" s="125" t="s">
        <v>209</v>
      </c>
      <c r="Z4" s="124" t="s">
        <v>210</v>
      </c>
      <c r="AA4" s="125" t="s">
        <v>211</v>
      </c>
      <c r="AB4" s="124" t="s">
        <v>212</v>
      </c>
      <c r="AC4" s="125" t="s">
        <v>213</v>
      </c>
      <c r="AD4" s="124" t="s">
        <v>214</v>
      </c>
      <c r="AE4" s="125" t="s">
        <v>215</v>
      </c>
      <c r="AF4" s="124" t="s">
        <v>216</v>
      </c>
      <c r="AG4" s="125" t="s">
        <v>217</v>
      </c>
      <c r="AH4" s="124" t="s">
        <v>218</v>
      </c>
      <c r="AI4" s="125" t="s">
        <v>219</v>
      </c>
      <c r="AJ4" s="124" t="s">
        <v>220</v>
      </c>
      <c r="AK4" s="125" t="s">
        <v>221</v>
      </c>
      <c r="AL4" s="124" t="s">
        <v>222</v>
      </c>
      <c r="AM4" s="125" t="s">
        <v>223</v>
      </c>
      <c r="AN4" s="124" t="s">
        <v>224</v>
      </c>
      <c r="AQ4" s="116" t="s">
        <v>225</v>
      </c>
      <c r="AR4" s="116" t="s">
        <v>226</v>
      </c>
      <c r="AS4" s="116" t="s">
        <v>227</v>
      </c>
      <c r="AT4" s="116" t="s">
        <v>228</v>
      </c>
      <c r="AU4" s="116" t="s">
        <v>229</v>
      </c>
      <c r="AV4" s="116" t="s">
        <v>230</v>
      </c>
      <c r="AW4" s="116" t="s">
        <v>231</v>
      </c>
      <c r="AX4" s="116" t="s">
        <v>232</v>
      </c>
      <c r="AY4" s="116" t="s">
        <v>233</v>
      </c>
      <c r="AZ4" s="116" t="s">
        <v>234</v>
      </c>
      <c r="BA4" s="116" t="s">
        <v>235</v>
      </c>
      <c r="BB4" s="116" t="s">
        <v>236</v>
      </c>
    </row>
    <row r="5" spans="2:54" x14ac:dyDescent="0.35">
      <c r="C5" s="116" t="s">
        <v>237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238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24810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24810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24810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24810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239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930.375</v>
      </c>
      <c r="F7" s="129">
        <f>IF($B$6=100%,(('Preise Output'!$F$10-INDEX(Annahmen!$B$18:$C$22,MATCH('Preise Output'!$C$7,Annahmen!$B$18:$B$22,0),2))*'Preise Output'!$E$26)/10,('Preise Output'!$E$26*'Preise Output'!$F$10-$D$6)/10)</f>
        <v>930.375</v>
      </c>
      <c r="G7" s="129">
        <f>IF($B$6=100%,(('Preise Output'!$F$10-INDEX(Annahmen!$B$18:$C$22,MATCH('Preise Output'!$C$7,Annahmen!$B$18:$B$22,0),2))*'Preise Output'!$E$26)/10,('Preise Output'!$E$26*'Preise Output'!$F$10-$D$6)/10)</f>
        <v>930.375</v>
      </c>
      <c r="H7" s="129">
        <f>IF($B$6=100%,(('Preise Output'!$F$10-INDEX(Annahmen!$B$18:$C$22,MATCH('Preise Output'!$C$7,Annahmen!$B$18:$B$22,0),2))*'Preise Output'!$E$26)/10,('Preise Output'!$E$26*'Preise Output'!$F$10-$D$6)/10)</f>
        <v>930.375</v>
      </c>
      <c r="I7" s="129">
        <f>IF($B$6=100%,(('Preise Output'!$F$10-INDEX(Annahmen!$B$18:$C$22,MATCH('Preise Output'!$C$7,Annahmen!$B$18:$B$22,0),2))*'Preise Output'!$E$26)/10,('Preise Output'!$E$26*'Preise Output'!$F$10-$D$6)/10)</f>
        <v>930.375</v>
      </c>
      <c r="J7" s="129">
        <f>IF($B$6=100%,(('Preise Output'!$F$10-INDEX(Annahmen!$B$18:$C$22,MATCH('Preise Output'!$C$7,Annahmen!$B$18:$B$22,0),2))*'Preise Output'!$E$26)/10,('Preise Output'!$E$26*'Preise Output'!$F$10-$D$6)/10)</f>
        <v>930.375</v>
      </c>
      <c r="K7" s="129">
        <f>IF($B$6=100%,(('Preise Output'!$F$10-INDEX(Annahmen!$B$18:$C$22,MATCH('Preise Output'!$C$7,Annahmen!$B$18:$B$22,0),2))*'Preise Output'!$E$26)/10,('Preise Output'!$E$26*'Preise Output'!$F$10-$D$6)/10)</f>
        <v>930.375</v>
      </c>
      <c r="L7" s="129">
        <f>IF($B$6=100%,(('Preise Output'!$F$10-INDEX(Annahmen!$B$18:$C$22,MATCH('Preise Output'!$C$7,Annahmen!$B$18:$B$22,0),2))*'Preise Output'!$E$26)/10,('Preise Output'!$E$26*'Preise Output'!$F$10-$D$6)/10)</f>
        <v>930.375</v>
      </c>
      <c r="M7" s="129">
        <f>IF($B$6=100%,(('Preise Output'!$F$10-INDEX(Annahmen!$B$18:$C$22,MATCH('Preise Output'!$C$7,Annahmen!$B$18:$B$22,0),2))*'Preise Output'!$E$26)/10,('Preise Output'!$E$26*'Preise Output'!$F$10-$D$6)/10)</f>
        <v>930.375</v>
      </c>
      <c r="N7" s="129">
        <f>IF($B$6=100%,(('Preise Output'!$F$10-INDEX(Annahmen!$B$18:$C$22,MATCH('Preise Output'!$C$7,Annahmen!$B$18:$B$22,0),2))*'Preise Output'!$E$26)/10,('Preise Output'!$E$26*'Preise Output'!$F$10-$D$6)/10)</f>
        <v>930.375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930.375</v>
      </c>
      <c r="R7" s="129">
        <f>IF($B$6=100%,(('Preise Output'!$F$10-INDEX(Annahmen!$B$18:$C$22,MATCH('Preise Output'!$C$7,Annahmen!$B$18:$B$22,0),2))*'Preise Output'!$E$26)/10,('Preise Output'!$E$26*'Preise Output'!$F$10-$D$6)/10)</f>
        <v>930.375</v>
      </c>
      <c r="S7" s="129">
        <f>IF($B$6=100%,(('Preise Output'!$F$10-INDEX(Annahmen!$B$18:$C$22,MATCH('Preise Output'!$C$7,Annahmen!$B$18:$B$22,0),2))*'Preise Output'!$E$26)/10,('Preise Output'!$E$26*'Preise Output'!$F$10-$D$6)/10)</f>
        <v>930.375</v>
      </c>
      <c r="T7" s="129">
        <f>IF($B$6=100%,(('Preise Output'!$F$10-INDEX(Annahmen!$B$18:$C$22,MATCH('Preise Output'!$C$7,Annahmen!$B$18:$B$22,0),2))*'Preise Output'!$E$26)/10,('Preise Output'!$E$26*'Preise Output'!$F$10-$D$6)/10)</f>
        <v>930.375</v>
      </c>
      <c r="U7" s="129">
        <f>IF($B$6=100%,(('Preise Output'!$F$10-INDEX(Annahmen!$B$18:$C$22,MATCH('Preise Output'!$C$7,Annahmen!$B$18:$B$22,0),2))*'Preise Output'!$E$26)/10,('Preise Output'!$E$26*'Preise Output'!$F$10-$D$6)/10)</f>
        <v>930.375</v>
      </c>
      <c r="V7" s="129">
        <f>IF($B$6=100%,(('Preise Output'!$F$10-INDEX(Annahmen!$B$18:$C$22,MATCH('Preise Output'!$C$7,Annahmen!$B$18:$B$22,0),2))*'Preise Output'!$E$26)/10,('Preise Output'!$E$26*'Preise Output'!$F$10-$D$6)/10)</f>
        <v>930.375</v>
      </c>
      <c r="W7" s="129">
        <f>IF($B$6=100%,(('Preise Output'!$F$10-INDEX(Annahmen!$B$18:$C$22,MATCH('Preise Output'!$C$7,Annahmen!$B$18:$B$22,0),2))*'Preise Output'!$E$26)/10,('Preise Output'!$E$26*'Preise Output'!$F$10-$D$6)/10)</f>
        <v>930.375</v>
      </c>
      <c r="X7" s="129">
        <f>IF($B$6=100%,(('Preise Output'!$F$10-INDEX(Annahmen!$B$18:$C$22,MATCH('Preise Output'!$C$7,Annahmen!$B$18:$B$22,0),2))*'Preise Output'!$E$26)/10,('Preise Output'!$E$26*'Preise Output'!$F$10-$D$6)/10)</f>
        <v>930.375</v>
      </c>
      <c r="Y7" s="129">
        <f>IF($B$6=100%,(('Preise Output'!$F$10-INDEX(Annahmen!$B$18:$C$22,MATCH('Preise Output'!$C$7,Annahmen!$B$18:$B$22,0),2))*'Preise Output'!$E$26)/10,('Preise Output'!$E$26*'Preise Output'!$F$10-$D$6)/10)</f>
        <v>930.375</v>
      </c>
      <c r="Z7" s="129">
        <f>IF($B$6=100%,(('Preise Output'!$F$10-INDEX(Annahmen!$B$18:$C$22,MATCH('Preise Output'!$C$7,Annahmen!$B$18:$B$22,0),2))*'Preise Output'!$E$26)/10,('Preise Output'!$E$26*'Preise Output'!$F$10-$D$6)/10)</f>
        <v>930.375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930.375</v>
      </c>
      <c r="AD7" s="129">
        <f>IF($B$6=100%,(('Preise Output'!$F$10-INDEX(Annahmen!$B$18:$C$22,MATCH('Preise Output'!$C$7,Annahmen!$B$18:$B$22,0),2))*'Preise Output'!$E$26)/10,('Preise Output'!$E$26*'Preise Output'!$F$10-$D$6)/10)</f>
        <v>930.375</v>
      </c>
      <c r="AE7" s="129">
        <f>IF($B$6=100%,(('Preise Output'!$F$10-INDEX(Annahmen!$B$18:$C$22,MATCH('Preise Output'!$C$7,Annahmen!$B$18:$B$22,0),2))*'Preise Output'!$E$26)/10,('Preise Output'!$E$26*'Preise Output'!$F$10-$D$6)/10)</f>
        <v>930.375</v>
      </c>
      <c r="AF7" s="129">
        <f>IF($B$6=100%,(('Preise Output'!$F$10-INDEX(Annahmen!$B$18:$C$22,MATCH('Preise Output'!$C$7,Annahmen!$B$18:$B$22,0),2))*'Preise Output'!$E$26)/10,('Preise Output'!$E$26*'Preise Output'!$F$10-$D$6)/10)</f>
        <v>930.375</v>
      </c>
      <c r="AG7" s="129">
        <f>IF($B$6=100%,(('Preise Output'!$F$10-INDEX(Annahmen!$B$18:$C$22,MATCH('Preise Output'!$C$7,Annahmen!$B$18:$B$22,0),2))*'Preise Output'!$E$26)/10,('Preise Output'!$E$26*'Preise Output'!$F$10-$D$6)/10)</f>
        <v>930.375</v>
      </c>
      <c r="AH7" s="129">
        <f>IF($B$6=100%,(('Preise Output'!$F$10-INDEX(Annahmen!$B$18:$C$22,MATCH('Preise Output'!$C$7,Annahmen!$B$18:$B$22,0),2))*'Preise Output'!$E$26)/10,('Preise Output'!$E$26*'Preise Output'!$F$10-$D$6)/10)</f>
        <v>930.375</v>
      </c>
      <c r="AI7" s="129">
        <f>IF($B$6=100%,(('Preise Output'!$F$10-INDEX(Annahmen!$B$18:$C$22,MATCH('Preise Output'!$C$7,Annahmen!$B$18:$B$22,0),2))*'Preise Output'!$E$26)/10,('Preise Output'!$E$26*'Preise Output'!$F$10-$D$6)/10)</f>
        <v>930.375</v>
      </c>
      <c r="AJ7" s="129">
        <f>IF($B$6=100%,(('Preise Output'!$F$10-INDEX(Annahmen!$B$18:$C$22,MATCH('Preise Output'!$C$7,Annahmen!$B$18:$B$22,0),2))*'Preise Output'!$E$26)/10,('Preise Output'!$E$26*'Preise Output'!$F$10-$D$6)/10)</f>
        <v>930.375</v>
      </c>
      <c r="AK7" s="129">
        <f>IF($B$6=100%,(('Preise Output'!$F$10-INDEX(Annahmen!$B$18:$C$22,MATCH('Preise Output'!$C$7,Annahmen!$B$18:$B$22,0),2))*'Preise Output'!$E$26)/10,('Preise Output'!$E$26*'Preise Output'!$F$10-$D$6)/10)</f>
        <v>930.375</v>
      </c>
      <c r="AL7" s="129">
        <f>IF($B$6=100%,(('Preise Output'!$F$10-INDEX(Annahmen!$B$18:$C$22,MATCH('Preise Output'!$C$7,Annahmen!$B$18:$B$22,0),2))*'Preise Output'!$E$26)/10,('Preise Output'!$E$26*'Preise Output'!$F$10-$D$6)/10)</f>
        <v>930.375</v>
      </c>
      <c r="AM7" s="130"/>
      <c r="AN7" s="130">
        <f t="shared" ref="AN7:AN43" si="0">SUM(D7:AM7)</f>
        <v>27911.25</v>
      </c>
      <c r="AQ7" s="130">
        <f t="shared" ref="AQ7:AQ45" si="1">SUM(D7:F7)</f>
        <v>1860.75</v>
      </c>
      <c r="AR7" s="130">
        <f t="shared" ref="AR7:AR45" si="2">SUM(G7:I7)</f>
        <v>2791.125</v>
      </c>
      <c r="AS7" s="130">
        <f t="shared" ref="AS7:AS45" si="3">SUM(J7:L7)</f>
        <v>2791.125</v>
      </c>
      <c r="AT7" s="130">
        <f t="shared" ref="AT7:AT45" si="4">SUM(M7:O7)</f>
        <v>1860.75</v>
      </c>
      <c r="AU7" s="130">
        <f t="shared" ref="AU7:AU45" si="5">SUM(P7:R7)</f>
        <v>1860.75</v>
      </c>
      <c r="AV7" s="130">
        <f t="shared" ref="AV7:AV45" si="6">SUM(S7:U7)</f>
        <v>2791.125</v>
      </c>
      <c r="AW7" s="130">
        <f t="shared" ref="AW7:AW45" si="7">SUM(V7:X7)</f>
        <v>2791.125</v>
      </c>
      <c r="AX7" s="130">
        <f t="shared" ref="AX7:AX45" si="8">SUM(Y7:AA7)</f>
        <v>1860.75</v>
      </c>
      <c r="AY7" s="130">
        <f t="shared" ref="AY7:AY45" si="9">SUM(AB7:AD7)</f>
        <v>1860.75</v>
      </c>
      <c r="AZ7" s="130">
        <f t="shared" ref="AZ7:AZ45" si="10">SUM(AE7:AG7)</f>
        <v>2791.125</v>
      </c>
      <c r="BA7" s="130">
        <f t="shared" ref="BA7:BA45" si="11">SUM(AH7:AJ7)</f>
        <v>2791.125</v>
      </c>
      <c r="BB7" s="130">
        <f t="shared" ref="BB7:BB45" si="12">SUM(AK7:AM7)</f>
        <v>1860.75</v>
      </c>
    </row>
    <row r="8" spans="2:54" x14ac:dyDescent="0.35">
      <c r="C8" s="116" t="s">
        <v>240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241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242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135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100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243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244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245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246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247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132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242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135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100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243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246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247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248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154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238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135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100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245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246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247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134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242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249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246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250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152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154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135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243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251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25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252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253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254</v>
      </c>
      <c r="P2" s="136"/>
      <c r="Q2" s="136"/>
      <c r="R2" s="136"/>
      <c r="S2" s="136"/>
      <c r="T2" s="136"/>
      <c r="U2" s="136"/>
    </row>
    <row r="3" spans="2:21" x14ac:dyDescent="0.35">
      <c r="F3" t="s">
        <v>242</v>
      </c>
      <c r="G3" t="s">
        <v>135</v>
      </c>
      <c r="H3" t="s">
        <v>243</v>
      </c>
      <c r="I3" t="s">
        <v>246</v>
      </c>
      <c r="J3" t="s">
        <v>245</v>
      </c>
      <c r="K3" t="s">
        <v>255</v>
      </c>
      <c r="L3" t="s">
        <v>255</v>
      </c>
      <c r="M3" t="s">
        <v>100</v>
      </c>
    </row>
    <row r="4" spans="2:21" s="1" customFormat="1" ht="43.5" x14ac:dyDescent="0.35">
      <c r="B4" s="113" t="s">
        <v>9</v>
      </c>
      <c r="C4" s="113" t="s">
        <v>93</v>
      </c>
      <c r="D4" s="113" t="s">
        <v>28</v>
      </c>
      <c r="E4" s="113" t="s">
        <v>238</v>
      </c>
      <c r="F4" s="113" t="s">
        <v>256</v>
      </c>
      <c r="G4" s="113" t="s">
        <v>257</v>
      </c>
      <c r="H4" s="113" t="s">
        <v>258</v>
      </c>
      <c r="I4" s="113" t="s">
        <v>259</v>
      </c>
      <c r="J4" s="113" t="s">
        <v>260</v>
      </c>
      <c r="K4" s="113" t="s">
        <v>261</v>
      </c>
      <c r="L4" s="113" t="s">
        <v>120</v>
      </c>
      <c r="M4" s="113" t="s">
        <v>262</v>
      </c>
      <c r="N4" s="113" t="s">
        <v>247</v>
      </c>
      <c r="P4" s="138" t="s">
        <v>263</v>
      </c>
      <c r="Q4" s="138" t="s">
        <v>264</v>
      </c>
      <c r="R4" s="138" t="s">
        <v>265</v>
      </c>
      <c r="S4" s="138" t="s">
        <v>136</v>
      </c>
      <c r="T4" s="138" t="s">
        <v>266</v>
      </c>
      <c r="U4" s="138" t="s">
        <v>267</v>
      </c>
    </row>
    <row r="5" spans="2:21" s="1" customFormat="1" x14ac:dyDescent="0.35">
      <c r="B5" s="9" t="s">
        <v>125</v>
      </c>
      <c r="C5" s="10" t="s">
        <v>126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125</v>
      </c>
      <c r="C6" s="10" t="s">
        <v>128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125</v>
      </c>
      <c r="C7" s="10" t="s">
        <v>129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125</v>
      </c>
      <c r="C8" s="10" t="s">
        <v>130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125</v>
      </c>
      <c r="C9" s="10" t="s">
        <v>131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132</v>
      </c>
      <c r="C10" s="15" t="s">
        <v>133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132</v>
      </c>
      <c r="C11" s="15" t="s">
        <v>268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134</v>
      </c>
      <c r="C12" s="19" t="s">
        <v>269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134</v>
      </c>
      <c r="C13" s="19" t="s">
        <v>270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134</v>
      </c>
      <c r="C14" s="19" t="s">
        <v>271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136</v>
      </c>
      <c r="C15" s="32" t="s">
        <v>248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136</v>
      </c>
      <c r="C16" s="32" t="s">
        <v>251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37525.125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152</v>
      </c>
      <c r="C17" s="25" t="s">
        <v>272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152</v>
      </c>
      <c r="C18" s="25" t="s">
        <v>273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152</v>
      </c>
      <c r="C19" s="25" t="s">
        <v>274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152</v>
      </c>
      <c r="C20" s="25" t="s">
        <v>275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152</v>
      </c>
      <c r="C21" s="25" t="s">
        <v>276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152</v>
      </c>
      <c r="C22" s="25" t="s">
        <v>277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134</v>
      </c>
      <c r="C23" s="19" t="s">
        <v>278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134</v>
      </c>
      <c r="C24" s="19" t="s">
        <v>279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152</v>
      </c>
      <c r="C25" s="25" t="s">
        <v>153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152</v>
      </c>
      <c r="C26" s="25" t="s">
        <v>153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280</v>
      </c>
      <c r="C4" s="8" t="s">
        <v>281</v>
      </c>
    </row>
    <row r="5" spans="2:3" x14ac:dyDescent="0.35">
      <c r="B5" s="3" t="s">
        <v>282</v>
      </c>
      <c r="C5" s="4">
        <v>0</v>
      </c>
    </row>
    <row r="6" spans="2:3" x14ac:dyDescent="0.35">
      <c r="B6" s="3" t="s">
        <v>283</v>
      </c>
      <c r="C6" s="4">
        <v>0</v>
      </c>
    </row>
    <row r="7" spans="2:3" x14ac:dyDescent="0.35">
      <c r="B7" s="3" t="s">
        <v>284</v>
      </c>
      <c r="C7" s="4">
        <v>0</v>
      </c>
    </row>
    <row r="8" spans="2:3" x14ac:dyDescent="0.35">
      <c r="B8" s="3" t="s">
        <v>285</v>
      </c>
      <c r="C8" s="4">
        <v>0</v>
      </c>
    </row>
    <row r="9" spans="2:3" x14ac:dyDescent="0.35">
      <c r="B9" s="3" t="s">
        <v>286</v>
      </c>
      <c r="C9" s="4">
        <v>0</v>
      </c>
    </row>
    <row r="11" spans="2:3" x14ac:dyDescent="0.35">
      <c r="B11" s="8" t="s">
        <v>287</v>
      </c>
      <c r="C11" s="8" t="s">
        <v>281</v>
      </c>
    </row>
    <row r="12" spans="2:3" x14ac:dyDescent="0.35">
      <c r="B12" s="3" t="s">
        <v>288</v>
      </c>
      <c r="C12" s="4">
        <v>0</v>
      </c>
    </row>
    <row r="13" spans="2:3" x14ac:dyDescent="0.35">
      <c r="B13" s="3" t="s">
        <v>289</v>
      </c>
      <c r="C13" s="4">
        <v>0</v>
      </c>
    </row>
    <row r="14" spans="2:3" x14ac:dyDescent="0.35">
      <c r="B14" s="3" t="s">
        <v>290</v>
      </c>
      <c r="C14" s="4">
        <v>0.05</v>
      </c>
    </row>
    <row r="15" spans="2:3" x14ac:dyDescent="0.35">
      <c r="B15" s="3" t="s">
        <v>291</v>
      </c>
      <c r="C15" s="4">
        <v>0.15</v>
      </c>
    </row>
    <row r="17" spans="2:12" x14ac:dyDescent="0.35">
      <c r="B17" s="213" t="s">
        <v>292</v>
      </c>
      <c r="C17" s="8"/>
      <c r="D17" s="8" t="s">
        <v>293</v>
      </c>
      <c r="E17" s="116" t="s">
        <v>294</v>
      </c>
      <c r="F17" s="127" t="s">
        <v>295</v>
      </c>
    </row>
    <row r="18" spans="2:12" x14ac:dyDescent="0.35">
      <c r="B18" s="3" t="s">
        <v>296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297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10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298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 x14ac:dyDescent="0.35">
      <c r="B22" s="3" t="s">
        <v>299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DC95CE5-39DC-46AC-B19E-BEA7C90DCF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2025-06-10T07:46:50Z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