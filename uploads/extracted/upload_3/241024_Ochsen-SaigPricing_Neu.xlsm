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outiquehotel Ochsen-Saig/Verträge/"/>
    </mc:Choice>
  </mc:AlternateContent>
  <xr:revisionPtr revIDLastSave="67" documentId="8_{207F9823-9F7A-439A-86BD-E629EE244269}" xr6:coauthVersionLast="47" xr6:coauthVersionMax="47" xr10:uidLastSave="{26BD9E78-08E5-403F-B998-21642EBA44B5}"/>
  <bookViews>
    <workbookView xWindow="-12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<sst xmlns="http://schemas.openxmlformats.org/spreadsheetml/2006/main" count="510" uniqueCount="297">
  <si>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</si>
  <si>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</si>
  <si>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</si>
  <si>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</si>
  <si>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</si>
  <si>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</si>
  <si>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</si>
  <si>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</si>
  <si>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</si>
  <si>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</si>
  <si>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</si>
  <si>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</si>
  <si>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</si>
  <si>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</si>
  <si>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</si>
  <si>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</si>
  <si>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</si>
  <si>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</si>
  <si>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</si>
  <si>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</si>
  <si>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</si>
  <si>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</si>
  <si>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</si>
  <si>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</si>
  <si>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</si>
  <si>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</si>
  <si>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</si>
  <si>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</si>
  <si>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</si>
  <si>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</si>
  <si>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</si>
  <si>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</si>
  <si>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</si>
  <si>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</si>
  <si>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</si>
  <si>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</si>
  <si>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</si>
  <si>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</si>
  <si>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</si>
  <si>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</si>
  <si>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</si>
  <si>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</si>
  <si>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</si>
  <si>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</si>
  <si>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</si>
  <si>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</si>
  <si>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</si>
  <si>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</si>
  <si>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</si>
  <si>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</si>
  <si>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</si>
  <si>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</si>
  <si>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</si>
  <si>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</si>
  <si>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</si>
  <si>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</si>
  <si>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</si>
  <si>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</si>
  <si>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</si>
  <si>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</si>
  <si>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</si>
  <si>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</si>
  <si>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</si>
  <si>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</si>
  <si>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</si>
  <si>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</si>
  <si>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</si>
  <si>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</si>
  <si>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</si>
  <si>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</si>
  <si>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</si>
  <si>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</si>
  <si>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</si>
  <si>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</si>
  <si>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</si>
  <si>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</si>
  <si>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</si>
  <si>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</si>
  <si>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</si>
  <si>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</si>
  <si>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</si>
  <si>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</si>
  <si>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</si>
  <si>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</si>
  <si>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</si>
  <si>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</si>
  <si>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</si>
  <si>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</si>
  <si>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</si>
  <si>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</si>
  <si>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</si>
  <si>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</si>
  <si>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</si>
  <si>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</si>
  <si>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</si>
  <si>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</si>
  <si>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</si>
  <si>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</si>
  <si>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</si>
  <si>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</si>
  <si>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</si>
  <si>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</si>
  <si>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</si>
  <si>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</si>
  <si>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</si>
  <si>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</si>
  <si>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</si>
  <si>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</si>
  <si>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</si>
  <si>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</si>
  <si>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</si>
  <si>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</si>
  <si>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</si>
  <si>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</si>
  <si>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</si>
  <si>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</si>
  <si>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</si>
  <si>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</si>
  <si>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</si>
  <si>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</si>
  <si>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</si>
  <si>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</si>
  <si>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</si>
  <si>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</si>
  <si>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</si>
  <si>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</si>
  <si>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</si>
  <si>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</si>
  <si>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</si>
  <si>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</si>
  <si>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</si>
  <si>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</si>
  <si>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</si>
  <si>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</si>
  <si>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</si>
  <si>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</si>
  <si>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</si>
  <si>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</si>
  <si>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</si>
  <si>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</si>
  <si>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</si>
  <si>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</si>
  <si>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</si>
  <si>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</si>
  <si>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</si>
  <si>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</si>
  <si>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</si>
  <si>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</si>
  <si>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</si>
  <si>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</si>
  <si>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</si>
  <si>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</si>
  <si>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</si>
  <si>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</si>
  <si>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</si>
  <si>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</si>
  <si>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</si>
  <si>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</si>
  <si>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</si>
  <si>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</si>
  <si>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</si>
  <si>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</si>
  <si>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</si>
  <si>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</si>
  <si>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</si>
  <si>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</si>
  <si>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</si>
  <si>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</si>
  <si>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</si>
  <si>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</si>
  <si>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</si>
  <si>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</si>
  <si>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</si>
  <si>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</si>
  <si>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</si>
  <si>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</si>
  <si>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</si>
  <si>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</si>
  <si>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</si>
  <si>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</si>
  <si>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</si>
  <si>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</si>
  <si>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</si>
  <si>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</si>
  <si>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</si>
  <si>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</si>
  <si>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</si>
  <si>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</si>
  <si>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</si>
  <si>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</si>
  <si>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</si>
  <si>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</si>
  <si>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</si>
  <si>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</si>
  <si>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</si>
  <si>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</si>
  <si>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</si>
  <si>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</si>
  <si>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</si>
  <si>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</si>
  <si>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</si>
  <si>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</si>
  <si>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</si>
  <si>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</si>
  <si>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</si>
  <si>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</si>
  <si>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</si>
  <si>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</si>
  <si>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</si>
  <si>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</si>
  <si>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</si>
  <si>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</si>
  <si>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</si>
  <si>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</si>
  <si>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</si>
  <si>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</si>
  <si>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</si>
  <si>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</si>
  <si>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</si>
  <si>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</si>
  <si>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</si>
  <si>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</si>
  <si>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</si>
  <si>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</si>
  <si>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</si>
  <si>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</si>
  <si>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</si>
  <si>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</si>
  <si>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</si>
  <si>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</si>
  <si>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</si>
  <si>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</si>
  <si>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</si>
  <si>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</si>
  <si>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</si>
  <si>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</si>
  <si>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</si>
  <si>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</si>
  <si>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</si>
  <si>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</si>
  <si>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</si>
  <si>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</si>
  <si>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</si>
  <si>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</si>
  <si>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</si>
  <si>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</si>
  <si>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</si>
  <si>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</si>
  <si>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</si>
  <si>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</si>
  <si>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</si>
  <si>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</si>
  <si>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</si>
  <si>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</si>
  <si>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</si>
  <si>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</si>
  <si>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</si>
  <si>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</si>
  <si>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</si>
  <si>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</si>
  <si>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</si>
  <si>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</si>
  <si>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</si>
  <si>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</si>
  <si>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</si>
  <si>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</si>
  <si>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</si>
  <si>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</si>
  <si>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</si>
  <si>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</si>
  <si>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</si>
  <si>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</si>
  <si>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</si>
  <si>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</si>
  <si>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</si>
  <si>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</si>
  <si>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</si>
  <si>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</si>
  <si>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</si>
  <si>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</si>
  <si>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</si>
  <si>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</si>
  <si>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</si>
  <si>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</si>
  <si>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</si>
  <si>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</si>
  <si>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</si>
  <si>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</si>
  <si>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</si>
  <si>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</si>
  <si>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</si>
  <si>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</si>
  <si>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</si>
  <si>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</si>
  <si>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</si>
  <si>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</si>
  <si>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Boutiquehotel Ochsen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</si>
</sst>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5" zoomScaleNormal="85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5" sqref="F5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218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45588</v>
      </c>
      <c r="E5" s="151" t="s">
        <v>5</v>
      </c>
      <c r="F5" s="153">
        <v>72.5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97.5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v>42.5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35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0.65</v>
      </c>
      <c r="E9" s="156" t="s">
        <v>246</v>
      </c>
      <c r="F9" s="157">
        <f>IFERROR(J26,"Bitte Produkt auswählen")</f>
        <v>0.28956459189926026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4471.25</v>
      </c>
      <c r="E10" s="152" t="s">
        <v>13</v>
      </c>
      <c r="F10" s="168">
        <f>F5*0.75</f>
        <v>54.375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670.6875</v>
      </c>
      <c r="E11" s="167" t="s">
        <v>14</v>
      </c>
      <c r="F11" s="242">
        <f>+I26</f>
        <v>42227.625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150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706</v>
      </c>
      <c r="F24" s="76">
        <v>3</v>
      </c>
      <c r="G24" s="77">
        <f>F12*D24</f>
        <v>30000</v>
      </c>
      <c r="H24" s="77">
        <f>$E24*$F$10*1.1-$G24</f>
        <v>12227.625</v>
      </c>
      <c r="I24" s="77">
        <f>G24+H24</f>
        <v>42227.625</v>
      </c>
      <c r="J24" s="78">
        <f t="shared" si="16"/>
        <v>0.28956459189926026</v>
      </c>
      <c r="K24" s="77">
        <v>0</v>
      </c>
      <c r="L24" s="77">
        <v>0</v>
      </c>
      <c r="M24" s="77">
        <f>G24*1.19-G24</f>
        <v>5700</v>
      </c>
      <c r="N24" s="77">
        <f t="shared" si="5"/>
        <v>1823.465625</v>
      </c>
      <c r="O24" s="77">
        <f>L24-M24-N24</f>
        <v>-7523.4656249999998</v>
      </c>
      <c r="P24" s="79">
        <f>IFERROR($H24-L24,"")</f>
        <v>12227.625</v>
      </c>
      <c r="Q24" s="78">
        <f>IFERROR(($H24-L24)/$I24,"")</f>
        <v>0.28956459189926026</v>
      </c>
      <c r="R24" s="80">
        <f>IFERROR((1-Q24)*F24,"")</f>
        <v>2.1313062243022194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706</v>
      </c>
      <c r="F26" s="89"/>
      <c r="G26" s="89">
        <f>SUBTOTAL(9,G19:G24)</f>
        <v>30000</v>
      </c>
      <c r="H26" s="89">
        <f>SUBTOTAL(9,H19:H24)</f>
        <v>12227.625</v>
      </c>
      <c r="I26" s="89">
        <f>SUBTOTAL(9,I19:I24)</f>
        <v>42227.625</v>
      </c>
      <c r="J26" s="90">
        <f>H26/I26</f>
        <v>0.28956459189926026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1823.465625</v>
      </c>
      <c r="O26" s="89">
        <f t="shared" si="25"/>
        <v>-7523.4656249999998</v>
      </c>
      <c r="P26" s="89">
        <f t="shared" si="25"/>
        <v>12227.625</v>
      </c>
      <c r="Q26" s="90">
        <f>($H26-L26)/$I26</f>
        <v>0.28956459189926026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15,8%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B1" workbookViewId="0">
      <selection activeCell="C18" sqref="C18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777343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47.5</v>
      </c>
    </row>
    <row r="4" spans="2:11" x14ac:dyDescent="0.35">
      <c r="B4" s="103" t="s">
        <v>53</v>
      </c>
      <c r="C4" s="226">
        <f>+C3-C2</f>
        <v>22.5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706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706 Gutscheine x 42,5€ je Gutschein</v>
      </c>
      <c r="C24" s="237">
        <f>IFERROR(C7*'Preise Output'!$F$7,"--")</f>
        <v>30005</v>
      </c>
    </row>
    <row r="25" spans="2:8" x14ac:dyDescent="0.35">
      <c r="B25" s="97" t="str">
        <f>"Das enspricht "&amp;TEXT('Preise Output'!E26/('Preise Output'!C10),"0,0%") &amp; " des Leerstands p.a."</f>
        <v>Das enspricht 15,8%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1853.2500000000002</v>
      </c>
      <c r="E26" s="223">
        <v>7.0000000000000007E-2</v>
      </c>
      <c r="F26" s="162">
        <f>C24-F27</f>
        <v>26475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670.7</v>
      </c>
      <c r="E27" s="223">
        <v>0.19</v>
      </c>
      <c r="F27" s="162">
        <f>G27*C7</f>
        <v>3530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22,5€ je Gutschein x 706 Roomnights</v>
      </c>
      <c r="C31" s="237">
        <f>C7*C4</f>
        <v>15885</v>
      </c>
    </row>
    <row r="32" spans="2:8" x14ac:dyDescent="0.35">
      <c r="B32" s="108" t="s">
        <v>293</v>
      </c>
      <c r="C32" s="229">
        <f>C26+C27</f>
        <v>2523.9500000000003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13619.034033613447</v>
      </c>
    </row>
    <row r="36" spans="2:3" x14ac:dyDescent="0.35">
      <c r="B36" s="102" t="s">
        <v>65</v>
      </c>
      <c r="C36" s="239">
        <f>C12-C34</f>
        <v>11591.05</v>
      </c>
    </row>
    <row r="37" spans="2:3" x14ac:dyDescent="0.35">
      <c r="B37" s="97" t="s">
        <v>289</v>
      </c>
      <c r="C37" s="240">
        <f>C36/C12</f>
        <v>0.45977831666666663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218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21180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21180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21180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21180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1720.875</v>
      </c>
      <c r="F7" s="129">
        <f>IF($B$6=100%,(('Preise Output'!$F$10-INDEX(Annahmen!$B$18:$C$22,MATCH('Preise Output'!$C$7,Annahmen!$B$18:$B$22,0),2))*'Preise Output'!$E$26)/10,('Preise Output'!$E$26*'Preise Output'!$F$10-$D$6)/10)</f>
        <v>1720.875</v>
      </c>
      <c r="G7" s="129">
        <f>IF($B$6=100%,(('Preise Output'!$F$10-INDEX(Annahmen!$B$18:$C$22,MATCH('Preise Output'!$C$7,Annahmen!$B$18:$B$22,0),2))*'Preise Output'!$E$26)/10,('Preise Output'!$E$26*'Preise Output'!$F$10-$D$6)/10)</f>
        <v>1720.875</v>
      </c>
      <c r="H7" s="129">
        <f>IF($B$6=100%,(('Preise Output'!$F$10-INDEX(Annahmen!$B$18:$C$22,MATCH('Preise Output'!$C$7,Annahmen!$B$18:$B$22,0),2))*'Preise Output'!$E$26)/10,('Preise Output'!$E$26*'Preise Output'!$F$10-$D$6)/10)</f>
        <v>1720.875</v>
      </c>
      <c r="I7" s="129">
        <f>IF($B$6=100%,(('Preise Output'!$F$10-INDEX(Annahmen!$B$18:$C$22,MATCH('Preise Output'!$C$7,Annahmen!$B$18:$B$22,0),2))*'Preise Output'!$E$26)/10,('Preise Output'!$E$26*'Preise Output'!$F$10-$D$6)/10)</f>
        <v>1720.875</v>
      </c>
      <c r="J7" s="129">
        <f>IF($B$6=100%,(('Preise Output'!$F$10-INDEX(Annahmen!$B$18:$C$22,MATCH('Preise Output'!$C$7,Annahmen!$B$18:$B$22,0),2))*'Preise Output'!$E$26)/10,('Preise Output'!$E$26*'Preise Output'!$F$10-$D$6)/10)</f>
        <v>1720.875</v>
      </c>
      <c r="K7" s="129">
        <f>IF($B$6=100%,(('Preise Output'!$F$10-INDEX(Annahmen!$B$18:$C$22,MATCH('Preise Output'!$C$7,Annahmen!$B$18:$B$22,0),2))*'Preise Output'!$E$26)/10,('Preise Output'!$E$26*'Preise Output'!$F$10-$D$6)/10)</f>
        <v>1720.875</v>
      </c>
      <c r="L7" s="129">
        <f>IF($B$6=100%,(('Preise Output'!$F$10-INDEX(Annahmen!$B$18:$C$22,MATCH('Preise Output'!$C$7,Annahmen!$B$18:$B$22,0),2))*'Preise Output'!$E$26)/10,('Preise Output'!$E$26*'Preise Output'!$F$10-$D$6)/10)</f>
        <v>1720.875</v>
      </c>
      <c r="M7" s="129">
        <f>IF($B$6=100%,(('Preise Output'!$F$10-INDEX(Annahmen!$B$18:$C$22,MATCH('Preise Output'!$C$7,Annahmen!$B$18:$B$22,0),2))*'Preise Output'!$E$26)/10,('Preise Output'!$E$26*'Preise Output'!$F$10-$D$6)/10)</f>
        <v>1720.875</v>
      </c>
      <c r="N7" s="129">
        <f>IF($B$6=100%,(('Preise Output'!$F$10-INDEX(Annahmen!$B$18:$C$22,MATCH('Preise Output'!$C$7,Annahmen!$B$18:$B$22,0),2))*'Preise Output'!$E$26)/10,('Preise Output'!$E$26*'Preise Output'!$F$10-$D$6)/10)</f>
        <v>1720.875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1720.875</v>
      </c>
      <c r="R7" s="129">
        <f>IF($B$6=100%,(('Preise Output'!$F$10-INDEX(Annahmen!$B$18:$C$22,MATCH('Preise Output'!$C$7,Annahmen!$B$18:$B$22,0),2))*'Preise Output'!$E$26)/10,('Preise Output'!$E$26*'Preise Output'!$F$10-$D$6)/10)</f>
        <v>1720.875</v>
      </c>
      <c r="S7" s="129">
        <f>IF($B$6=100%,(('Preise Output'!$F$10-INDEX(Annahmen!$B$18:$C$22,MATCH('Preise Output'!$C$7,Annahmen!$B$18:$B$22,0),2))*'Preise Output'!$E$26)/10,('Preise Output'!$E$26*'Preise Output'!$F$10-$D$6)/10)</f>
        <v>1720.875</v>
      </c>
      <c r="T7" s="129">
        <f>IF($B$6=100%,(('Preise Output'!$F$10-INDEX(Annahmen!$B$18:$C$22,MATCH('Preise Output'!$C$7,Annahmen!$B$18:$B$22,0),2))*'Preise Output'!$E$26)/10,('Preise Output'!$E$26*'Preise Output'!$F$10-$D$6)/10)</f>
        <v>1720.875</v>
      </c>
      <c r="U7" s="129">
        <f>IF($B$6=100%,(('Preise Output'!$F$10-INDEX(Annahmen!$B$18:$C$22,MATCH('Preise Output'!$C$7,Annahmen!$B$18:$B$22,0),2))*'Preise Output'!$E$26)/10,('Preise Output'!$E$26*'Preise Output'!$F$10-$D$6)/10)</f>
        <v>1720.875</v>
      </c>
      <c r="V7" s="129">
        <f>IF($B$6=100%,(('Preise Output'!$F$10-INDEX(Annahmen!$B$18:$C$22,MATCH('Preise Output'!$C$7,Annahmen!$B$18:$B$22,0),2))*'Preise Output'!$E$26)/10,('Preise Output'!$E$26*'Preise Output'!$F$10-$D$6)/10)</f>
        <v>1720.875</v>
      </c>
      <c r="W7" s="129">
        <f>IF($B$6=100%,(('Preise Output'!$F$10-INDEX(Annahmen!$B$18:$C$22,MATCH('Preise Output'!$C$7,Annahmen!$B$18:$B$22,0),2))*'Preise Output'!$E$26)/10,('Preise Output'!$E$26*'Preise Output'!$F$10-$D$6)/10)</f>
        <v>1720.875</v>
      </c>
      <c r="X7" s="129">
        <f>IF($B$6=100%,(('Preise Output'!$F$10-INDEX(Annahmen!$B$18:$C$22,MATCH('Preise Output'!$C$7,Annahmen!$B$18:$B$22,0),2))*'Preise Output'!$E$26)/10,('Preise Output'!$E$26*'Preise Output'!$F$10-$D$6)/10)</f>
        <v>1720.875</v>
      </c>
      <c r="Y7" s="129">
        <f>IF($B$6=100%,(('Preise Output'!$F$10-INDEX(Annahmen!$B$18:$C$22,MATCH('Preise Output'!$C$7,Annahmen!$B$18:$B$22,0),2))*'Preise Output'!$E$26)/10,('Preise Output'!$E$26*'Preise Output'!$F$10-$D$6)/10)</f>
        <v>1720.875</v>
      </c>
      <c r="Z7" s="129">
        <f>IF($B$6=100%,(('Preise Output'!$F$10-INDEX(Annahmen!$B$18:$C$22,MATCH('Preise Output'!$C$7,Annahmen!$B$18:$B$22,0),2))*'Preise Output'!$E$26)/10,('Preise Output'!$E$26*'Preise Output'!$F$10-$D$6)/10)</f>
        <v>1720.875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1720.875</v>
      </c>
      <c r="AD7" s="129">
        <f>IF($B$6=100%,(('Preise Output'!$F$10-INDEX(Annahmen!$B$18:$C$22,MATCH('Preise Output'!$C$7,Annahmen!$B$18:$B$22,0),2))*'Preise Output'!$E$26)/10,('Preise Output'!$E$26*'Preise Output'!$F$10-$D$6)/10)</f>
        <v>1720.875</v>
      </c>
      <c r="AE7" s="129">
        <f>IF($B$6=100%,(('Preise Output'!$F$10-INDEX(Annahmen!$B$18:$C$22,MATCH('Preise Output'!$C$7,Annahmen!$B$18:$B$22,0),2))*'Preise Output'!$E$26)/10,('Preise Output'!$E$26*'Preise Output'!$F$10-$D$6)/10)</f>
        <v>1720.875</v>
      </c>
      <c r="AF7" s="129">
        <f>IF($B$6=100%,(('Preise Output'!$F$10-INDEX(Annahmen!$B$18:$C$22,MATCH('Preise Output'!$C$7,Annahmen!$B$18:$B$22,0),2))*'Preise Output'!$E$26)/10,('Preise Output'!$E$26*'Preise Output'!$F$10-$D$6)/10)</f>
        <v>1720.875</v>
      </c>
      <c r="AG7" s="129">
        <f>IF($B$6=100%,(('Preise Output'!$F$10-INDEX(Annahmen!$B$18:$C$22,MATCH('Preise Output'!$C$7,Annahmen!$B$18:$B$22,0),2))*'Preise Output'!$E$26)/10,('Preise Output'!$E$26*'Preise Output'!$F$10-$D$6)/10)</f>
        <v>1720.875</v>
      </c>
      <c r="AH7" s="129">
        <f>IF($B$6=100%,(('Preise Output'!$F$10-INDEX(Annahmen!$B$18:$C$22,MATCH('Preise Output'!$C$7,Annahmen!$B$18:$B$22,0),2))*'Preise Output'!$E$26)/10,('Preise Output'!$E$26*'Preise Output'!$F$10-$D$6)/10)</f>
        <v>1720.875</v>
      </c>
      <c r="AI7" s="129">
        <f>IF($B$6=100%,(('Preise Output'!$F$10-INDEX(Annahmen!$B$18:$C$22,MATCH('Preise Output'!$C$7,Annahmen!$B$18:$B$22,0),2))*'Preise Output'!$E$26)/10,('Preise Output'!$E$26*'Preise Output'!$F$10-$D$6)/10)</f>
        <v>1720.875</v>
      </c>
      <c r="AJ7" s="129">
        <f>IF($B$6=100%,(('Preise Output'!$F$10-INDEX(Annahmen!$B$18:$C$22,MATCH('Preise Output'!$C$7,Annahmen!$B$18:$B$22,0),2))*'Preise Output'!$E$26)/10,('Preise Output'!$E$26*'Preise Output'!$F$10-$D$6)/10)</f>
        <v>1720.875</v>
      </c>
      <c r="AK7" s="129">
        <f>IF($B$6=100%,(('Preise Output'!$F$10-INDEX(Annahmen!$B$18:$C$22,MATCH('Preise Output'!$C$7,Annahmen!$B$18:$B$22,0),2))*'Preise Output'!$E$26)/10,('Preise Output'!$E$26*'Preise Output'!$F$10-$D$6)/10)</f>
        <v>1720.875</v>
      </c>
      <c r="AL7" s="129">
        <f>IF($B$6=100%,(('Preise Output'!$F$10-INDEX(Annahmen!$B$18:$C$22,MATCH('Preise Output'!$C$7,Annahmen!$B$18:$B$22,0),2))*'Preise Output'!$E$26)/10,('Preise Output'!$E$26*'Preise Output'!$F$10-$D$6)/10)</f>
        <v>1720.875</v>
      </c>
      <c r="AM7" s="130"/>
      <c r="AN7" s="130">
        <f t="shared" ref="AN7:AN43" si="0">SUM(D7:AM7)</f>
        <v>51626.25</v>
      </c>
      <c r="AQ7" s="130">
        <f t="shared" ref="AQ7:AQ45" si="1">SUM(D7:F7)</f>
        <v>3441.75</v>
      </c>
      <c r="AR7" s="130">
        <f t="shared" ref="AR7:AR45" si="2">SUM(G7:I7)</f>
        <v>5162.625</v>
      </c>
      <c r="AS7" s="130">
        <f t="shared" ref="AS7:AS45" si="3">SUM(J7:L7)</f>
        <v>5162.625</v>
      </c>
      <c r="AT7" s="130">
        <f t="shared" ref="AT7:AT45" si="4">SUM(M7:O7)</f>
        <v>3441.75</v>
      </c>
      <c r="AU7" s="130">
        <f t="shared" ref="AU7:AU45" si="5">SUM(P7:R7)</f>
        <v>3441.75</v>
      </c>
      <c r="AV7" s="130">
        <f t="shared" ref="AV7:AV45" si="6">SUM(S7:U7)</f>
        <v>5162.625</v>
      </c>
      <c r="AW7" s="130">
        <f t="shared" ref="AW7:AW45" si="7">SUM(V7:X7)</f>
        <v>5162.625</v>
      </c>
      <c r="AX7" s="130">
        <f t="shared" ref="AX7:AX45" si="8">SUM(Y7:AA7)</f>
        <v>3441.75</v>
      </c>
      <c r="AY7" s="130">
        <f t="shared" ref="AY7:AY45" si="9">SUM(AB7:AD7)</f>
        <v>3441.75</v>
      </c>
      <c r="AZ7" s="130">
        <f t="shared" ref="AZ7:AZ45" si="10">SUM(AE7:AG7)</f>
        <v>5162.625</v>
      </c>
      <c r="BA7" s="130">
        <f t="shared" ref="BA7:BA45" si="11">SUM(AH7:AJ7)</f>
        <v>5162.625</v>
      </c>
      <c r="BB7" s="130">
        <f t="shared" ref="BB7:BB45" si="12">SUM(AK7:AM7)</f>
        <v>3441.75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42227.625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598BF9-F407-47C1-95B4-0EC7736D2F01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2025-03-31T15:29:40Z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