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lper Hotels/"/>
    </mc:Choice>
  </mc:AlternateContent>
  <xr:revisionPtr revIDLastSave="103" documentId="8_{207F9823-9F7A-439A-86BD-E629EE244269}" xr6:coauthVersionLast="47" xr6:coauthVersionMax="47" xr10:uidLastSave="{344F9BC9-7BE7-41C2-A6A8-D1048578D25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<sst xmlns="http://schemas.openxmlformats.org/spreadsheetml/2006/main" count="512" uniqueCount="299">
  <si>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</si>
  <si>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</si>
  <si>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</si>
  <si>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</si>
  <si>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</si>
  <si>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</si>
  <si>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Alpha Hotel - Hermann von Salza</t>
  </si>
  <si>
    <t>65% des durchschnittlichen Zimmerpreis</t>
  </si>
  <si>
    <t>Kategorie</t>
  </si>
  <si>
    <t>3 Sterne</t>
  </si>
  <si>
    <t>Gutscheinwert für Hotel</t>
  </si>
  <si>
    <t>bis 35€ OK _ AB 27.05.2025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</si>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</sst>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1" sqref="D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45803</v>
      </c>
      <c r="E5" s="151" t="s">
        <v>4</v>
      </c>
      <c r="F5" s="153">
        <v>59</v>
      </c>
      <c r="G5" s="44"/>
      <c r="H5" s="44"/>
    </row>
    <row r="6" spans="1:32" ht="30" x14ac:dyDescent="0.4">
      <c r="B6" s="48" t="s">
        <v>5</v>
      </c>
      <c r="C6" s="49" t="s">
        <v>6</v>
      </c>
      <c r="E6" s="152" t="s">
        <v>7</v>
      </c>
      <c r="F6" s="37">
        <f>C12*0.65</f>
        <v>79.3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8</v>
      </c>
      <c r="C7" s="49" t="s">
        <v>9</v>
      </c>
      <c r="E7" s="154" t="s">
        <v>10</v>
      </c>
      <c r="F7" s="210">
        <v>31.29</v>
      </c>
      <c r="G7" s="37" t="s">
        <v>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12</v>
      </c>
      <c r="C8" s="158">
        <v>125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13</v>
      </c>
      <c r="C9" s="54">
        <v>0.7</v>
      </c>
      <c r="E9" s="156" t="s">
        <v>14</v>
      </c>
      <c r="F9" s="157">
        <f>IFERROR(J26,"Bitte Produkt auswählen")</f>
        <v>0.35731718485646491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15</v>
      </c>
      <c r="C10" s="58">
        <f>C8*365*(1-C9)</f>
        <v>13687.500000000002</v>
      </c>
      <c r="E10" s="152" t="s">
        <v>16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17</v>
      </c>
      <c r="C11" s="59">
        <f>IF(C10*0.15&lt;1000,C10*0.15,1000)</f>
        <v>1000</v>
      </c>
      <c r="E11" s="167" t="s">
        <v>18</v>
      </c>
      <c r="F11" s="238">
        <f>+I26</f>
        <v>46679.325000000004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19</v>
      </c>
      <c r="C12" s="158">
        <v>122</v>
      </c>
      <c r="D12" s="61"/>
      <c r="E12" s="155" t="s">
        <v>20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21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48</v>
      </c>
      <c r="C24" s="76" t="s">
        <v>49</v>
      </c>
      <c r="D24" s="159">
        <v>1</v>
      </c>
      <c r="E24" s="76">
        <f>ROUND(G24/F$7,0)</f>
        <v>959</v>
      </c>
      <c r="F24" s="76">
        <v>3</v>
      </c>
      <c r="G24" s="77">
        <f>F12*D24</f>
        <v>30000</v>
      </c>
      <c r="H24" s="77">
        <f>$E24*$F$10*1.1-$G24</f>
        <v>16679.325000000004</v>
      </c>
      <c r="I24" s="77">
        <f>G24+H24</f>
        <v>46679.325000000004</v>
      </c>
      <c r="J24" s="78">
        <f t="shared" si="16"/>
        <v>0.35731718485646491</v>
      </c>
      <c r="K24" s="77">
        <v>0</v>
      </c>
      <c r="L24" s="77">
        <v>0</v>
      </c>
      <c r="M24" s="77">
        <f>G24*1.19-G24</f>
        <v>5700</v>
      </c>
      <c r="N24" s="77">
        <f t="shared" si="5"/>
        <v>2015.6981250000001</v>
      </c>
      <c r="O24" s="77">
        <f>L24-M24-N24</f>
        <v>-7715.6981249999999</v>
      </c>
      <c r="P24" s="79">
        <f>IFERROR($H24-L24,"")</f>
        <v>16679.325000000004</v>
      </c>
      <c r="Q24" s="78">
        <f>IFERROR(($H24-L24)/$I24,"")</f>
        <v>0.35731718485646491</v>
      </c>
      <c r="R24" s="80">
        <f>IFERROR((1-Q24)*F24,"")</f>
        <v>1.9280484454306053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959</v>
      </c>
      <c r="F26" s="89"/>
      <c r="G26" s="89">
        <f>SUBTOTAL(9,G19:G24)</f>
        <v>30000</v>
      </c>
      <c r="H26" s="89">
        <f>SUBTOTAL(9,H19:H24)</f>
        <v>16679.325000000004</v>
      </c>
      <c r="I26" s="89">
        <f>SUBTOTAL(9,I19:I24)</f>
        <v>46679.325000000004</v>
      </c>
      <c r="J26" s="90">
        <f>H26/I26</f>
        <v>0.35731718485646491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2015.6981250000001</v>
      </c>
      <c r="O26" s="89">
        <f t="shared" si="25"/>
        <v>-7715.6981249999999</v>
      </c>
      <c r="P26" s="89">
        <f t="shared" si="25"/>
        <v>16679.325000000004</v>
      </c>
      <c r="Q26" s="90">
        <f>($H26-L26)/$I26</f>
        <v>0.35731718485646491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7,0%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5" x14ac:dyDescent="0.35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 x14ac:dyDescent="0.3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5" x14ac:dyDescent="0.35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5" x14ac:dyDescent="0.35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Normal="100" workbookViewId="0">
      <selection activeCell="E6" sqref="E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89</v>
      </c>
      <c r="C2" s="221">
        <v>25</v>
      </c>
    </row>
    <row r="3" spans="2:11" x14ac:dyDescent="0.4">
      <c r="B3" s="103" t="s">
        <v>90</v>
      </c>
      <c r="C3" s="221">
        <v>42</v>
      </c>
    </row>
    <row r="4" spans="2:11" x14ac:dyDescent="0.4">
      <c r="B4" s="103" t="s">
        <v>91</v>
      </c>
      <c r="C4" s="222">
        <f>+C3-C2</f>
        <v>17</v>
      </c>
    </row>
    <row r="5" spans="2:11" ht="6" customHeight="1" x14ac:dyDescent="0.4">
      <c r="C5" s="223"/>
    </row>
    <row r="6" spans="2:11" x14ac:dyDescent="0.4">
      <c r="B6" s="103" t="s">
        <v>92</v>
      </c>
      <c r="C6" s="221" t="s">
        <v>48</v>
      </c>
    </row>
    <row r="7" spans="2:11" x14ac:dyDescent="0.4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959</v>
      </c>
    </row>
    <row r="9" spans="2:11" x14ac:dyDescent="0.4">
      <c r="B9" s="109" t="s">
        <v>94</v>
      </c>
      <c r="C9" s="224"/>
    </row>
    <row r="11" spans="2:11" ht="14.5" thickBot="1" x14ac:dyDescent="0.45">
      <c r="B11" s="106" t="s">
        <v>95</v>
      </c>
      <c r="C11" s="225">
        <f>C12</f>
        <v>25210.084033613446</v>
      </c>
    </row>
    <row r="12" spans="2:11" x14ac:dyDescent="0.4">
      <c r="B12" s="211" t="s">
        <v>96</v>
      </c>
      <c r="C12" s="226">
        <f>F13+F14</f>
        <v>25210.084033613446</v>
      </c>
      <c r="E12" s="97" t="s">
        <v>97</v>
      </c>
      <c r="F12" s="97" t="s">
        <v>98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 x14ac:dyDescent="0.4">
      <c r="B15" s="105" t="s">
        <v>99</v>
      </c>
      <c r="C15" s="229"/>
      <c r="K15" s="162"/>
    </row>
    <row r="16" spans="2:11" hidden="1" x14ac:dyDescent="0.4">
      <c r="B16" s="98" t="s">
        <v>100</v>
      </c>
      <c r="D16" s="162"/>
    </row>
    <row r="17" spans="2:8" ht="14.5" hidden="1" thickBot="1" x14ac:dyDescent="0.45">
      <c r="B17" s="99" t="s">
        <v>101</v>
      </c>
      <c r="C17" s="231"/>
      <c r="D17" s="97" t="s">
        <v>102</v>
      </c>
    </row>
    <row r="18" spans="2:8" x14ac:dyDescent="0.4">
      <c r="B18" s="100" t="s">
        <v>103</v>
      </c>
      <c r="C18" s="232">
        <f>SUM(C12:C14)</f>
        <v>30000</v>
      </c>
      <c r="F18" s="97">
        <f>'Preise Output'!G26</f>
        <v>30000</v>
      </c>
    </row>
    <row r="21" spans="2:8" x14ac:dyDescent="0.4">
      <c r="B21" s="109" t="s">
        <v>104</v>
      </c>
      <c r="C21" s="224"/>
    </row>
    <row r="22" spans="2:8" ht="6.75" customHeight="1" x14ac:dyDescent="0.4"/>
    <row r="23" spans="2:8" x14ac:dyDescent="0.4">
      <c r="B23" s="101" t="s">
        <v>105</v>
      </c>
    </row>
    <row r="24" spans="2:8" x14ac:dyDescent="0.4">
      <c r="B24" s="107" t="str">
        <f>C7&amp;" "&amp;"Gutscheine"&amp;" "&amp;"x"&amp;" "&amp;ROUND('Preise Output'!F7,2)&amp;"€"&amp;" "&amp;"je"&amp;" "&amp;"Gutschein"</f>
        <v>959 Gutscheine x 31.29€ je Gutschein</v>
      </c>
      <c r="C24" s="233">
        <f>IFERROR(C7*'Preise Output'!$F$7,"--")</f>
        <v>30007.11</v>
      </c>
    </row>
    <row r="25" spans="2:8" x14ac:dyDescent="0.4">
      <c r="B25" s="97" t="str">
        <f>"Das enspricht "&amp;TEXT('Preise Output'!E26/('Preise Output'!C10),"0,0%") &amp; " des Leerstands p.a."</f>
        <v>Das enspricht 7,0% des Leerstands p.a.</v>
      </c>
      <c r="C25" s="227"/>
      <c r="E25" s="97" t="s">
        <v>97</v>
      </c>
      <c r="F25" s="97" t="s">
        <v>98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1764.8477000000003</v>
      </c>
      <c r="E26" s="219">
        <v>7.0000000000000007E-2</v>
      </c>
      <c r="F26" s="162">
        <f>C24-F27</f>
        <v>25212.11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911.05</v>
      </c>
      <c r="E27" s="219">
        <v>0.19</v>
      </c>
      <c r="F27" s="162">
        <f>G27*C7</f>
        <v>4795</v>
      </c>
      <c r="G27" s="104">
        <v>5</v>
      </c>
      <c r="H27" s="97" t="s">
        <v>106</v>
      </c>
    </row>
    <row r="30" spans="2:8" x14ac:dyDescent="0.4">
      <c r="B30" s="96" t="s">
        <v>107</v>
      </c>
    </row>
    <row r="31" spans="2:8" x14ac:dyDescent="0.4">
      <c r="B31" s="107" t="str">
        <f>C4&amp;"€"&amp;" "&amp;"je"&amp;" "&amp;"Gutschein"&amp;" "&amp;"x"&amp;" "&amp;C7&amp;" "&amp;"Roomnights"</f>
        <v>17€ je Gutschein x 959 Roomnights</v>
      </c>
      <c r="C31" s="233">
        <f>C7*C4</f>
        <v>16303</v>
      </c>
    </row>
    <row r="32" spans="2:8" x14ac:dyDescent="0.4">
      <c r="B32" s="108" t="s">
        <v>108</v>
      </c>
      <c r="C32" s="225">
        <f>C26+C27</f>
        <v>2675.8977000000004</v>
      </c>
    </row>
    <row r="33" spans="2:3" ht="14.5" thickBot="1" x14ac:dyDescent="0.45">
      <c r="B33" s="115" t="s">
        <v>109</v>
      </c>
      <c r="C33" s="234">
        <f>-(C13+C14)</f>
        <v>-4789.9159663865548</v>
      </c>
    </row>
    <row r="34" spans="2:3" x14ac:dyDescent="0.4">
      <c r="B34" s="96" t="s">
        <v>110</v>
      </c>
      <c r="C34" s="232">
        <f>SUM(C31:C33)</f>
        <v>14188.981733613447</v>
      </c>
    </row>
    <row r="36" spans="2:3" x14ac:dyDescent="0.4">
      <c r="B36" s="102" t="s">
        <v>111</v>
      </c>
      <c r="C36" s="235">
        <f>C12-C34</f>
        <v>11021.102299999999</v>
      </c>
    </row>
    <row r="37" spans="2:3" x14ac:dyDescent="0.4">
      <c r="B37" s="97" t="s">
        <v>112</v>
      </c>
      <c r="C37" s="236">
        <f>C36/C12</f>
        <v>0.43717039123333329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113</v>
      </c>
      <c r="Q2" s="95"/>
    </row>
    <row r="3" spans="2:19" x14ac:dyDescent="0.35">
      <c r="N3" t="s">
        <v>99</v>
      </c>
      <c r="O3" t="s">
        <v>114</v>
      </c>
    </row>
    <row r="4" spans="2:19" s="1" customFormat="1" ht="43.5" x14ac:dyDescent="0.35">
      <c r="B4" s="113" t="s">
        <v>8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 x14ac:dyDescent="0.35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148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" x14ac:dyDescent="0.35">
      <c r="B32" s="113" t="s">
        <v>8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 x14ac:dyDescent="0.35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154</v>
      </c>
      <c r="B1" t="s">
        <v>155</v>
      </c>
    </row>
    <row r="2" spans="1:2" x14ac:dyDescent="0.35">
      <c r="A2">
        <v>221220</v>
      </c>
      <c r="B2" t="s">
        <v>156</v>
      </c>
    </row>
    <row r="3" spans="1:2" x14ac:dyDescent="0.35">
      <c r="B3" t="s">
        <v>157</v>
      </c>
    </row>
    <row r="4" spans="1:2" x14ac:dyDescent="0.35">
      <c r="B4" t="s">
        <v>158</v>
      </c>
    </row>
    <row r="5" spans="1:2" x14ac:dyDescent="0.35">
      <c r="A5">
        <v>230126</v>
      </c>
      <c r="B5" t="s">
        <v>159</v>
      </c>
    </row>
    <row r="6" spans="1:2" x14ac:dyDescent="0.35">
      <c r="B6" t="s">
        <v>160</v>
      </c>
    </row>
    <row r="7" spans="1:2" x14ac:dyDescent="0.35">
      <c r="B7" t="s">
        <v>161</v>
      </c>
    </row>
    <row r="9" spans="1:2" x14ac:dyDescent="0.35">
      <c r="A9" t="s">
        <v>162</v>
      </c>
      <c r="B9" t="s">
        <v>163</v>
      </c>
    </row>
    <row r="10" spans="1:2" x14ac:dyDescent="0.35">
      <c r="B10" t="s">
        <v>164</v>
      </c>
    </row>
    <row r="11" spans="1:2" x14ac:dyDescent="0.35">
      <c r="B11" t="s">
        <v>165</v>
      </c>
    </row>
    <row r="12" spans="1:2" x14ac:dyDescent="0.35">
      <c r="A12" t="s">
        <v>166</v>
      </c>
      <c r="B12" t="s">
        <v>167</v>
      </c>
    </row>
    <row r="13" spans="1:2" x14ac:dyDescent="0.35">
      <c r="B13" t="s">
        <v>168</v>
      </c>
    </row>
    <row r="14" spans="1:2" x14ac:dyDescent="0.35">
      <c r="A14" t="s">
        <v>169</v>
      </c>
      <c r="B14" t="s">
        <v>170</v>
      </c>
    </row>
    <row r="15" spans="1:2" x14ac:dyDescent="0.35">
      <c r="B15" t="s">
        <v>171</v>
      </c>
    </row>
    <row r="16" spans="1:2" x14ac:dyDescent="0.35">
      <c r="A16" t="s">
        <v>172</v>
      </c>
      <c r="B16" t="s">
        <v>173</v>
      </c>
    </row>
    <row r="17" spans="1:2" x14ac:dyDescent="0.35">
      <c r="B17" t="s">
        <v>174</v>
      </c>
    </row>
    <row r="18" spans="1:2" x14ac:dyDescent="0.35">
      <c r="B18" t="s">
        <v>175</v>
      </c>
    </row>
    <row r="19" spans="1:2" x14ac:dyDescent="0.35">
      <c r="A19" t="s">
        <v>176</v>
      </c>
      <c r="B19" t="s">
        <v>177</v>
      </c>
    </row>
    <row r="20" spans="1:2" x14ac:dyDescent="0.35">
      <c r="B20" t="s">
        <v>178</v>
      </c>
    </row>
    <row r="21" spans="1:2" x14ac:dyDescent="0.35">
      <c r="A21" t="s">
        <v>179</v>
      </c>
      <c r="B21" t="s">
        <v>180</v>
      </c>
    </row>
    <row r="22" spans="1:2" x14ac:dyDescent="0.35">
      <c r="A22" t="s">
        <v>181</v>
      </c>
      <c r="B22" t="s">
        <v>182</v>
      </c>
    </row>
    <row r="23" spans="1:2" x14ac:dyDescent="0.35">
      <c r="A23" t="s">
        <v>183</v>
      </c>
      <c r="B23" t="s">
        <v>184</v>
      </c>
    </row>
    <row r="24" spans="1:2" x14ac:dyDescent="0.35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 x14ac:dyDescent="0.35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28770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28770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28770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28770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1366.575</v>
      </c>
      <c r="F7" s="129">
        <f>IF($B$6=100%,(('Preise Output'!$F$10-INDEX(Annahmen!$B$18:$C$22,MATCH('Preise Output'!$C$7,Annahmen!$B$18:$B$22,0),2))*'Preise Output'!$E$26)/10,('Preise Output'!$E$26*'Preise Output'!$F$10-$D$6)/10)</f>
        <v>1366.575</v>
      </c>
      <c r="G7" s="129">
        <f>IF($B$6=100%,(('Preise Output'!$F$10-INDEX(Annahmen!$B$18:$C$22,MATCH('Preise Output'!$C$7,Annahmen!$B$18:$B$22,0),2))*'Preise Output'!$E$26)/10,('Preise Output'!$E$26*'Preise Output'!$F$10-$D$6)/10)</f>
        <v>1366.575</v>
      </c>
      <c r="H7" s="129">
        <f>IF($B$6=100%,(('Preise Output'!$F$10-INDEX(Annahmen!$B$18:$C$22,MATCH('Preise Output'!$C$7,Annahmen!$B$18:$B$22,0),2))*'Preise Output'!$E$26)/10,('Preise Output'!$E$26*'Preise Output'!$F$10-$D$6)/10)</f>
        <v>1366.575</v>
      </c>
      <c r="I7" s="129">
        <f>IF($B$6=100%,(('Preise Output'!$F$10-INDEX(Annahmen!$B$18:$C$22,MATCH('Preise Output'!$C$7,Annahmen!$B$18:$B$22,0),2))*'Preise Output'!$E$26)/10,('Preise Output'!$E$26*'Preise Output'!$F$10-$D$6)/10)</f>
        <v>1366.575</v>
      </c>
      <c r="J7" s="129">
        <f>IF($B$6=100%,(('Preise Output'!$F$10-INDEX(Annahmen!$B$18:$C$22,MATCH('Preise Output'!$C$7,Annahmen!$B$18:$B$22,0),2))*'Preise Output'!$E$26)/10,('Preise Output'!$E$26*'Preise Output'!$F$10-$D$6)/10)</f>
        <v>1366.575</v>
      </c>
      <c r="K7" s="129">
        <f>IF($B$6=100%,(('Preise Output'!$F$10-INDEX(Annahmen!$B$18:$C$22,MATCH('Preise Output'!$C$7,Annahmen!$B$18:$B$22,0),2))*'Preise Output'!$E$26)/10,('Preise Output'!$E$26*'Preise Output'!$F$10-$D$6)/10)</f>
        <v>1366.575</v>
      </c>
      <c r="L7" s="129">
        <f>IF($B$6=100%,(('Preise Output'!$F$10-INDEX(Annahmen!$B$18:$C$22,MATCH('Preise Output'!$C$7,Annahmen!$B$18:$B$22,0),2))*'Preise Output'!$E$26)/10,('Preise Output'!$E$26*'Preise Output'!$F$10-$D$6)/10)</f>
        <v>1366.575</v>
      </c>
      <c r="M7" s="129">
        <f>IF($B$6=100%,(('Preise Output'!$F$10-INDEX(Annahmen!$B$18:$C$22,MATCH('Preise Output'!$C$7,Annahmen!$B$18:$B$22,0),2))*'Preise Output'!$E$26)/10,('Preise Output'!$E$26*'Preise Output'!$F$10-$D$6)/10)</f>
        <v>1366.575</v>
      </c>
      <c r="N7" s="129">
        <f>IF($B$6=100%,(('Preise Output'!$F$10-INDEX(Annahmen!$B$18:$C$22,MATCH('Preise Output'!$C$7,Annahmen!$B$18:$B$22,0),2))*'Preise Output'!$E$26)/10,('Preise Output'!$E$26*'Preise Output'!$F$10-$D$6)/10)</f>
        <v>1366.575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1366.575</v>
      </c>
      <c r="R7" s="129">
        <f>IF($B$6=100%,(('Preise Output'!$F$10-INDEX(Annahmen!$B$18:$C$22,MATCH('Preise Output'!$C$7,Annahmen!$B$18:$B$22,0),2))*'Preise Output'!$E$26)/10,('Preise Output'!$E$26*'Preise Output'!$F$10-$D$6)/10)</f>
        <v>1366.575</v>
      </c>
      <c r="S7" s="129">
        <f>IF($B$6=100%,(('Preise Output'!$F$10-INDEX(Annahmen!$B$18:$C$22,MATCH('Preise Output'!$C$7,Annahmen!$B$18:$B$22,0),2))*'Preise Output'!$E$26)/10,('Preise Output'!$E$26*'Preise Output'!$F$10-$D$6)/10)</f>
        <v>1366.575</v>
      </c>
      <c r="T7" s="129">
        <f>IF($B$6=100%,(('Preise Output'!$F$10-INDEX(Annahmen!$B$18:$C$22,MATCH('Preise Output'!$C$7,Annahmen!$B$18:$B$22,0),2))*'Preise Output'!$E$26)/10,('Preise Output'!$E$26*'Preise Output'!$F$10-$D$6)/10)</f>
        <v>1366.575</v>
      </c>
      <c r="U7" s="129">
        <f>IF($B$6=100%,(('Preise Output'!$F$10-INDEX(Annahmen!$B$18:$C$22,MATCH('Preise Output'!$C$7,Annahmen!$B$18:$B$22,0),2))*'Preise Output'!$E$26)/10,('Preise Output'!$E$26*'Preise Output'!$F$10-$D$6)/10)</f>
        <v>1366.575</v>
      </c>
      <c r="V7" s="129">
        <f>IF($B$6=100%,(('Preise Output'!$F$10-INDEX(Annahmen!$B$18:$C$22,MATCH('Preise Output'!$C$7,Annahmen!$B$18:$B$22,0),2))*'Preise Output'!$E$26)/10,('Preise Output'!$E$26*'Preise Output'!$F$10-$D$6)/10)</f>
        <v>1366.575</v>
      </c>
      <c r="W7" s="129">
        <f>IF($B$6=100%,(('Preise Output'!$F$10-INDEX(Annahmen!$B$18:$C$22,MATCH('Preise Output'!$C$7,Annahmen!$B$18:$B$22,0),2))*'Preise Output'!$E$26)/10,('Preise Output'!$E$26*'Preise Output'!$F$10-$D$6)/10)</f>
        <v>1366.575</v>
      </c>
      <c r="X7" s="129">
        <f>IF($B$6=100%,(('Preise Output'!$F$10-INDEX(Annahmen!$B$18:$C$22,MATCH('Preise Output'!$C$7,Annahmen!$B$18:$B$22,0),2))*'Preise Output'!$E$26)/10,('Preise Output'!$E$26*'Preise Output'!$F$10-$D$6)/10)</f>
        <v>1366.575</v>
      </c>
      <c r="Y7" s="129">
        <f>IF($B$6=100%,(('Preise Output'!$F$10-INDEX(Annahmen!$B$18:$C$22,MATCH('Preise Output'!$C$7,Annahmen!$B$18:$B$22,0),2))*'Preise Output'!$E$26)/10,('Preise Output'!$E$26*'Preise Output'!$F$10-$D$6)/10)</f>
        <v>1366.575</v>
      </c>
      <c r="Z7" s="129">
        <f>IF($B$6=100%,(('Preise Output'!$F$10-INDEX(Annahmen!$B$18:$C$22,MATCH('Preise Output'!$C$7,Annahmen!$B$18:$B$22,0),2))*'Preise Output'!$E$26)/10,('Preise Output'!$E$26*'Preise Output'!$F$10-$D$6)/10)</f>
        <v>1366.575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1366.575</v>
      </c>
      <c r="AD7" s="129">
        <f>IF($B$6=100%,(('Preise Output'!$F$10-INDEX(Annahmen!$B$18:$C$22,MATCH('Preise Output'!$C$7,Annahmen!$B$18:$B$22,0),2))*'Preise Output'!$E$26)/10,('Preise Output'!$E$26*'Preise Output'!$F$10-$D$6)/10)</f>
        <v>1366.575</v>
      </c>
      <c r="AE7" s="129">
        <f>IF($B$6=100%,(('Preise Output'!$F$10-INDEX(Annahmen!$B$18:$C$22,MATCH('Preise Output'!$C$7,Annahmen!$B$18:$B$22,0),2))*'Preise Output'!$E$26)/10,('Preise Output'!$E$26*'Preise Output'!$F$10-$D$6)/10)</f>
        <v>1366.575</v>
      </c>
      <c r="AF7" s="129">
        <f>IF($B$6=100%,(('Preise Output'!$F$10-INDEX(Annahmen!$B$18:$C$22,MATCH('Preise Output'!$C$7,Annahmen!$B$18:$B$22,0),2))*'Preise Output'!$E$26)/10,('Preise Output'!$E$26*'Preise Output'!$F$10-$D$6)/10)</f>
        <v>1366.575</v>
      </c>
      <c r="AG7" s="129">
        <f>IF($B$6=100%,(('Preise Output'!$F$10-INDEX(Annahmen!$B$18:$C$22,MATCH('Preise Output'!$C$7,Annahmen!$B$18:$B$22,0),2))*'Preise Output'!$E$26)/10,('Preise Output'!$E$26*'Preise Output'!$F$10-$D$6)/10)</f>
        <v>1366.575</v>
      </c>
      <c r="AH7" s="129">
        <f>IF($B$6=100%,(('Preise Output'!$F$10-INDEX(Annahmen!$B$18:$C$22,MATCH('Preise Output'!$C$7,Annahmen!$B$18:$B$22,0),2))*'Preise Output'!$E$26)/10,('Preise Output'!$E$26*'Preise Output'!$F$10-$D$6)/10)</f>
        <v>1366.575</v>
      </c>
      <c r="AI7" s="129">
        <f>IF($B$6=100%,(('Preise Output'!$F$10-INDEX(Annahmen!$B$18:$C$22,MATCH('Preise Output'!$C$7,Annahmen!$B$18:$B$22,0),2))*'Preise Output'!$E$26)/10,('Preise Output'!$E$26*'Preise Output'!$F$10-$D$6)/10)</f>
        <v>1366.575</v>
      </c>
      <c r="AJ7" s="129">
        <f>IF($B$6=100%,(('Preise Output'!$F$10-INDEX(Annahmen!$B$18:$C$22,MATCH('Preise Output'!$C$7,Annahmen!$B$18:$B$22,0),2))*'Preise Output'!$E$26)/10,('Preise Output'!$E$26*'Preise Output'!$F$10-$D$6)/10)</f>
        <v>1366.575</v>
      </c>
      <c r="AK7" s="129">
        <f>IF($B$6=100%,(('Preise Output'!$F$10-INDEX(Annahmen!$B$18:$C$22,MATCH('Preise Output'!$C$7,Annahmen!$B$18:$B$22,0),2))*'Preise Output'!$E$26)/10,('Preise Output'!$E$26*'Preise Output'!$F$10-$D$6)/10)</f>
        <v>1366.575</v>
      </c>
      <c r="AL7" s="129">
        <f>IF($B$6=100%,(('Preise Output'!$F$10-INDEX(Annahmen!$B$18:$C$22,MATCH('Preise Output'!$C$7,Annahmen!$B$18:$B$22,0),2))*'Preise Output'!$E$26)/10,('Preise Output'!$E$26*'Preise Output'!$F$10-$D$6)/10)</f>
        <v>1366.575</v>
      </c>
      <c r="AM7" s="130"/>
      <c r="AN7" s="130">
        <f t="shared" ref="AN7:AN43" si="0">SUM(D7:AM7)</f>
        <v>40997.249999999993</v>
      </c>
      <c r="AQ7" s="130">
        <f t="shared" ref="AQ7:AQ45" si="1">SUM(D7:F7)</f>
        <v>2733.15</v>
      </c>
      <c r="AR7" s="130">
        <f t="shared" ref="AR7:AR45" si="2">SUM(G7:I7)</f>
        <v>4099.7250000000004</v>
      </c>
      <c r="AS7" s="130">
        <f t="shared" ref="AS7:AS45" si="3">SUM(J7:L7)</f>
        <v>4099.7250000000004</v>
      </c>
      <c r="AT7" s="130">
        <f t="shared" ref="AT7:AT45" si="4">SUM(M7:O7)</f>
        <v>2733.15</v>
      </c>
      <c r="AU7" s="130">
        <f t="shared" ref="AU7:AU45" si="5">SUM(P7:R7)</f>
        <v>2733.15</v>
      </c>
      <c r="AV7" s="130">
        <f t="shared" ref="AV7:AV45" si="6">SUM(S7:U7)</f>
        <v>4099.7250000000004</v>
      </c>
      <c r="AW7" s="130">
        <f t="shared" ref="AW7:AW45" si="7">SUM(V7:X7)</f>
        <v>4099.7250000000004</v>
      </c>
      <c r="AX7" s="130">
        <f t="shared" ref="AX7:AX45" si="8">SUM(Y7:AA7)</f>
        <v>2733.15</v>
      </c>
      <c r="AY7" s="130">
        <f t="shared" ref="AY7:AY45" si="9">SUM(AB7:AD7)</f>
        <v>2733.15</v>
      </c>
      <c r="AZ7" s="130">
        <f t="shared" ref="AZ7:AZ45" si="10">SUM(AE7:AG7)</f>
        <v>4099.7250000000004</v>
      </c>
      <c r="BA7" s="130">
        <f t="shared" ref="BA7:BA45" si="11">SUM(AH7:AJ7)</f>
        <v>4099.7250000000004</v>
      </c>
      <c r="BB7" s="130">
        <f t="shared" ref="BB7:BB45" si="12">SUM(AK7:AM7)</f>
        <v>2733.15</v>
      </c>
    </row>
    <row r="8" spans="2:54" x14ac:dyDescent="0.35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253</v>
      </c>
      <c r="P2" s="136"/>
      <c r="Q2" s="136"/>
      <c r="R2" s="136"/>
      <c r="S2" s="136"/>
      <c r="T2" s="136"/>
      <c r="U2" s="136"/>
    </row>
    <row r="3" spans="2:21" x14ac:dyDescent="0.35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 x14ac:dyDescent="0.35">
      <c r="B4" s="113" t="s">
        <v>8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 x14ac:dyDescent="0.35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46679.325000000004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279</v>
      </c>
      <c r="C4" s="8" t="s">
        <v>280</v>
      </c>
    </row>
    <row r="5" spans="2:3" x14ac:dyDescent="0.35">
      <c r="B5" s="3" t="s">
        <v>281</v>
      </c>
      <c r="C5" s="4">
        <v>0</v>
      </c>
    </row>
    <row r="6" spans="2:3" x14ac:dyDescent="0.35">
      <c r="B6" s="3" t="s">
        <v>282</v>
      </c>
      <c r="C6" s="4">
        <v>0</v>
      </c>
    </row>
    <row r="7" spans="2:3" x14ac:dyDescent="0.35">
      <c r="B7" s="3" t="s">
        <v>283</v>
      </c>
      <c r="C7" s="4">
        <v>0</v>
      </c>
    </row>
    <row r="8" spans="2:3" x14ac:dyDescent="0.35">
      <c r="B8" s="3" t="s">
        <v>284</v>
      </c>
      <c r="C8" s="4">
        <v>0</v>
      </c>
    </row>
    <row r="9" spans="2:3" x14ac:dyDescent="0.35">
      <c r="B9" s="3" t="s">
        <v>285</v>
      </c>
      <c r="C9" s="4">
        <v>0</v>
      </c>
    </row>
    <row r="11" spans="2:3" x14ac:dyDescent="0.35">
      <c r="B11" s="8" t="s">
        <v>286</v>
      </c>
      <c r="C11" s="8" t="s">
        <v>280</v>
      </c>
    </row>
    <row r="12" spans="2:3" x14ac:dyDescent="0.35">
      <c r="B12" s="3" t="s">
        <v>287</v>
      </c>
      <c r="C12" s="4">
        <v>0</v>
      </c>
    </row>
    <row r="13" spans="2:3" x14ac:dyDescent="0.35">
      <c r="B13" s="3" t="s">
        <v>288</v>
      </c>
      <c r="C13" s="4">
        <v>0</v>
      </c>
    </row>
    <row r="14" spans="2:3" x14ac:dyDescent="0.35">
      <c r="B14" s="3" t="s">
        <v>289</v>
      </c>
      <c r="C14" s="4">
        <v>0.05</v>
      </c>
    </row>
    <row r="15" spans="2:3" x14ac:dyDescent="0.35">
      <c r="B15" s="3" t="s">
        <v>290</v>
      </c>
      <c r="C15" s="4">
        <v>0.15</v>
      </c>
    </row>
    <row r="17" spans="2:12" x14ac:dyDescent="0.35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 x14ac:dyDescent="0.35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FE925B-1CE8-4813-AB22-BDBA256C424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2025-06-02T12:40:27Z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